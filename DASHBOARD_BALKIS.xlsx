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ubarak\Desktop\Excel Dossier\Dashbord_excel\"/>
    </mc:Choice>
  </mc:AlternateContent>
  <xr:revisionPtr revIDLastSave="0" documentId="13_ncr:1_{13444971-B52C-49C5-A193-63F91EE4B2C7}" xr6:coauthVersionLast="47" xr6:coauthVersionMax="47" xr10:uidLastSave="{00000000-0000-0000-0000-000000000000}"/>
  <bookViews>
    <workbookView xWindow="-108" yWindow="-108" windowWidth="20376" windowHeight="12216" firstSheet="1" activeTab="4" xr2:uid="{4BCD0204-1A40-4509-A98E-F6DBB2BC5A7A}"/>
  </bookViews>
  <sheets>
    <sheet name="DASHBOARD_PLAN" sheetId="3" r:id="rId1"/>
    <sheet name="Maquette" sheetId="2" r:id="rId2"/>
    <sheet name="Sales_data" sheetId="1" r:id="rId3"/>
    <sheet name="Feuil1" sheetId="4" r:id="rId4"/>
    <sheet name="Feuil3" sheetId="6" r:id="rId5"/>
  </sheets>
  <definedNames>
    <definedName name="_xlchart.v1.0" hidden="1">Feuil1!$I$30:$I$34</definedName>
    <definedName name="_xlchart.v1.1" hidden="1">Feuil1!$J$29</definedName>
    <definedName name="_xlchart.v1.2" hidden="1">Feuil1!$J$30:$J$34</definedName>
    <definedName name="_xlchart.v1.3" hidden="1">Feuil1!$I$30:$I$34</definedName>
    <definedName name="_xlchart.v1.4" hidden="1">Feuil1!$J$29</definedName>
    <definedName name="_xlchart.v1.5" hidden="1">Feuil1!$J$30:$J$34</definedName>
    <definedName name="ChronologieNative_Date">#N/A</definedName>
    <definedName name="Segment_Customer_Type">#N/A</definedName>
    <definedName name="Segment_Product_Category">#N/A</definedName>
    <definedName name="Segment_Region">#N/A</definedName>
    <definedName name="Segment_Sales_Channel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4" i="6" l="1" a="1"/>
  <c r="X34" i="6" s="1"/>
  <c r="P34" i="6"/>
  <c r="I34" i="6"/>
  <c r="C34" i="6"/>
  <c r="N2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5" i="1"/>
  <c r="P6" i="1"/>
  <c r="P3" i="1"/>
  <c r="P4" i="1"/>
  <c r="P2" i="1"/>
  <c r="G2" i="4"/>
  <c r="O1" i="1"/>
  <c r="N4" i="1"/>
  <c r="N3" i="1"/>
  <c r="A2004" i="1" a="1"/>
  <c r="A2004" i="1" s="1"/>
  <c r="A2008" i="1" a="1"/>
  <c r="A2008" i="1" s="1"/>
  <c r="A2009" i="1" a="1"/>
  <c r="A2009" i="1" s="1"/>
  <c r="A2010" i="1" a="1"/>
  <c r="A2010" i="1" s="1"/>
  <c r="A2011" i="1" a="1"/>
  <c r="A2011" i="1" s="1"/>
  <c r="A2012" i="1" a="1"/>
  <c r="A2012" i="1" s="1"/>
  <c r="A2013" i="1" a="1"/>
  <c r="A2013" i="1" s="1"/>
  <c r="A2014" i="1" a="1"/>
  <c r="A2014" i="1" s="1"/>
  <c r="A2015" i="1" a="1"/>
  <c r="A2015" i="1" s="1"/>
  <c r="A2016" i="1" a="1"/>
  <c r="A2016" i="1" s="1"/>
  <c r="A2017" i="1" a="1"/>
  <c r="A2017" i="1" s="1"/>
  <c r="A2018" i="1" a="1"/>
  <c r="A2018" i="1" s="1"/>
  <c r="A2019" i="1" a="1"/>
  <c r="A2019" i="1" s="1"/>
  <c r="A2020" i="1" a="1"/>
  <c r="A2020" i="1" s="1"/>
  <c r="A2021" i="1" a="1"/>
  <c r="A2021" i="1" s="1"/>
  <c r="A2022" i="1" a="1"/>
  <c r="A2022" i="1" s="1"/>
  <c r="A2023" i="1" a="1"/>
  <c r="A2023" i="1" s="1"/>
  <c r="A2024" i="1" a="1"/>
  <c r="A2024" i="1" s="1"/>
  <c r="A2025" i="1" a="1"/>
  <c r="A2025" i="1" s="1"/>
  <c r="A2026" i="1" a="1"/>
  <c r="A2026" i="1" s="1"/>
  <c r="A2027" i="1" a="1"/>
  <c r="A2027" i="1" s="1"/>
  <c r="A2028" i="1" a="1"/>
  <c r="A2028" i="1" s="1"/>
  <c r="A2029" i="1" a="1"/>
  <c r="A2029" i="1" s="1"/>
  <c r="A2030" i="1" a="1"/>
  <c r="A2030" i="1" s="1"/>
  <c r="A2031" i="1" a="1"/>
  <c r="A2031" i="1" s="1"/>
  <c r="A2032" i="1" a="1"/>
  <c r="A2032" i="1" s="1"/>
  <c r="A2033" i="1" a="1"/>
  <c r="A2033" i="1" s="1"/>
  <c r="A2034" i="1" a="1"/>
  <c r="A2034" i="1" s="1"/>
  <c r="A2035" i="1" a="1"/>
  <c r="A2035" i="1" s="1"/>
  <c r="A2036" i="1" a="1"/>
  <c r="A2036" i="1" s="1"/>
  <c r="A2037" i="1" a="1"/>
  <c r="A2037" i="1" s="1"/>
  <c r="A2038" i="1" a="1"/>
  <c r="A2038" i="1" s="1"/>
  <c r="A2039" i="1" a="1"/>
  <c r="A2039" i="1" s="1"/>
  <c r="A2040" i="1" a="1"/>
  <c r="A2040" i="1" s="1"/>
  <c r="A2041" i="1" a="1"/>
  <c r="A2041" i="1" s="1"/>
  <c r="A2042" i="1" a="1"/>
  <c r="A2042" i="1" s="1"/>
  <c r="A2043" i="1" a="1"/>
  <c r="A2043" i="1" s="1"/>
  <c r="A2044" i="1" a="1"/>
  <c r="A2044" i="1" s="1"/>
  <c r="A2045" i="1" a="1"/>
  <c r="A2045" i="1" s="1"/>
  <c r="A2046" i="1" a="1"/>
  <c r="A2046" i="1" s="1"/>
  <c r="A2047" i="1" a="1"/>
  <c r="A2047" i="1" s="1"/>
  <c r="A2048" i="1" a="1"/>
  <c r="A2048" i="1" s="1"/>
  <c r="A2049" i="1" a="1"/>
  <c r="A2049" i="1" s="1"/>
  <c r="A2050" i="1" a="1"/>
  <c r="A2050" i="1" s="1"/>
  <c r="A2051" i="1" a="1"/>
  <c r="A2051" i="1" s="1"/>
  <c r="A2052" i="1" a="1"/>
  <c r="A2052" i="1" s="1"/>
  <c r="A2053" i="1" a="1"/>
  <c r="A2053" i="1" s="1"/>
  <c r="A2054" i="1" a="1"/>
  <c r="A2054" i="1" s="1"/>
  <c r="A2055" i="1" a="1"/>
  <c r="A2055" i="1" s="1"/>
  <c r="A2056" i="1" a="1"/>
  <c r="A2056" i="1" s="1"/>
  <c r="A2057" i="1" a="1"/>
  <c r="A2057" i="1" s="1"/>
  <c r="A2058" i="1" a="1"/>
  <c r="A2058" i="1" s="1"/>
  <c r="A2059" i="1" a="1"/>
  <c r="A2059" i="1" s="1"/>
  <c r="A2060" i="1" a="1"/>
  <c r="A2060" i="1" s="1"/>
  <c r="A2061" i="1" a="1"/>
  <c r="A2061" i="1" s="1"/>
  <c r="A2062" i="1" a="1"/>
  <c r="A2062" i="1" s="1"/>
  <c r="A2063" i="1" a="1"/>
  <c r="A2063" i="1" s="1"/>
  <c r="A2064" i="1" a="1"/>
  <c r="A2064" i="1" s="1"/>
  <c r="A2065" i="1" a="1"/>
  <c r="A2065" i="1" s="1"/>
  <c r="A2066" i="1" a="1"/>
  <c r="A2066" i="1" s="1"/>
  <c r="A2067" i="1" a="1"/>
  <c r="A2067" i="1" s="1"/>
  <c r="A2068" i="1" a="1"/>
  <c r="A2068" i="1" s="1"/>
  <c r="A2069" i="1" a="1"/>
  <c r="A2069" i="1" s="1"/>
  <c r="A2070" i="1" a="1"/>
  <c r="A2070" i="1" s="1"/>
  <c r="A2071" i="1" a="1"/>
  <c r="A2071" i="1" s="1"/>
  <c r="A2072" i="1" a="1"/>
  <c r="A2072" i="1" s="1"/>
  <c r="A2073" i="1" a="1"/>
  <c r="A2073" i="1" s="1"/>
  <c r="A2074" i="1" a="1"/>
  <c r="A2074" i="1" s="1"/>
  <c r="A2075" i="1" a="1"/>
  <c r="A2075" i="1" s="1"/>
  <c r="A2076" i="1" a="1"/>
  <c r="A2076" i="1" s="1"/>
  <c r="A2077" i="1" a="1"/>
  <c r="A2077" i="1" s="1"/>
  <c r="A2078" i="1" a="1"/>
  <c r="A2078" i="1" s="1"/>
  <c r="A2079" i="1" a="1"/>
  <c r="A2079" i="1" s="1"/>
  <c r="A2080" i="1" a="1"/>
  <c r="A2080" i="1" s="1"/>
  <c r="A2081" i="1" a="1"/>
  <c r="A2081" i="1" s="1"/>
  <c r="A2082" i="1" a="1"/>
  <c r="A2082" i="1" s="1"/>
  <c r="A2083" i="1" a="1"/>
  <c r="A2083" i="1" s="1"/>
  <c r="A2084" i="1" a="1"/>
  <c r="A2084" i="1" s="1"/>
  <c r="A2085" i="1" a="1"/>
  <c r="A2085" i="1" s="1"/>
  <c r="A2086" i="1" a="1"/>
  <c r="A2086" i="1" s="1"/>
  <c r="A2087" i="1" a="1"/>
  <c r="A2087" i="1" s="1"/>
  <c r="A2088" i="1" a="1"/>
  <c r="A2088" i="1" s="1"/>
  <c r="A2089" i="1" a="1"/>
  <c r="A2089" i="1" s="1"/>
  <c r="A2090" i="1" a="1"/>
  <c r="A2090" i="1" s="1"/>
  <c r="A2091" i="1" a="1"/>
  <c r="A2091" i="1" s="1"/>
  <c r="A2092" i="1" a="1"/>
  <c r="A2092" i="1" s="1"/>
  <c r="A2093" i="1" a="1"/>
  <c r="A2093" i="1" s="1"/>
  <c r="A2094" i="1" a="1"/>
  <c r="A2094" i="1" s="1"/>
  <c r="A2095" i="1" a="1"/>
  <c r="A2095" i="1" s="1"/>
  <c r="A2096" i="1" a="1"/>
  <c r="A2096" i="1" s="1"/>
  <c r="A2097" i="1" a="1"/>
  <c r="A2097" i="1" s="1"/>
  <c r="A2098" i="1" a="1"/>
  <c r="A2098" i="1" s="1"/>
  <c r="A2099" i="1" a="1"/>
  <c r="A2099" i="1" s="1"/>
  <c r="A2100" i="1" a="1"/>
  <c r="A2100" i="1" s="1"/>
  <c r="A2101" i="1" a="1"/>
  <c r="A2101" i="1" s="1"/>
  <c r="A2102" i="1" a="1"/>
  <c r="A2102" i="1" s="1"/>
  <c r="A2103" i="1" a="1"/>
  <c r="A2103" i="1" s="1"/>
  <c r="A2104" i="1" a="1"/>
  <c r="A2104" i="1" s="1"/>
  <c r="A2105" i="1" a="1"/>
  <c r="A2105" i="1" s="1"/>
  <c r="A2106" i="1" a="1"/>
  <c r="A2106" i="1" s="1"/>
  <c r="A2107" i="1" a="1"/>
  <c r="A2107" i="1" s="1"/>
  <c r="A2108" i="1" a="1"/>
  <c r="A2108" i="1" s="1"/>
  <c r="A2109" i="1" a="1"/>
  <c r="A2109" i="1" s="1"/>
  <c r="A2110" i="1" a="1"/>
  <c r="A2110" i="1" s="1"/>
  <c r="A2111" i="1" a="1"/>
  <c r="A2111" i="1" s="1"/>
  <c r="A2112" i="1" a="1"/>
  <c r="A2112" i="1" s="1"/>
  <c r="A2113" i="1" a="1"/>
  <c r="A2113" i="1" s="1"/>
  <c r="A2114" i="1" a="1"/>
  <c r="A2114" i="1" s="1"/>
  <c r="A2115" i="1" a="1"/>
  <c r="A2115" i="1" s="1"/>
  <c r="A2116" i="1" a="1"/>
  <c r="A2116" i="1" s="1"/>
  <c r="A2117" i="1" a="1"/>
  <c r="A2117" i="1" s="1"/>
  <c r="A2118" i="1" a="1"/>
  <c r="A2118" i="1" s="1"/>
  <c r="A2119" i="1" a="1"/>
  <c r="A2119" i="1" s="1"/>
  <c r="A2120" i="1" a="1"/>
  <c r="A2120" i="1" s="1"/>
  <c r="A2121" i="1" a="1"/>
  <c r="A2121" i="1" s="1"/>
  <c r="A2122" i="1" a="1"/>
  <c r="A2122" i="1" s="1"/>
  <c r="A2123" i="1" a="1"/>
  <c r="A2123" i="1" s="1"/>
  <c r="A2124" i="1" a="1"/>
  <c r="A2124" i="1" s="1"/>
  <c r="A2125" i="1" a="1"/>
  <c r="A2125" i="1" s="1"/>
  <c r="A2126" i="1" a="1"/>
  <c r="A2126" i="1" s="1"/>
  <c r="A2127" i="1" a="1"/>
  <c r="A2127" i="1" s="1"/>
  <c r="A2128" i="1" a="1"/>
  <c r="A2128" i="1" s="1"/>
  <c r="A2129" i="1" a="1"/>
  <c r="A2129" i="1" s="1"/>
  <c r="A2130" i="1" a="1"/>
  <c r="A2130" i="1" s="1"/>
  <c r="A2131" i="1" a="1"/>
  <c r="A2131" i="1" s="1"/>
  <c r="A2132" i="1" a="1"/>
  <c r="A2132" i="1" s="1"/>
  <c r="A2133" i="1" a="1"/>
  <c r="A2133" i="1" s="1"/>
  <c r="A2134" i="1" a="1"/>
  <c r="A2134" i="1" s="1"/>
  <c r="A2135" i="1" a="1"/>
  <c r="A2135" i="1" s="1"/>
  <c r="A2136" i="1" a="1"/>
  <c r="A2136" i="1" s="1"/>
  <c r="A2137" i="1" a="1"/>
  <c r="A2137" i="1" s="1"/>
  <c r="A2138" i="1" a="1"/>
  <c r="A2138" i="1" s="1"/>
  <c r="A2139" i="1" a="1"/>
  <c r="A2139" i="1" s="1"/>
  <c r="A2140" i="1" a="1"/>
  <c r="A2140" i="1" s="1"/>
  <c r="A2141" i="1" a="1"/>
  <c r="A2141" i="1" s="1"/>
  <c r="A2142" i="1" a="1"/>
  <c r="A2142" i="1" s="1"/>
  <c r="A2143" i="1" a="1"/>
  <c r="A2143" i="1" s="1"/>
  <c r="A2144" i="1" a="1"/>
  <c r="A2144" i="1" s="1"/>
  <c r="A2145" i="1" a="1"/>
  <c r="A2145" i="1" s="1"/>
  <c r="A2146" i="1" a="1"/>
  <c r="A2146" i="1" s="1"/>
  <c r="A2147" i="1" a="1"/>
  <c r="A2147" i="1" s="1"/>
  <c r="A2148" i="1" a="1"/>
  <c r="A2148" i="1" s="1"/>
  <c r="A2149" i="1" a="1"/>
  <c r="A2149" i="1" s="1"/>
  <c r="A2150" i="1" a="1"/>
  <c r="A2150" i="1" s="1"/>
  <c r="A2151" i="1" a="1"/>
  <c r="A2151" i="1" s="1"/>
  <c r="A2152" i="1" a="1"/>
  <c r="A2152" i="1" s="1"/>
  <c r="A2153" i="1" a="1"/>
  <c r="A2153" i="1" s="1"/>
  <c r="A2154" i="1" a="1"/>
  <c r="A2154" i="1" s="1"/>
  <c r="A2155" i="1" a="1"/>
  <c r="A2155" i="1" s="1"/>
  <c r="A2156" i="1" a="1"/>
  <c r="A2156" i="1" s="1"/>
  <c r="A2157" i="1" a="1"/>
  <c r="A2157" i="1" s="1"/>
  <c r="A2158" i="1" a="1"/>
  <c r="A2158" i="1" s="1"/>
  <c r="A2159" i="1" a="1"/>
  <c r="A2159" i="1" s="1"/>
  <c r="A2160" i="1" a="1"/>
  <c r="A2160" i="1" s="1"/>
  <c r="A2161" i="1" a="1"/>
  <c r="A2161" i="1" s="1"/>
  <c r="A2162" i="1" a="1"/>
  <c r="A2162" i="1" s="1"/>
  <c r="A2163" i="1" a="1"/>
  <c r="A2163" i="1" s="1"/>
  <c r="A2164" i="1" a="1"/>
  <c r="A2164" i="1" s="1"/>
  <c r="A2165" i="1" a="1"/>
  <c r="A2165" i="1" s="1"/>
  <c r="A2166" i="1" a="1"/>
  <c r="A2166" i="1" s="1"/>
  <c r="A2167" i="1" a="1"/>
  <c r="A2167" i="1" s="1"/>
  <c r="A2168" i="1" a="1"/>
  <c r="A2168" i="1" s="1"/>
  <c r="A2169" i="1" a="1"/>
  <c r="A2169" i="1" s="1"/>
  <c r="A2170" i="1" a="1"/>
  <c r="A2170" i="1" s="1"/>
  <c r="A2171" i="1" a="1"/>
  <c r="A2171" i="1" s="1"/>
  <c r="A2172" i="1" a="1"/>
  <c r="A2172" i="1" s="1"/>
  <c r="A2173" i="1" a="1"/>
  <c r="A2173" i="1" s="1"/>
  <c r="A2174" i="1" a="1"/>
  <c r="A2174" i="1" s="1"/>
  <c r="A2175" i="1" a="1"/>
  <c r="A2175" i="1" s="1"/>
  <c r="A2176" i="1" a="1"/>
  <c r="A2176" i="1" s="1"/>
  <c r="A2177" i="1" a="1"/>
  <c r="A2177" i="1" s="1"/>
  <c r="A2178" i="1" a="1"/>
  <c r="A2178" i="1" s="1"/>
  <c r="A2179" i="1" a="1"/>
  <c r="A2179" i="1" s="1"/>
  <c r="A2180" i="1" a="1"/>
  <c r="A2180" i="1" s="1"/>
  <c r="A2181" i="1" a="1"/>
  <c r="A2181" i="1" s="1"/>
  <c r="A2182" i="1" a="1"/>
  <c r="A2182" i="1" s="1"/>
  <c r="A2183" i="1" a="1"/>
  <c r="A2183" i="1" s="1"/>
  <c r="A2184" i="1" a="1"/>
  <c r="A2184" i="1" s="1"/>
  <c r="A2185" i="1" a="1"/>
  <c r="A2185" i="1" s="1"/>
  <c r="A2186" i="1" a="1"/>
  <c r="A2186" i="1" s="1"/>
  <c r="A2187" i="1" a="1"/>
  <c r="A2187" i="1" s="1"/>
  <c r="A2188" i="1" a="1"/>
  <c r="A2188" i="1" s="1"/>
  <c r="A2189" i="1" a="1"/>
  <c r="A2189" i="1" s="1"/>
  <c r="A2190" i="1" a="1"/>
  <c r="A2190" i="1" s="1"/>
  <c r="A2191" i="1" a="1"/>
  <c r="A2191" i="1" s="1"/>
  <c r="A2192" i="1" a="1"/>
  <c r="A2192" i="1" s="1"/>
  <c r="A2193" i="1" a="1"/>
  <c r="A2193" i="1" s="1"/>
  <c r="A2194" i="1" a="1"/>
  <c r="A2194" i="1" s="1"/>
  <c r="A2195" i="1" a="1"/>
  <c r="A2195" i="1" s="1"/>
  <c r="A2196" i="1" a="1"/>
  <c r="A2196" i="1" s="1"/>
  <c r="A2197" i="1" a="1"/>
  <c r="A2197" i="1" s="1"/>
  <c r="A2198" i="1" a="1"/>
  <c r="A2198" i="1" s="1"/>
  <c r="A2199" i="1" a="1"/>
  <c r="A2199" i="1" s="1"/>
  <c r="A2200" i="1" a="1"/>
  <c r="A2200" i="1" s="1"/>
  <c r="A2201" i="1" a="1"/>
  <c r="A2201" i="1" s="1"/>
  <c r="A2202" i="1" a="1"/>
  <c r="A2202" i="1" s="1"/>
  <c r="A2203" i="1" a="1"/>
  <c r="A2203" i="1" s="1"/>
  <c r="A2204" i="1" a="1"/>
  <c r="A2204" i="1" s="1"/>
  <c r="A2205" i="1" a="1"/>
  <c r="A2205" i="1" s="1"/>
  <c r="A2206" i="1" a="1"/>
  <c r="A2206" i="1" s="1"/>
  <c r="A2207" i="1" a="1"/>
  <c r="A2207" i="1" s="1"/>
  <c r="A2208" i="1" a="1"/>
  <c r="A2208" i="1" s="1"/>
  <c r="A2209" i="1" a="1"/>
  <c r="A2209" i="1" s="1"/>
  <c r="A2210" i="1" a="1"/>
  <c r="A2210" i="1" s="1"/>
  <c r="A2211" i="1" a="1"/>
  <c r="A2211" i="1" s="1"/>
  <c r="A2212" i="1" a="1"/>
  <c r="A2212" i="1" s="1"/>
  <c r="A2213" i="1" a="1"/>
  <c r="A2213" i="1" s="1"/>
  <c r="A2214" i="1" a="1"/>
  <c r="A2214" i="1" s="1"/>
  <c r="A2215" i="1" a="1"/>
  <c r="A2215" i="1" s="1"/>
  <c r="A2216" i="1" a="1"/>
  <c r="A2216" i="1" s="1"/>
  <c r="A2217" i="1" a="1"/>
  <c r="A2217" i="1" s="1"/>
  <c r="A2218" i="1" a="1"/>
  <c r="A2218" i="1" s="1"/>
  <c r="A2219" i="1" a="1"/>
  <c r="A2219" i="1" s="1"/>
  <c r="A2220" i="1" a="1"/>
  <c r="A2220" i="1" s="1"/>
  <c r="A2221" i="1" a="1"/>
  <c r="A2221" i="1" s="1"/>
  <c r="A2222" i="1" a="1"/>
  <c r="A2222" i="1" s="1"/>
  <c r="A2223" i="1" a="1"/>
  <c r="A2223" i="1" s="1"/>
  <c r="A2224" i="1" a="1"/>
  <c r="A2224" i="1" s="1"/>
  <c r="A2225" i="1" a="1"/>
  <c r="A2225" i="1" s="1"/>
  <c r="A2226" i="1" a="1"/>
  <c r="A2226" i="1" s="1"/>
  <c r="A2227" i="1" a="1"/>
  <c r="A2227" i="1" s="1"/>
  <c r="A2228" i="1" a="1"/>
  <c r="A2228" i="1" s="1"/>
  <c r="A2229" i="1" a="1"/>
  <c r="A2229" i="1" s="1"/>
  <c r="A2230" i="1" a="1"/>
  <c r="A2230" i="1" s="1"/>
  <c r="A2231" i="1" a="1"/>
  <c r="A2231" i="1" s="1"/>
  <c r="A2232" i="1" a="1"/>
  <c r="A2232" i="1" s="1"/>
  <c r="A2233" i="1" a="1"/>
  <c r="A2233" i="1" s="1"/>
  <c r="A2234" i="1" a="1"/>
  <c r="A2234" i="1" s="1"/>
  <c r="A2235" i="1" a="1"/>
  <c r="A2235" i="1" s="1"/>
  <c r="A2236" i="1" a="1"/>
  <c r="A2236" i="1" s="1"/>
  <c r="A2237" i="1" a="1"/>
  <c r="A2237" i="1" s="1"/>
  <c r="A2238" i="1" a="1"/>
  <c r="A2238" i="1" s="1"/>
  <c r="A2239" i="1" a="1"/>
  <c r="A2239" i="1" s="1"/>
  <c r="A2240" i="1" a="1"/>
  <c r="A2240" i="1" s="1"/>
  <c r="A2241" i="1" a="1"/>
  <c r="A2241" i="1" s="1"/>
  <c r="A2242" i="1" a="1"/>
  <c r="A2242" i="1" s="1"/>
  <c r="A2243" i="1" a="1"/>
  <c r="A2243" i="1" s="1"/>
  <c r="A2244" i="1" a="1"/>
  <c r="A2244" i="1" s="1"/>
  <c r="A2245" i="1" a="1"/>
  <c r="A2245" i="1" s="1"/>
  <c r="A2246" i="1" a="1"/>
  <c r="A2246" i="1" s="1"/>
  <c r="A2247" i="1" a="1"/>
  <c r="A2247" i="1" s="1"/>
  <c r="A2248" i="1" a="1"/>
  <c r="A2248" i="1" s="1"/>
  <c r="A2249" i="1" a="1"/>
  <c r="A2249" i="1" s="1"/>
  <c r="A2250" i="1" a="1"/>
  <c r="A2250" i="1" s="1"/>
  <c r="A2251" i="1" a="1"/>
  <c r="A2251" i="1" s="1"/>
  <c r="A2252" i="1" a="1"/>
  <c r="A2252" i="1" s="1"/>
  <c r="A2253" i="1" a="1"/>
  <c r="A2253" i="1" s="1"/>
  <c r="A2254" i="1" a="1"/>
  <c r="A2254" i="1" s="1"/>
  <c r="A2255" i="1" a="1"/>
  <c r="A2255" i="1" s="1"/>
  <c r="A2256" i="1" a="1"/>
  <c r="A2256" i="1" s="1"/>
  <c r="A2257" i="1" a="1"/>
  <c r="A2257" i="1" s="1"/>
  <c r="A2258" i="1" a="1"/>
  <c r="A2258" i="1" s="1"/>
  <c r="A2259" i="1" a="1"/>
  <c r="A2259" i="1" s="1"/>
  <c r="A2260" i="1" a="1"/>
  <c r="A2260" i="1" s="1"/>
  <c r="A2261" i="1" a="1"/>
  <c r="A2261" i="1" s="1"/>
  <c r="A2262" i="1" a="1"/>
  <c r="A2262" i="1" s="1"/>
  <c r="A2263" i="1" a="1"/>
  <c r="A2263" i="1" s="1"/>
  <c r="A2264" i="1" a="1"/>
  <c r="A2264" i="1" s="1"/>
  <c r="A2265" i="1" a="1"/>
  <c r="A2265" i="1" s="1"/>
  <c r="A2266" i="1" a="1"/>
  <c r="A2266" i="1" s="1"/>
  <c r="A2267" i="1" a="1"/>
  <c r="A2267" i="1" s="1"/>
  <c r="A2268" i="1" a="1"/>
  <c r="A2268" i="1" s="1"/>
  <c r="A2269" i="1" a="1"/>
  <c r="A2269" i="1" s="1"/>
  <c r="A2270" i="1" a="1"/>
  <c r="A2270" i="1" s="1"/>
  <c r="A2271" i="1" a="1"/>
  <c r="A2271" i="1" s="1"/>
  <c r="A2272" i="1" a="1"/>
  <c r="A2272" i="1" s="1"/>
  <c r="A2273" i="1" a="1"/>
  <c r="A2273" i="1" s="1"/>
  <c r="A2274" i="1" a="1"/>
  <c r="A2274" i="1" s="1"/>
  <c r="A2275" i="1" a="1"/>
  <c r="A2275" i="1" s="1"/>
  <c r="A2276" i="1" a="1"/>
  <c r="A2276" i="1" s="1"/>
  <c r="A2277" i="1" a="1"/>
  <c r="A2277" i="1" s="1"/>
  <c r="A2278" i="1" a="1"/>
  <c r="A2278" i="1" s="1"/>
  <c r="A2279" i="1" a="1"/>
  <c r="A2279" i="1" s="1"/>
  <c r="A2280" i="1" a="1"/>
  <c r="A2280" i="1" s="1"/>
  <c r="A2281" i="1" a="1"/>
  <c r="A2281" i="1" s="1"/>
  <c r="A2282" i="1" a="1"/>
  <c r="A2282" i="1" s="1"/>
  <c r="A2283" i="1" a="1"/>
  <c r="A2283" i="1" s="1"/>
  <c r="A2284" i="1" a="1"/>
  <c r="A2284" i="1" s="1"/>
  <c r="A2285" i="1" a="1"/>
  <c r="A2285" i="1" s="1"/>
  <c r="A2286" i="1" a="1"/>
  <c r="A2286" i="1" s="1"/>
  <c r="A2287" i="1" a="1"/>
  <c r="A2287" i="1" s="1"/>
  <c r="A2288" i="1" a="1"/>
  <c r="A2288" i="1" s="1"/>
  <c r="A2289" i="1" a="1"/>
  <c r="A2289" i="1" s="1"/>
  <c r="A2290" i="1" a="1"/>
  <c r="A2290" i="1" s="1"/>
  <c r="A2291" i="1" a="1"/>
  <c r="A2291" i="1" s="1"/>
  <c r="A2292" i="1" a="1"/>
  <c r="A2292" i="1" s="1"/>
  <c r="A2293" i="1" a="1"/>
  <c r="A2293" i="1" s="1"/>
  <c r="A2294" i="1" a="1"/>
  <c r="A2294" i="1" s="1"/>
  <c r="A2295" i="1" a="1"/>
  <c r="A2295" i="1" s="1"/>
  <c r="A2296" i="1" a="1"/>
  <c r="A2296" i="1" s="1"/>
  <c r="A2297" i="1" a="1"/>
  <c r="A2297" i="1" s="1"/>
  <c r="A2298" i="1" a="1"/>
  <c r="A2298" i="1" s="1"/>
  <c r="A2299" i="1" a="1"/>
  <c r="A2299" i="1" s="1"/>
  <c r="A2300" i="1" a="1"/>
  <c r="A2300" i="1" s="1"/>
  <c r="A2301" i="1" a="1"/>
  <c r="A2301" i="1" s="1"/>
  <c r="A2302" i="1" a="1"/>
  <c r="A2302" i="1" s="1"/>
  <c r="A2303" i="1" a="1"/>
  <c r="A2303" i="1" s="1"/>
  <c r="A2304" i="1" a="1"/>
  <c r="A2304" i="1" s="1"/>
  <c r="A2305" i="1" a="1"/>
  <c r="A2305" i="1" s="1"/>
  <c r="A2306" i="1" a="1"/>
  <c r="A2306" i="1" s="1"/>
  <c r="A2307" i="1" a="1"/>
  <c r="A2307" i="1" s="1"/>
  <c r="A2308" i="1" a="1"/>
  <c r="A2308" i="1" s="1"/>
  <c r="A2309" i="1" a="1"/>
  <c r="A2309" i="1" s="1"/>
  <c r="A2310" i="1" a="1"/>
  <c r="A2310" i="1" s="1"/>
  <c r="A2311" i="1" a="1"/>
  <c r="A2311" i="1" s="1"/>
  <c r="A2312" i="1" a="1"/>
  <c r="A2312" i="1" s="1"/>
  <c r="A2313" i="1" a="1"/>
  <c r="A2313" i="1" s="1"/>
  <c r="A2314" i="1" a="1"/>
  <c r="A2314" i="1" s="1"/>
  <c r="A2315" i="1" a="1"/>
  <c r="A2315" i="1" s="1"/>
  <c r="A2316" i="1" a="1"/>
  <c r="A2316" i="1" s="1"/>
  <c r="A2317" i="1" a="1"/>
  <c r="A2317" i="1" s="1"/>
  <c r="A2318" i="1" a="1"/>
  <c r="A2318" i="1" s="1"/>
  <c r="A2319" i="1" a="1"/>
  <c r="A2319" i="1" s="1"/>
  <c r="A2320" i="1" a="1"/>
  <c r="A2320" i="1" s="1"/>
  <c r="A2321" i="1" a="1"/>
  <c r="A2321" i="1" s="1"/>
  <c r="A2322" i="1" a="1"/>
  <c r="A2322" i="1" s="1"/>
  <c r="A2323" i="1" a="1"/>
  <c r="A2323" i="1" s="1"/>
  <c r="A2324" i="1" a="1"/>
  <c r="A2324" i="1" s="1"/>
  <c r="A2325" i="1" a="1"/>
  <c r="A2325" i="1" s="1"/>
  <c r="A2326" i="1" a="1"/>
  <c r="A2326" i="1" s="1"/>
  <c r="A2327" i="1" a="1"/>
  <c r="A2327" i="1" s="1"/>
  <c r="A2328" i="1" a="1"/>
  <c r="A2328" i="1" s="1"/>
  <c r="A2329" i="1" a="1"/>
  <c r="A2329" i="1" s="1"/>
  <c r="A2330" i="1" a="1"/>
  <c r="A2330" i="1" s="1"/>
  <c r="A2331" i="1" a="1"/>
  <c r="A2331" i="1" s="1"/>
  <c r="A2332" i="1" a="1"/>
  <c r="A2332" i="1" s="1"/>
  <c r="A2333" i="1" a="1"/>
  <c r="A2333" i="1" s="1"/>
  <c r="A2334" i="1" a="1"/>
  <c r="A2334" i="1" s="1"/>
  <c r="A2335" i="1" a="1"/>
  <c r="A2335" i="1" s="1"/>
  <c r="A2336" i="1" a="1"/>
  <c r="A2336" i="1" s="1"/>
  <c r="A2337" i="1" a="1"/>
  <c r="A2337" i="1" s="1"/>
  <c r="A2338" i="1" a="1"/>
  <c r="A2338" i="1" s="1"/>
  <c r="A2339" i="1" a="1"/>
  <c r="A2339" i="1" s="1"/>
  <c r="A2340" i="1" a="1"/>
  <c r="A2340" i="1" s="1"/>
  <c r="A2341" i="1" a="1"/>
  <c r="A2341" i="1" s="1"/>
  <c r="A2342" i="1" a="1"/>
  <c r="A2342" i="1" s="1"/>
  <c r="A2343" i="1" a="1"/>
  <c r="A2343" i="1" s="1"/>
  <c r="A2344" i="1" a="1"/>
  <c r="A2344" i="1" s="1"/>
  <c r="A2345" i="1" a="1"/>
  <c r="A2345" i="1" s="1"/>
  <c r="A2346" i="1" a="1"/>
  <c r="A2346" i="1" s="1"/>
  <c r="A2347" i="1" a="1"/>
  <c r="A2347" i="1" s="1"/>
  <c r="A2348" i="1" a="1"/>
  <c r="A2348" i="1" s="1"/>
  <c r="A2349" i="1" a="1"/>
  <c r="A2349" i="1" s="1"/>
  <c r="A2350" i="1" a="1"/>
  <c r="A2350" i="1" s="1"/>
  <c r="A2351" i="1" a="1"/>
  <c r="A2351" i="1" s="1"/>
  <c r="A2352" i="1" a="1"/>
  <c r="A2352" i="1" s="1"/>
  <c r="A2353" i="1" a="1"/>
  <c r="A2353" i="1" s="1"/>
  <c r="A2354" i="1" a="1"/>
  <c r="A2354" i="1" s="1"/>
  <c r="A2355" i="1" a="1"/>
  <c r="A2355" i="1" s="1"/>
  <c r="A2356" i="1" a="1"/>
  <c r="A2356" i="1" s="1"/>
  <c r="A2357" i="1" a="1"/>
  <c r="A2357" i="1" s="1"/>
  <c r="A2358" i="1" a="1"/>
  <c r="A2358" i="1" s="1"/>
  <c r="A2359" i="1" a="1"/>
  <c r="A2359" i="1" s="1"/>
  <c r="A2360" i="1" a="1"/>
  <c r="A2360" i="1" s="1"/>
  <c r="A2361" i="1" a="1"/>
  <c r="A2361" i="1" s="1"/>
  <c r="A2362" i="1" a="1"/>
  <c r="A2362" i="1" s="1"/>
  <c r="A2363" i="1" a="1"/>
  <c r="A2363" i="1" s="1"/>
  <c r="A2364" i="1" a="1"/>
  <c r="A2364" i="1" s="1"/>
  <c r="A2365" i="1" a="1"/>
  <c r="A2365" i="1" s="1"/>
  <c r="A2366" i="1" a="1"/>
  <c r="A2366" i="1" s="1"/>
  <c r="A2367" i="1" a="1"/>
  <c r="A2367" i="1" s="1"/>
  <c r="A2368" i="1" a="1"/>
  <c r="A2368" i="1" s="1"/>
  <c r="A2369" i="1" a="1"/>
  <c r="A2369" i="1" s="1"/>
  <c r="A2370" i="1" a="1"/>
  <c r="A2370" i="1" s="1"/>
  <c r="A2371" i="1" a="1"/>
  <c r="A2371" i="1" s="1"/>
  <c r="A2372" i="1" a="1"/>
  <c r="A2372" i="1" s="1"/>
  <c r="A2373" i="1" a="1"/>
  <c r="A2373" i="1" s="1"/>
  <c r="A2374" i="1" a="1"/>
  <c r="A2374" i="1" s="1"/>
  <c r="A2375" i="1" a="1"/>
  <c r="A2375" i="1" s="1"/>
  <c r="A2376" i="1" a="1"/>
  <c r="A2376" i="1" s="1"/>
  <c r="A2377" i="1" a="1"/>
  <c r="A2377" i="1" s="1"/>
  <c r="A2378" i="1" a="1"/>
  <c r="A2378" i="1" s="1"/>
  <c r="A2379" i="1" a="1"/>
  <c r="A2379" i="1" s="1"/>
  <c r="A2380" i="1" a="1"/>
  <c r="A2380" i="1" s="1"/>
  <c r="A2381" i="1" a="1"/>
  <c r="A2381" i="1" s="1"/>
  <c r="A2382" i="1" a="1"/>
  <c r="A2382" i="1" s="1"/>
  <c r="A2383" i="1" a="1"/>
  <c r="A2383" i="1" s="1"/>
  <c r="A2384" i="1" a="1"/>
  <c r="A2384" i="1" s="1"/>
  <c r="A2385" i="1" a="1"/>
  <c r="A2385" i="1" s="1"/>
  <c r="A2386" i="1" a="1"/>
  <c r="A2386" i="1" s="1"/>
  <c r="A2387" i="1" a="1"/>
  <c r="A2387" i="1" s="1"/>
  <c r="A2388" i="1" a="1"/>
  <c r="A2388" i="1" s="1"/>
  <c r="A2389" i="1" a="1"/>
  <c r="A2389" i="1" s="1"/>
  <c r="A2390" i="1" a="1"/>
  <c r="A2390" i="1" s="1"/>
  <c r="A2391" i="1" a="1"/>
  <c r="A2391" i="1" s="1"/>
  <c r="A2392" i="1" a="1"/>
  <c r="A2392" i="1" s="1"/>
  <c r="A2393" i="1" a="1"/>
  <c r="A2393" i="1" s="1"/>
  <c r="A2394" i="1" a="1"/>
  <c r="A2394" i="1" s="1"/>
  <c r="A2395" i="1" a="1"/>
  <c r="A2395" i="1" s="1"/>
  <c r="A2396" i="1" a="1"/>
  <c r="A2396" i="1" s="1"/>
  <c r="A2397" i="1" a="1"/>
  <c r="A2397" i="1" s="1"/>
  <c r="A2398" i="1" a="1"/>
  <c r="A2398" i="1" s="1"/>
  <c r="A2399" i="1" a="1"/>
  <c r="A2399" i="1" s="1"/>
  <c r="A2400" i="1" a="1"/>
  <c r="A2400" i="1" s="1"/>
  <c r="A2401" i="1" a="1"/>
  <c r="A2401" i="1" s="1"/>
  <c r="A2402" i="1" a="1"/>
  <c r="A2402" i="1" s="1"/>
  <c r="A2403" i="1" a="1"/>
  <c r="A2403" i="1" s="1"/>
  <c r="A2404" i="1" a="1"/>
  <c r="A2404" i="1" s="1"/>
  <c r="A2405" i="1" a="1"/>
  <c r="A2405" i="1" s="1"/>
  <c r="A2406" i="1" a="1"/>
  <c r="A2406" i="1" s="1"/>
  <c r="A2407" i="1" a="1"/>
  <c r="A2407" i="1" s="1"/>
  <c r="A2408" i="1" a="1"/>
  <c r="A2408" i="1" s="1"/>
  <c r="A2409" i="1" a="1"/>
  <c r="A2409" i="1" s="1"/>
  <c r="A2410" i="1" a="1"/>
  <c r="A2410" i="1" s="1"/>
  <c r="A2411" i="1" a="1"/>
  <c r="A2411" i="1" s="1"/>
  <c r="A2412" i="1" a="1"/>
  <c r="A2412" i="1" s="1"/>
  <c r="A2413" i="1" a="1"/>
  <c r="A2413" i="1" s="1"/>
  <c r="A2414" i="1" a="1"/>
  <c r="A2414" i="1" s="1"/>
  <c r="A2415" i="1" a="1"/>
  <c r="A2415" i="1" s="1"/>
  <c r="A2416" i="1" a="1"/>
  <c r="A2416" i="1" s="1"/>
  <c r="A2417" i="1" a="1"/>
  <c r="A2417" i="1" s="1"/>
  <c r="A2418" i="1" a="1"/>
  <c r="A2418" i="1" s="1"/>
  <c r="A2419" i="1" a="1"/>
  <c r="A2419" i="1" s="1"/>
  <c r="A2420" i="1" a="1"/>
  <c r="A2420" i="1" s="1"/>
  <c r="A2421" i="1" a="1"/>
  <c r="A2421" i="1" s="1"/>
  <c r="A2422" i="1" a="1"/>
  <c r="A2422" i="1" s="1"/>
  <c r="A2423" i="1" a="1"/>
  <c r="A2423" i="1" s="1"/>
  <c r="A2424" i="1" a="1"/>
  <c r="A2424" i="1" s="1"/>
  <c r="A2425" i="1" a="1"/>
  <c r="A2425" i="1" s="1"/>
  <c r="A2426" i="1" a="1"/>
  <c r="A2426" i="1" s="1"/>
  <c r="A2427" i="1" a="1"/>
  <c r="A2427" i="1" s="1"/>
  <c r="A2428" i="1" a="1"/>
  <c r="A2428" i="1" s="1"/>
  <c r="A2429" i="1" a="1"/>
  <c r="A2429" i="1" s="1"/>
  <c r="A2430" i="1" a="1"/>
  <c r="A2430" i="1" s="1"/>
  <c r="A2431" i="1" a="1"/>
  <c r="A2431" i="1" s="1"/>
  <c r="A2432" i="1" a="1"/>
  <c r="A2432" i="1" s="1"/>
  <c r="A2433" i="1" a="1"/>
  <c r="A2433" i="1" s="1"/>
  <c r="A2434" i="1" a="1"/>
  <c r="A2434" i="1" s="1"/>
  <c r="A2435" i="1" a="1"/>
  <c r="A2435" i="1" s="1"/>
  <c r="A2436" i="1" a="1"/>
  <c r="A2436" i="1" s="1"/>
  <c r="A2437" i="1" a="1"/>
  <c r="A2437" i="1" s="1"/>
  <c r="A2438" i="1" a="1"/>
  <c r="A2438" i="1" s="1"/>
  <c r="A2439" i="1" a="1"/>
  <c r="A2439" i="1" s="1"/>
  <c r="A2440" i="1" a="1"/>
  <c r="A2440" i="1" s="1"/>
  <c r="A2441" i="1" a="1"/>
  <c r="A2441" i="1" s="1"/>
  <c r="A2442" i="1" a="1"/>
  <c r="A2442" i="1" s="1"/>
  <c r="A2443" i="1" a="1"/>
  <c r="A2443" i="1" s="1"/>
  <c r="A2444" i="1" a="1"/>
  <c r="A2444" i="1" s="1"/>
  <c r="A2445" i="1" a="1"/>
  <c r="A2445" i="1" s="1"/>
  <c r="A2446" i="1" a="1"/>
  <c r="A2446" i="1" s="1"/>
  <c r="A2447" i="1" a="1"/>
  <c r="A2447" i="1" s="1"/>
  <c r="A2448" i="1" a="1"/>
  <c r="A2448" i="1" s="1"/>
  <c r="A2449" i="1" a="1"/>
  <c r="A2449" i="1" s="1"/>
  <c r="A2450" i="1" a="1"/>
  <c r="A2450" i="1" s="1"/>
  <c r="A2451" i="1" a="1"/>
  <c r="A2451" i="1" s="1"/>
  <c r="A2452" i="1" a="1"/>
  <c r="A2452" i="1" s="1"/>
  <c r="A2453" i="1" a="1"/>
  <c r="A2453" i="1" s="1"/>
  <c r="A2454" i="1" a="1"/>
  <c r="A2454" i="1" s="1"/>
  <c r="A2455" i="1" a="1"/>
  <c r="A2455" i="1" s="1"/>
  <c r="A2456" i="1" a="1"/>
  <c r="A2456" i="1" s="1"/>
  <c r="A2457" i="1" a="1"/>
  <c r="A2457" i="1" s="1"/>
  <c r="A2458" i="1" a="1"/>
  <c r="A2458" i="1" s="1"/>
  <c r="A2459" i="1" a="1"/>
  <c r="A2459" i="1" s="1"/>
  <c r="A2460" i="1" a="1"/>
  <c r="A2460" i="1" s="1"/>
  <c r="A2461" i="1" a="1"/>
  <c r="A2461" i="1" s="1"/>
  <c r="A2462" i="1" a="1"/>
  <c r="A2462" i="1" s="1"/>
  <c r="A2463" i="1" a="1"/>
  <c r="A2463" i="1" s="1"/>
  <c r="A2464" i="1" a="1"/>
  <c r="A2464" i="1" s="1"/>
  <c r="A2465" i="1" a="1"/>
  <c r="A2465" i="1" s="1"/>
  <c r="A2466" i="1" a="1"/>
  <c r="A2466" i="1" s="1"/>
  <c r="A2467" i="1" a="1"/>
  <c r="A2467" i="1" s="1"/>
  <c r="A2468" i="1" a="1"/>
  <c r="A2468" i="1" s="1"/>
  <c r="A2469" i="1" a="1"/>
  <c r="A2469" i="1" s="1"/>
  <c r="A2470" i="1" a="1"/>
  <c r="A2470" i="1" s="1"/>
  <c r="A2471" i="1" a="1"/>
  <c r="A2471" i="1" s="1"/>
  <c r="A2472" i="1" a="1"/>
  <c r="A2472" i="1" s="1"/>
  <c r="A2473" i="1" a="1"/>
  <c r="A2473" i="1" s="1"/>
  <c r="A2474" i="1" a="1"/>
  <c r="A2474" i="1" s="1"/>
  <c r="A2475" i="1" a="1"/>
  <c r="A2475" i="1" s="1"/>
  <c r="A2476" i="1" a="1"/>
  <c r="A2476" i="1" s="1"/>
  <c r="A2477" i="1" a="1"/>
  <c r="A2477" i="1" s="1"/>
  <c r="A2478" i="1" a="1"/>
  <c r="A2478" i="1" s="1"/>
  <c r="A2479" i="1" a="1"/>
  <c r="A2479" i="1" s="1"/>
  <c r="A2480" i="1" a="1"/>
  <c r="A2480" i="1" s="1"/>
  <c r="A2481" i="1" a="1"/>
  <c r="A2481" i="1" s="1"/>
  <c r="A2482" i="1" a="1"/>
  <c r="A2482" i="1" s="1"/>
  <c r="A2483" i="1" a="1"/>
  <c r="A2483" i="1" s="1"/>
  <c r="A2484" i="1" a="1"/>
  <c r="A2484" i="1" s="1"/>
  <c r="A2485" i="1" a="1"/>
  <c r="A2485" i="1" s="1"/>
  <c r="A2486" i="1" a="1"/>
  <c r="A2486" i="1" s="1"/>
  <c r="A2487" i="1" a="1"/>
  <c r="A2487" i="1" s="1"/>
  <c r="A2488" i="1" a="1"/>
  <c r="A2488" i="1" s="1"/>
  <c r="A2489" i="1" a="1"/>
  <c r="A2489" i="1" s="1"/>
  <c r="A2490" i="1" a="1"/>
  <c r="A2490" i="1" s="1"/>
  <c r="A2491" i="1" a="1"/>
  <c r="A2491" i="1" s="1"/>
  <c r="A2492" i="1" a="1"/>
  <c r="A2492" i="1" s="1"/>
  <c r="A2493" i="1" a="1"/>
  <c r="A2493" i="1" s="1"/>
  <c r="A2494" i="1" a="1"/>
  <c r="A2494" i="1" s="1"/>
  <c r="A2495" i="1" a="1"/>
  <c r="A2495" i="1" s="1"/>
  <c r="A2496" i="1" a="1"/>
  <c r="A2496" i="1" s="1"/>
  <c r="A2497" i="1" a="1"/>
  <c r="A2497" i="1" s="1"/>
  <c r="A2498" i="1" a="1"/>
  <c r="A2498" i="1" s="1"/>
  <c r="A2499" i="1" a="1"/>
  <c r="A2499" i="1" s="1"/>
  <c r="A2500" i="1" a="1"/>
  <c r="A2500" i="1" s="1"/>
  <c r="A2501" i="1" a="1"/>
  <c r="A2501" i="1" s="1"/>
  <c r="A2502" i="1" a="1"/>
  <c r="A2502" i="1" s="1"/>
  <c r="A2503" i="1" a="1"/>
  <c r="A2503" i="1" s="1"/>
  <c r="A2504" i="1" a="1"/>
  <c r="A2504" i="1" s="1"/>
  <c r="A2505" i="1" a="1"/>
  <c r="A2505" i="1" s="1"/>
  <c r="A2506" i="1" a="1"/>
  <c r="A2506" i="1" s="1"/>
  <c r="A2507" i="1" a="1"/>
  <c r="A2507" i="1" s="1"/>
  <c r="A2508" i="1" a="1"/>
  <c r="A2508" i="1" s="1"/>
  <c r="A2509" i="1" a="1"/>
  <c r="A2509" i="1" s="1"/>
  <c r="A2510" i="1" a="1"/>
  <c r="A2510" i="1" s="1"/>
  <c r="A2511" i="1" a="1"/>
  <c r="A2511" i="1" s="1"/>
  <c r="A2512" i="1" a="1"/>
  <c r="A2512" i="1" s="1"/>
  <c r="A2513" i="1" a="1"/>
  <c r="A2513" i="1" s="1"/>
  <c r="A2514" i="1" a="1"/>
  <c r="A2514" i="1" s="1"/>
  <c r="A2515" i="1" a="1"/>
  <c r="A2515" i="1" s="1"/>
  <c r="A2516" i="1" a="1"/>
  <c r="A2516" i="1" s="1"/>
  <c r="A2517" i="1" a="1"/>
  <c r="A2517" i="1" s="1"/>
  <c r="A2518" i="1" a="1"/>
  <c r="A2518" i="1" s="1"/>
  <c r="A2519" i="1" a="1"/>
  <c r="A2519" i="1" s="1"/>
  <c r="A2520" i="1" a="1"/>
  <c r="A2520" i="1" s="1"/>
  <c r="A2521" i="1" a="1"/>
  <c r="A2521" i="1" s="1"/>
  <c r="A2522" i="1" a="1"/>
  <c r="A2522" i="1" s="1"/>
  <c r="A2523" i="1" a="1"/>
  <c r="A2523" i="1" s="1"/>
  <c r="A2524" i="1" a="1"/>
  <c r="A2524" i="1" s="1"/>
  <c r="A2525" i="1" a="1"/>
  <c r="A2525" i="1" s="1"/>
  <c r="A2526" i="1" a="1"/>
  <c r="A2526" i="1" s="1"/>
  <c r="A2527" i="1" a="1"/>
  <c r="A2527" i="1" s="1"/>
  <c r="A2528" i="1" a="1"/>
  <c r="A2528" i="1" s="1"/>
  <c r="A2529" i="1" a="1"/>
  <c r="A2529" i="1" s="1"/>
  <c r="A2530" i="1" a="1"/>
  <c r="A2530" i="1" s="1"/>
  <c r="A2531" i="1" a="1"/>
  <c r="A2531" i="1" s="1"/>
  <c r="A2532" i="1" a="1"/>
  <c r="A2532" i="1" s="1"/>
  <c r="A2533" i="1" a="1"/>
  <c r="A2533" i="1" s="1"/>
  <c r="A2534" i="1" a="1"/>
  <c r="A2534" i="1" s="1"/>
  <c r="A2535" i="1" a="1"/>
  <c r="A2535" i="1" s="1"/>
  <c r="A2536" i="1" a="1"/>
  <c r="A2536" i="1" s="1"/>
  <c r="A2537" i="1" a="1"/>
  <c r="A2537" i="1" s="1"/>
  <c r="A2538" i="1" a="1"/>
  <c r="A2538" i="1" s="1"/>
  <c r="A2539" i="1" a="1"/>
  <c r="A2539" i="1" s="1"/>
  <c r="A2540" i="1" a="1"/>
  <c r="A2540" i="1" s="1"/>
  <c r="A2541" i="1" a="1"/>
  <c r="A2541" i="1" s="1"/>
  <c r="A2542" i="1" a="1"/>
  <c r="A2542" i="1" s="1"/>
  <c r="A2543" i="1" a="1"/>
  <c r="A2543" i="1" s="1"/>
  <c r="A2544" i="1" a="1"/>
  <c r="A2544" i="1" s="1"/>
  <c r="A2545" i="1" a="1"/>
  <c r="A2545" i="1" s="1"/>
  <c r="A2546" i="1" a="1"/>
  <c r="A2546" i="1" s="1"/>
  <c r="A2547" i="1" a="1"/>
  <c r="A2547" i="1" s="1"/>
  <c r="A2548" i="1" a="1"/>
  <c r="A2548" i="1" s="1"/>
  <c r="A2549" i="1" a="1"/>
  <c r="A2549" i="1" s="1"/>
  <c r="A2550" i="1" a="1"/>
  <c r="A2550" i="1" s="1"/>
  <c r="A2551" i="1" a="1"/>
  <c r="A2551" i="1" s="1"/>
  <c r="A2552" i="1" a="1"/>
  <c r="A2552" i="1" s="1"/>
  <c r="A2553" i="1" a="1"/>
  <c r="A2553" i="1" s="1"/>
  <c r="A2554" i="1" a="1"/>
  <c r="A2554" i="1" s="1"/>
  <c r="A2555" i="1" a="1"/>
  <c r="A2555" i="1" s="1"/>
  <c r="A2556" i="1" a="1"/>
  <c r="A2556" i="1" s="1"/>
  <c r="A2557" i="1" a="1"/>
  <c r="A2557" i="1" s="1"/>
  <c r="A2558" i="1" a="1"/>
  <c r="A2558" i="1" s="1"/>
  <c r="A2559" i="1" a="1"/>
  <c r="A2559" i="1" s="1"/>
  <c r="A2560" i="1" a="1"/>
  <c r="A2560" i="1" s="1"/>
  <c r="A2561" i="1" a="1"/>
  <c r="A2561" i="1" s="1"/>
  <c r="A2562" i="1" a="1"/>
  <c r="A2562" i="1" s="1"/>
  <c r="A2563" i="1" a="1"/>
  <c r="A2563" i="1" s="1"/>
  <c r="A2564" i="1" a="1"/>
  <c r="A2564" i="1" s="1"/>
  <c r="A2565" i="1" a="1"/>
  <c r="A2565" i="1" s="1"/>
  <c r="A2566" i="1" a="1"/>
  <c r="A2566" i="1" s="1"/>
  <c r="A2567" i="1" a="1"/>
  <c r="A2567" i="1" s="1"/>
  <c r="A2568" i="1" a="1"/>
  <c r="A2568" i="1" s="1"/>
  <c r="A2569" i="1" a="1"/>
  <c r="A2569" i="1" s="1"/>
  <c r="A2570" i="1" a="1"/>
  <c r="A2570" i="1" s="1"/>
  <c r="A2571" i="1" a="1"/>
  <c r="A2571" i="1" s="1"/>
  <c r="A2572" i="1" a="1"/>
  <c r="A2572" i="1" s="1"/>
  <c r="A2573" i="1" a="1"/>
  <c r="A2573" i="1" s="1"/>
  <c r="A2574" i="1" a="1"/>
  <c r="A2574" i="1" s="1"/>
  <c r="A2575" i="1" a="1"/>
  <c r="A2575" i="1" s="1"/>
  <c r="A2576" i="1" a="1"/>
  <c r="A2576" i="1" s="1"/>
  <c r="A2577" i="1" a="1"/>
  <c r="A2577" i="1" s="1"/>
  <c r="A2578" i="1" a="1"/>
  <c r="A2578" i="1" s="1"/>
  <c r="A2579" i="1" a="1"/>
  <c r="A2579" i="1" s="1"/>
  <c r="A2580" i="1" a="1"/>
  <c r="A2580" i="1" s="1"/>
  <c r="A2581" i="1" a="1"/>
  <c r="A2581" i="1" s="1"/>
  <c r="A2582" i="1" a="1"/>
  <c r="A2582" i="1" s="1"/>
  <c r="A2583" i="1" a="1"/>
  <c r="A2583" i="1" s="1"/>
  <c r="A2584" i="1" a="1"/>
  <c r="A2584" i="1" s="1"/>
  <c r="A2585" i="1" a="1"/>
  <c r="A2585" i="1" s="1"/>
  <c r="A2586" i="1" a="1"/>
  <c r="A2586" i="1" s="1"/>
  <c r="A2587" i="1" a="1"/>
  <c r="A2587" i="1" s="1"/>
  <c r="A2588" i="1" a="1"/>
  <c r="A2588" i="1" s="1"/>
  <c r="A2589" i="1" a="1"/>
  <c r="A2589" i="1" s="1"/>
  <c r="A2590" i="1" a="1"/>
  <c r="A2590" i="1" s="1"/>
  <c r="A2591" i="1" a="1"/>
  <c r="A2591" i="1" s="1"/>
  <c r="A2592" i="1" a="1"/>
  <c r="A2592" i="1" s="1"/>
  <c r="A2593" i="1" a="1"/>
  <c r="A2593" i="1" s="1"/>
  <c r="A2594" i="1" a="1"/>
  <c r="A2594" i="1" s="1"/>
  <c r="A2595" i="1" a="1"/>
  <c r="A2595" i="1" s="1"/>
  <c r="A2596" i="1" a="1"/>
  <c r="A2596" i="1" s="1"/>
  <c r="A2597" i="1" a="1"/>
  <c r="A2597" i="1" s="1"/>
  <c r="A2598" i="1" a="1"/>
  <c r="A2598" i="1" s="1"/>
  <c r="A2599" i="1" a="1"/>
  <c r="A2599" i="1" s="1"/>
  <c r="A2600" i="1" a="1"/>
  <c r="A2600" i="1" s="1"/>
  <c r="A2601" i="1" a="1"/>
  <c r="A2601" i="1" s="1"/>
  <c r="A2602" i="1" a="1"/>
  <c r="A2602" i="1" s="1"/>
  <c r="A2603" i="1" a="1"/>
  <c r="A2603" i="1" s="1"/>
  <c r="A2604" i="1" a="1"/>
  <c r="A2604" i="1" s="1"/>
  <c r="A2605" i="1" a="1"/>
  <c r="A2605" i="1" s="1"/>
  <c r="A2606" i="1" a="1"/>
  <c r="A2606" i="1" s="1"/>
  <c r="A2607" i="1" a="1"/>
  <c r="A2607" i="1" s="1"/>
  <c r="A2608" i="1" a="1"/>
  <c r="A2608" i="1" s="1"/>
  <c r="A2609" i="1" a="1"/>
  <c r="A2609" i="1" s="1"/>
  <c r="A2610" i="1" a="1"/>
  <c r="A2610" i="1" s="1"/>
  <c r="A2611" i="1" a="1"/>
  <c r="A2611" i="1" s="1"/>
  <c r="A2612" i="1" a="1"/>
  <c r="A2612" i="1" s="1"/>
  <c r="A2613" i="1" a="1"/>
  <c r="A2613" i="1" s="1"/>
  <c r="A2614" i="1" a="1"/>
  <c r="A2614" i="1" s="1"/>
  <c r="A2615" i="1" a="1"/>
  <c r="A2615" i="1" s="1"/>
  <c r="A2616" i="1" a="1"/>
  <c r="A2616" i="1" s="1"/>
  <c r="A2617" i="1" a="1"/>
  <c r="A2617" i="1" s="1"/>
  <c r="A2618" i="1" a="1"/>
  <c r="A2618" i="1" s="1"/>
  <c r="A2619" i="1" a="1"/>
  <c r="A2619" i="1" s="1"/>
  <c r="A2620" i="1" a="1"/>
  <c r="A2620" i="1" s="1"/>
  <c r="A2621" i="1" a="1"/>
  <c r="A2621" i="1" s="1"/>
  <c r="A2622" i="1" a="1"/>
  <c r="A2622" i="1" s="1"/>
  <c r="A2623" i="1" a="1"/>
  <c r="A2623" i="1" s="1"/>
  <c r="A2624" i="1" a="1"/>
  <c r="A2624" i="1" s="1"/>
  <c r="A2625" i="1" a="1"/>
  <c r="A2625" i="1" s="1"/>
  <c r="A2626" i="1" a="1"/>
  <c r="A2626" i="1" s="1"/>
  <c r="A2627" i="1" a="1"/>
  <c r="A2627" i="1" s="1"/>
  <c r="A2628" i="1" a="1"/>
  <c r="A2628" i="1" s="1"/>
  <c r="A2629" i="1" a="1"/>
  <c r="A2629" i="1" s="1"/>
  <c r="A2630" i="1" a="1"/>
  <c r="A2630" i="1" s="1"/>
  <c r="A2631" i="1" a="1"/>
  <c r="A2631" i="1" s="1"/>
  <c r="A2632" i="1" a="1"/>
  <c r="A2632" i="1" s="1"/>
  <c r="A2633" i="1" a="1"/>
  <c r="A2633" i="1" s="1"/>
  <c r="A2634" i="1" a="1"/>
  <c r="A2634" i="1" s="1"/>
  <c r="A2635" i="1" a="1"/>
  <c r="A2635" i="1" s="1"/>
  <c r="A2636" i="1" a="1"/>
  <c r="A2636" i="1" s="1"/>
  <c r="A2637" i="1" a="1"/>
  <c r="A2637" i="1" s="1"/>
  <c r="A2638" i="1" a="1"/>
  <c r="A2638" i="1" s="1"/>
  <c r="A2639" i="1" a="1"/>
  <c r="A2639" i="1" s="1"/>
  <c r="A2640" i="1" a="1"/>
  <c r="A2640" i="1" s="1"/>
  <c r="A2641" i="1" a="1"/>
  <c r="A2641" i="1" s="1"/>
  <c r="A2642" i="1" a="1"/>
  <c r="A2642" i="1" s="1"/>
  <c r="A2643" i="1" a="1"/>
  <c r="A2643" i="1" s="1"/>
  <c r="A2644" i="1" a="1"/>
  <c r="A2644" i="1" s="1"/>
  <c r="A2645" i="1" a="1"/>
  <c r="A2645" i="1" s="1"/>
  <c r="A2646" i="1" a="1"/>
  <c r="A2646" i="1" s="1"/>
  <c r="A2647" i="1" a="1"/>
  <c r="A2647" i="1" s="1"/>
  <c r="A2648" i="1" a="1"/>
  <c r="A2648" i="1" s="1"/>
  <c r="A2649" i="1" a="1"/>
  <c r="A2649" i="1" s="1"/>
  <c r="A2650" i="1" a="1"/>
  <c r="A2650" i="1" s="1"/>
  <c r="A2651" i="1" a="1"/>
  <c r="A2651" i="1" s="1"/>
  <c r="A2652" i="1" a="1"/>
  <c r="A2652" i="1" s="1"/>
  <c r="A2653" i="1" a="1"/>
  <c r="A2653" i="1" s="1"/>
  <c r="A2654" i="1" a="1"/>
  <c r="A2654" i="1" s="1"/>
  <c r="A2655" i="1" a="1"/>
  <c r="A2655" i="1" s="1"/>
  <c r="A2656" i="1" a="1"/>
  <c r="A2656" i="1" s="1"/>
  <c r="A2657" i="1" a="1"/>
  <c r="A2657" i="1" s="1"/>
  <c r="A2658" i="1" a="1"/>
  <c r="A2658" i="1" s="1"/>
  <c r="A2659" i="1" a="1"/>
  <c r="A2659" i="1" s="1"/>
  <c r="A2660" i="1" a="1"/>
  <c r="A2660" i="1" s="1"/>
  <c r="A2661" i="1" a="1"/>
  <c r="A2661" i="1" s="1"/>
  <c r="A2662" i="1" a="1"/>
  <c r="A2662" i="1" s="1"/>
  <c r="A2663" i="1" a="1"/>
  <c r="A2663" i="1" s="1"/>
  <c r="A2664" i="1" a="1"/>
  <c r="A2664" i="1" s="1"/>
  <c r="A2665" i="1" a="1"/>
  <c r="A2665" i="1" s="1"/>
  <c r="A2666" i="1" a="1"/>
  <c r="A2666" i="1" s="1"/>
  <c r="A2667" i="1" a="1"/>
  <c r="A2667" i="1" s="1"/>
  <c r="A2668" i="1" a="1"/>
  <c r="A2668" i="1" s="1"/>
  <c r="A2669" i="1" a="1"/>
  <c r="A2669" i="1" s="1"/>
  <c r="A2670" i="1" a="1"/>
  <c r="A2670" i="1" s="1"/>
  <c r="A2671" i="1" a="1"/>
  <c r="A2671" i="1" s="1"/>
  <c r="A2672" i="1" a="1"/>
  <c r="A2672" i="1" s="1"/>
  <c r="A2673" i="1" a="1"/>
  <c r="A2673" i="1" s="1"/>
  <c r="A2674" i="1" a="1"/>
  <c r="A2674" i="1" s="1"/>
  <c r="A2675" i="1" a="1"/>
  <c r="A2675" i="1" s="1"/>
  <c r="A2676" i="1" a="1"/>
  <c r="A2676" i="1" s="1"/>
  <c r="A2677" i="1" a="1"/>
  <c r="A2677" i="1" s="1"/>
  <c r="A2678" i="1" a="1"/>
  <c r="A2678" i="1" s="1"/>
  <c r="A2679" i="1" a="1"/>
  <c r="A2679" i="1" s="1"/>
  <c r="A2680" i="1" a="1"/>
  <c r="A2680" i="1" s="1"/>
  <c r="A2681" i="1" a="1"/>
  <c r="A2681" i="1" s="1"/>
  <c r="A2682" i="1" a="1"/>
  <c r="A2682" i="1" s="1"/>
  <c r="A2683" i="1" a="1"/>
  <c r="A2683" i="1" s="1"/>
  <c r="A2684" i="1" a="1"/>
  <c r="A2684" i="1" s="1"/>
  <c r="A2685" i="1" a="1"/>
  <c r="A2685" i="1" s="1"/>
  <c r="A2686" i="1" a="1"/>
  <c r="A2686" i="1" s="1"/>
  <c r="A2687" i="1" a="1"/>
  <c r="A2687" i="1" s="1"/>
  <c r="A2688" i="1" a="1"/>
  <c r="A2688" i="1" s="1"/>
  <c r="A2689" i="1" a="1"/>
  <c r="A2689" i="1" s="1"/>
  <c r="A2690" i="1" a="1"/>
  <c r="A2690" i="1" s="1"/>
  <c r="A2691" i="1" a="1"/>
  <c r="A2691" i="1" s="1"/>
  <c r="A2692" i="1" a="1"/>
  <c r="A2692" i="1" s="1"/>
  <c r="A2693" i="1" a="1"/>
  <c r="A2693" i="1" s="1"/>
  <c r="A2694" i="1" a="1"/>
  <c r="A2694" i="1" s="1"/>
  <c r="A2695" i="1" a="1"/>
  <c r="A2695" i="1" s="1"/>
  <c r="A2696" i="1" a="1"/>
  <c r="A2696" i="1" s="1"/>
  <c r="A2697" i="1" a="1"/>
  <c r="A2697" i="1" s="1"/>
  <c r="A2698" i="1" a="1"/>
  <c r="A2698" i="1" s="1"/>
  <c r="A2699" i="1" a="1"/>
  <c r="A2699" i="1" s="1"/>
  <c r="A2700" i="1" a="1"/>
  <c r="A2700" i="1" s="1"/>
  <c r="A2701" i="1" a="1"/>
  <c r="A2701" i="1" s="1"/>
  <c r="A2702" i="1" a="1"/>
  <c r="A2702" i="1" s="1"/>
  <c r="A2703" i="1" a="1"/>
  <c r="A2703" i="1" s="1"/>
  <c r="A2704" i="1" a="1"/>
  <c r="A2704" i="1" s="1"/>
  <c r="A2705" i="1" a="1"/>
  <c r="A2705" i="1" s="1"/>
  <c r="A2706" i="1" a="1"/>
  <c r="A2706" i="1" s="1"/>
  <c r="A2707" i="1" a="1"/>
  <c r="A2707" i="1" s="1"/>
  <c r="A2708" i="1" a="1"/>
  <c r="A2708" i="1" s="1"/>
  <c r="A2709" i="1" a="1"/>
  <c r="A2709" i="1" s="1"/>
  <c r="A2710" i="1" a="1"/>
  <c r="A2710" i="1" s="1"/>
  <c r="A2711" i="1" a="1"/>
  <c r="A2711" i="1" s="1"/>
  <c r="A2712" i="1" a="1"/>
  <c r="A2712" i="1" s="1"/>
  <c r="A2713" i="1" a="1"/>
  <c r="A2713" i="1" s="1"/>
  <c r="A2714" i="1" a="1"/>
  <c r="A2714" i="1" s="1"/>
  <c r="A2715" i="1" a="1"/>
  <c r="A2715" i="1" s="1"/>
  <c r="A2716" i="1" a="1"/>
  <c r="A2716" i="1" s="1"/>
  <c r="A2717" i="1" a="1"/>
  <c r="A2717" i="1" s="1"/>
  <c r="A2718" i="1" a="1"/>
  <c r="A2718" i="1" s="1"/>
  <c r="A2719" i="1" a="1"/>
  <c r="A2719" i="1" s="1"/>
  <c r="A2720" i="1" a="1"/>
  <c r="A2720" i="1" s="1"/>
  <c r="A2721" i="1" a="1"/>
  <c r="A2721" i="1" s="1"/>
  <c r="A2722" i="1" a="1"/>
  <c r="A2722" i="1" s="1"/>
  <c r="A2723" i="1" a="1"/>
  <c r="A2723" i="1" s="1"/>
  <c r="A2724" i="1" a="1"/>
  <c r="A2724" i="1" s="1"/>
  <c r="A2725" i="1" a="1"/>
  <c r="A2725" i="1" s="1"/>
  <c r="A2726" i="1" a="1"/>
  <c r="A2726" i="1" s="1"/>
  <c r="A2727" i="1" a="1"/>
  <c r="A2727" i="1" s="1"/>
  <c r="A2728" i="1" a="1"/>
  <c r="A2728" i="1" s="1"/>
  <c r="A2729" i="1" a="1"/>
  <c r="A2729" i="1" s="1"/>
  <c r="A2730" i="1" a="1"/>
  <c r="A2730" i="1" s="1"/>
  <c r="A2731" i="1" a="1"/>
  <c r="A2731" i="1" s="1"/>
  <c r="A2732" i="1" a="1"/>
  <c r="A2732" i="1" s="1"/>
  <c r="A2733" i="1" a="1"/>
  <c r="A2733" i="1" s="1"/>
  <c r="A2734" i="1" a="1"/>
  <c r="A2734" i="1" s="1"/>
  <c r="A2735" i="1" a="1"/>
  <c r="A2735" i="1" s="1"/>
  <c r="A2736" i="1" a="1"/>
  <c r="A2736" i="1" s="1"/>
  <c r="A2737" i="1" a="1"/>
  <c r="A2737" i="1" s="1"/>
  <c r="A2738" i="1" a="1"/>
  <c r="A2738" i="1" s="1"/>
  <c r="A2739" i="1" a="1"/>
  <c r="A2739" i="1" s="1"/>
  <c r="A2740" i="1" a="1"/>
  <c r="A2740" i="1" s="1"/>
  <c r="A2741" i="1" a="1"/>
  <c r="A2741" i="1" s="1"/>
  <c r="A2742" i="1" a="1"/>
  <c r="A2742" i="1" s="1"/>
  <c r="A2743" i="1" a="1"/>
  <c r="A2743" i="1" s="1"/>
  <c r="A2744" i="1" a="1"/>
  <c r="A2744" i="1" s="1"/>
  <c r="A2745" i="1" a="1"/>
  <c r="A2745" i="1" s="1"/>
  <c r="A2746" i="1" a="1"/>
  <c r="A2746" i="1" s="1"/>
  <c r="A2747" i="1" a="1"/>
  <c r="A2747" i="1" s="1"/>
  <c r="A2748" i="1" a="1"/>
  <c r="A2748" i="1" s="1"/>
  <c r="A2749" i="1" a="1"/>
  <c r="A2749" i="1" s="1"/>
  <c r="A2750" i="1" a="1"/>
  <c r="A2750" i="1" s="1"/>
  <c r="A2751" i="1" a="1"/>
  <c r="A2751" i="1" s="1"/>
  <c r="A2752" i="1" a="1"/>
  <c r="A2752" i="1" s="1"/>
  <c r="A2753" i="1" a="1"/>
  <c r="A2753" i="1" s="1"/>
  <c r="A2754" i="1" a="1"/>
  <c r="A2754" i="1" s="1"/>
  <c r="A2755" i="1" a="1"/>
  <c r="A2755" i="1" s="1"/>
  <c r="A2756" i="1" a="1"/>
  <c r="A2756" i="1" s="1"/>
  <c r="A2757" i="1" a="1"/>
  <c r="A2757" i="1" s="1"/>
  <c r="A2758" i="1" a="1"/>
  <c r="A2758" i="1" s="1"/>
  <c r="A2759" i="1" a="1"/>
  <c r="A2759" i="1" s="1"/>
  <c r="A2760" i="1" a="1"/>
  <c r="A2760" i="1" s="1"/>
  <c r="A2761" i="1" a="1"/>
  <c r="A2761" i="1" s="1"/>
  <c r="A2762" i="1" a="1"/>
  <c r="A2762" i="1" s="1"/>
  <c r="A2763" i="1" a="1"/>
  <c r="A2763" i="1" s="1"/>
  <c r="A2764" i="1" a="1"/>
  <c r="A2764" i="1" s="1"/>
  <c r="A2765" i="1" a="1"/>
  <c r="A2765" i="1" s="1"/>
  <c r="A2766" i="1" a="1"/>
  <c r="A2766" i="1" s="1"/>
  <c r="A2767" i="1" a="1"/>
  <c r="A2767" i="1" s="1"/>
  <c r="A2768" i="1" a="1"/>
  <c r="A2768" i="1" s="1"/>
  <c r="A2769" i="1" a="1"/>
  <c r="A2769" i="1" s="1"/>
  <c r="A2770" i="1" a="1"/>
  <c r="A2770" i="1" s="1"/>
  <c r="A2771" i="1" a="1"/>
  <c r="A2771" i="1" s="1"/>
  <c r="A2772" i="1" a="1"/>
  <c r="A2772" i="1" s="1"/>
  <c r="A2773" i="1" a="1"/>
  <c r="A2773" i="1" s="1"/>
  <c r="A2774" i="1" a="1"/>
  <c r="A2774" i="1" s="1"/>
  <c r="A2775" i="1" a="1"/>
  <c r="A2775" i="1" s="1"/>
  <c r="A2776" i="1" a="1"/>
  <c r="A2776" i="1" s="1"/>
  <c r="A2777" i="1" a="1"/>
  <c r="A2777" i="1" s="1"/>
  <c r="A2778" i="1" a="1"/>
  <c r="A2778" i="1" s="1"/>
  <c r="A2779" i="1" a="1"/>
  <c r="A2779" i="1" s="1"/>
  <c r="A2780" i="1" a="1"/>
  <c r="A2780" i="1" s="1"/>
  <c r="A2781" i="1" a="1"/>
  <c r="A2781" i="1" s="1"/>
  <c r="A2782" i="1" a="1"/>
  <c r="A2782" i="1" s="1"/>
  <c r="A2783" i="1" a="1"/>
  <c r="A2783" i="1" s="1"/>
  <c r="A2784" i="1" a="1"/>
  <c r="A2784" i="1" s="1"/>
  <c r="A2785" i="1" a="1"/>
  <c r="A2785" i="1" s="1"/>
  <c r="A2786" i="1" a="1"/>
  <c r="A2786" i="1" s="1"/>
  <c r="A2787" i="1" a="1"/>
  <c r="A2787" i="1" s="1"/>
  <c r="A2788" i="1" a="1"/>
  <c r="A2788" i="1" s="1"/>
  <c r="A2789" i="1" a="1"/>
  <c r="A2789" i="1" s="1"/>
  <c r="A2790" i="1" a="1"/>
  <c r="A2790" i="1" s="1"/>
  <c r="A2791" i="1" a="1"/>
  <c r="A2791" i="1" s="1"/>
  <c r="A2792" i="1" a="1"/>
  <c r="A2792" i="1" s="1"/>
  <c r="A2793" i="1" a="1"/>
  <c r="A2793" i="1" s="1"/>
  <c r="A2794" i="1" a="1"/>
  <c r="A2794" i="1" s="1"/>
  <c r="A2795" i="1" a="1"/>
  <c r="A2795" i="1" s="1"/>
  <c r="A2796" i="1" a="1"/>
  <c r="A2796" i="1" s="1"/>
  <c r="A2797" i="1" a="1"/>
  <c r="A2797" i="1" s="1"/>
  <c r="A2798" i="1" a="1"/>
  <c r="A2798" i="1" s="1"/>
  <c r="A2799" i="1" a="1"/>
  <c r="A2799" i="1" s="1"/>
  <c r="A2800" i="1" a="1"/>
  <c r="A2800" i="1" s="1"/>
  <c r="A2801" i="1" a="1"/>
  <c r="A2801" i="1" s="1"/>
  <c r="A2802" i="1" a="1"/>
  <c r="A2802" i="1" s="1"/>
  <c r="A2803" i="1" a="1"/>
  <c r="A2803" i="1" s="1"/>
  <c r="A2804" i="1" a="1"/>
  <c r="A2804" i="1" s="1"/>
  <c r="A2805" i="1" a="1"/>
  <c r="A2805" i="1" s="1"/>
  <c r="A2806" i="1" a="1"/>
  <c r="A2806" i="1" s="1"/>
  <c r="A2807" i="1" a="1"/>
  <c r="A2807" i="1" s="1"/>
  <c r="A2808" i="1" a="1"/>
  <c r="A2808" i="1" s="1"/>
  <c r="A2809" i="1" a="1"/>
  <c r="A2809" i="1" s="1"/>
  <c r="A2810" i="1" a="1"/>
  <c r="A2810" i="1" s="1"/>
  <c r="A2811" i="1" a="1"/>
  <c r="A2811" i="1" s="1"/>
  <c r="A2812" i="1" a="1"/>
  <c r="A2812" i="1" s="1"/>
  <c r="A2813" i="1" a="1"/>
  <c r="A2813" i="1" s="1"/>
  <c r="A2814" i="1" a="1"/>
  <c r="A2814" i="1" s="1"/>
  <c r="A2815" i="1" a="1"/>
  <c r="A2815" i="1" s="1"/>
  <c r="A2816" i="1" a="1"/>
  <c r="A2816" i="1" s="1"/>
  <c r="A2817" i="1" a="1"/>
  <c r="A2817" i="1" s="1"/>
  <c r="A2818" i="1" a="1"/>
  <c r="A2818" i="1" s="1"/>
  <c r="A2819" i="1" a="1"/>
  <c r="A2819" i="1" s="1"/>
  <c r="A2820" i="1" a="1"/>
  <c r="A2820" i="1" s="1"/>
  <c r="A2821" i="1" a="1"/>
  <c r="A2821" i="1" s="1"/>
  <c r="A2822" i="1" a="1"/>
  <c r="A2822" i="1" s="1"/>
  <c r="A2823" i="1" a="1"/>
  <c r="A2823" i="1" s="1"/>
  <c r="A2824" i="1" a="1"/>
  <c r="A2824" i="1" s="1"/>
  <c r="A2825" i="1" a="1"/>
  <c r="A2825" i="1" s="1"/>
  <c r="A2826" i="1" a="1"/>
  <c r="A2826" i="1" s="1"/>
  <c r="A2827" i="1" a="1"/>
  <c r="A2827" i="1" s="1"/>
  <c r="A2828" i="1" a="1"/>
  <c r="A2828" i="1" s="1"/>
  <c r="A2829" i="1" a="1"/>
  <c r="A2829" i="1" s="1"/>
  <c r="A2830" i="1" a="1"/>
  <c r="A2830" i="1" s="1"/>
  <c r="A2831" i="1" a="1"/>
  <c r="A2831" i="1" s="1"/>
  <c r="A2832" i="1" a="1"/>
  <c r="A2832" i="1" s="1"/>
  <c r="A2833" i="1" a="1"/>
  <c r="A2833" i="1" s="1"/>
  <c r="A2834" i="1" a="1"/>
  <c r="A2834" i="1" s="1"/>
  <c r="A2835" i="1" a="1"/>
  <c r="A2835" i="1" s="1"/>
  <c r="A2836" i="1" a="1"/>
  <c r="A2836" i="1" s="1"/>
  <c r="A2837" i="1" a="1"/>
  <c r="A2837" i="1" s="1"/>
  <c r="A2838" i="1" a="1"/>
  <c r="A2838" i="1" s="1"/>
  <c r="A2839" i="1" a="1"/>
  <c r="A2839" i="1" s="1"/>
  <c r="A2840" i="1" a="1"/>
  <c r="A2840" i="1" s="1"/>
  <c r="A2841" i="1" a="1"/>
  <c r="A2841" i="1" s="1"/>
  <c r="A2842" i="1" a="1"/>
  <c r="A2842" i="1" s="1"/>
  <c r="A2843" i="1" a="1"/>
  <c r="A2843" i="1" s="1"/>
  <c r="A2844" i="1" a="1"/>
  <c r="A2844" i="1" s="1"/>
  <c r="A2845" i="1" a="1"/>
  <c r="A2845" i="1" s="1"/>
  <c r="A2846" i="1" a="1"/>
  <c r="A2846" i="1" s="1"/>
  <c r="A2847" i="1" a="1"/>
  <c r="A2847" i="1" s="1"/>
  <c r="A2848" i="1" a="1"/>
  <c r="A2848" i="1" s="1"/>
  <c r="A2849" i="1" a="1"/>
  <c r="A2849" i="1" s="1"/>
  <c r="A2850" i="1" a="1"/>
  <c r="A2850" i="1" s="1"/>
  <c r="A2851" i="1" a="1"/>
  <c r="A2851" i="1" s="1"/>
  <c r="A2852" i="1" a="1"/>
  <c r="A2852" i="1" s="1"/>
  <c r="A2853" i="1" a="1"/>
  <c r="A2853" i="1" s="1"/>
  <c r="A2854" i="1" a="1"/>
  <c r="A2854" i="1" s="1"/>
  <c r="A2855" i="1" a="1"/>
  <c r="A2855" i="1" s="1"/>
  <c r="A2856" i="1" a="1"/>
  <c r="A2856" i="1" s="1"/>
  <c r="A2857" i="1" a="1"/>
  <c r="A2857" i="1" s="1"/>
  <c r="A2858" i="1" a="1"/>
  <c r="A2858" i="1" s="1"/>
  <c r="A2859" i="1" a="1"/>
  <c r="A2859" i="1" s="1"/>
  <c r="A2860" i="1" a="1"/>
  <c r="A2860" i="1" s="1"/>
  <c r="A2861" i="1" a="1"/>
  <c r="A2861" i="1" s="1"/>
  <c r="A2862" i="1" a="1"/>
  <c r="A2862" i="1" s="1"/>
  <c r="A2863" i="1" a="1"/>
  <c r="A2863" i="1" s="1"/>
  <c r="A2864" i="1" a="1"/>
  <c r="A2864" i="1" s="1"/>
  <c r="A2865" i="1" a="1"/>
  <c r="A2865" i="1" s="1"/>
  <c r="A2866" i="1" a="1"/>
  <c r="A2866" i="1" s="1"/>
  <c r="A2867" i="1" a="1"/>
  <c r="A2867" i="1" s="1"/>
  <c r="A2868" i="1" a="1"/>
  <c r="A2868" i="1" s="1"/>
  <c r="A2869" i="1" a="1"/>
  <c r="A2869" i="1" s="1"/>
  <c r="A2870" i="1" a="1"/>
  <c r="A2870" i="1" s="1"/>
  <c r="A2871" i="1" a="1"/>
  <c r="A2871" i="1" s="1"/>
  <c r="A2872" i="1" a="1"/>
  <c r="A2872" i="1" s="1"/>
  <c r="A2873" i="1" a="1"/>
  <c r="A2873" i="1" s="1"/>
  <c r="A2874" i="1" a="1"/>
  <c r="A2874" i="1" s="1"/>
  <c r="A2875" i="1" a="1"/>
  <c r="A2875" i="1" s="1"/>
  <c r="A2876" i="1" a="1"/>
  <c r="A2876" i="1" s="1"/>
  <c r="A2877" i="1" a="1"/>
  <c r="A2877" i="1" s="1"/>
  <c r="A2878" i="1" a="1"/>
  <c r="A2878" i="1" s="1"/>
  <c r="A2879" i="1" a="1"/>
  <c r="A2879" i="1" s="1"/>
  <c r="A2880" i="1" a="1"/>
  <c r="A2880" i="1" s="1"/>
  <c r="A2881" i="1" a="1"/>
  <c r="A2881" i="1" s="1"/>
  <c r="A2882" i="1" a="1"/>
  <c r="A2882" i="1" s="1"/>
  <c r="A2883" i="1" a="1"/>
  <c r="A2883" i="1" s="1"/>
  <c r="A2884" i="1" a="1"/>
  <c r="A2884" i="1" s="1"/>
  <c r="A2885" i="1" a="1"/>
  <c r="A2885" i="1" s="1"/>
  <c r="A2886" i="1" a="1"/>
  <c r="A2886" i="1" s="1"/>
  <c r="A2887" i="1" a="1"/>
  <c r="A2887" i="1" s="1"/>
  <c r="A2888" i="1" a="1"/>
  <c r="A2888" i="1" s="1"/>
  <c r="A2889" i="1" a="1"/>
  <c r="A2889" i="1" s="1"/>
  <c r="A2890" i="1" a="1"/>
  <c r="A2890" i="1" s="1"/>
  <c r="A2891" i="1" a="1"/>
  <c r="A2891" i="1" s="1"/>
  <c r="A2892" i="1" a="1"/>
  <c r="A2892" i="1" s="1"/>
  <c r="A2893" i="1" a="1"/>
  <c r="A2893" i="1" s="1"/>
  <c r="A2894" i="1" a="1"/>
  <c r="A2894" i="1" s="1"/>
  <c r="A2895" i="1" a="1"/>
  <c r="A2895" i="1" s="1"/>
  <c r="A2896" i="1" a="1"/>
  <c r="A2896" i="1" s="1"/>
  <c r="A2897" i="1" a="1"/>
  <c r="A2897" i="1" s="1"/>
  <c r="A2898" i="1" a="1"/>
  <c r="A2898" i="1" s="1"/>
  <c r="A2899" i="1" a="1"/>
  <c r="A2899" i="1" s="1"/>
  <c r="A2900" i="1" a="1"/>
  <c r="A2900" i="1" s="1"/>
  <c r="A2901" i="1" a="1"/>
  <c r="A2901" i="1" s="1"/>
  <c r="A2902" i="1" a="1"/>
  <c r="A2902" i="1" s="1"/>
  <c r="A2903" i="1" a="1"/>
  <c r="A2903" i="1" s="1"/>
  <c r="A2904" i="1" a="1"/>
  <c r="A2904" i="1" s="1"/>
  <c r="A2905" i="1" a="1"/>
  <c r="A2905" i="1" s="1"/>
  <c r="A2906" i="1" a="1"/>
  <c r="A2906" i="1" s="1"/>
  <c r="A2907" i="1" a="1"/>
  <c r="A2907" i="1" s="1"/>
  <c r="A2908" i="1" a="1"/>
  <c r="A2908" i="1" s="1"/>
  <c r="A2909" i="1" a="1"/>
  <c r="A2909" i="1" s="1"/>
  <c r="A2910" i="1" a="1"/>
  <c r="A2910" i="1" s="1"/>
  <c r="A2911" i="1" a="1"/>
  <c r="A2911" i="1" s="1"/>
  <c r="A2912" i="1" a="1"/>
  <c r="A2912" i="1" s="1"/>
  <c r="A2913" i="1" a="1"/>
  <c r="A2913" i="1" s="1"/>
  <c r="A2914" i="1" a="1"/>
  <c r="A2914" i="1" s="1"/>
  <c r="A2915" i="1" a="1"/>
  <c r="A2915" i="1" s="1"/>
  <c r="A2916" i="1" a="1"/>
  <c r="A2916" i="1" s="1"/>
  <c r="A2917" i="1" a="1"/>
  <c r="A2917" i="1" s="1"/>
  <c r="A2918" i="1" a="1"/>
  <c r="A2918" i="1" s="1"/>
  <c r="A2919" i="1" a="1"/>
  <c r="A2919" i="1" s="1"/>
  <c r="A2920" i="1" a="1"/>
  <c r="A2920" i="1" s="1"/>
  <c r="A2921" i="1" a="1"/>
  <c r="A2921" i="1" s="1"/>
  <c r="A2922" i="1" a="1"/>
  <c r="A2922" i="1" s="1"/>
  <c r="A2923" i="1" a="1"/>
  <c r="A2923" i="1" s="1"/>
  <c r="A2924" i="1" a="1"/>
  <c r="A2924" i="1" s="1"/>
  <c r="A2925" i="1" a="1"/>
  <c r="A2925" i="1" s="1"/>
  <c r="A2926" i="1" a="1"/>
  <c r="A2926" i="1" s="1"/>
  <c r="A2927" i="1" a="1"/>
  <c r="A2927" i="1" s="1"/>
  <c r="A2928" i="1" a="1"/>
  <c r="A2928" i="1" s="1"/>
  <c r="A2929" i="1" a="1"/>
  <c r="A2929" i="1" s="1"/>
  <c r="A2930" i="1" a="1"/>
  <c r="A2930" i="1" s="1"/>
  <c r="A2931" i="1" a="1"/>
  <c r="A2931" i="1" s="1"/>
  <c r="A2932" i="1" a="1"/>
  <c r="A2932" i="1" s="1"/>
  <c r="A2933" i="1" a="1"/>
  <c r="A2933" i="1" s="1"/>
  <c r="A2934" i="1" a="1"/>
  <c r="A2934" i="1" s="1"/>
  <c r="A2935" i="1" a="1"/>
  <c r="A2935" i="1" s="1"/>
  <c r="A2936" i="1" a="1"/>
  <c r="A2936" i="1" s="1"/>
  <c r="A2937" i="1" a="1"/>
  <c r="A2937" i="1" s="1"/>
  <c r="A2938" i="1" a="1"/>
  <c r="A2938" i="1" s="1"/>
  <c r="A2939" i="1" a="1"/>
  <c r="A2939" i="1" s="1"/>
  <c r="A2940" i="1" a="1"/>
  <c r="A2940" i="1" s="1"/>
  <c r="A2941" i="1" a="1"/>
  <c r="A2941" i="1" s="1"/>
  <c r="A2942" i="1" a="1"/>
  <c r="A2942" i="1" s="1"/>
  <c r="A2943" i="1" a="1"/>
  <c r="A2943" i="1" s="1"/>
  <c r="A2944" i="1" a="1"/>
  <c r="A2944" i="1" s="1"/>
  <c r="A2945" i="1" a="1"/>
  <c r="A2945" i="1" s="1"/>
  <c r="A2946" i="1" a="1"/>
  <c r="A2946" i="1" s="1"/>
  <c r="A2947" i="1" a="1"/>
  <c r="A2947" i="1" s="1"/>
  <c r="A2948" i="1" a="1"/>
  <c r="A2948" i="1" s="1"/>
  <c r="A2949" i="1" a="1"/>
  <c r="A2949" i="1" s="1"/>
  <c r="A2950" i="1" a="1"/>
  <c r="A2950" i="1" s="1"/>
  <c r="A2951" i="1" a="1"/>
  <c r="A2951" i="1" s="1"/>
  <c r="A2952" i="1" a="1"/>
  <c r="A2952" i="1" s="1"/>
  <c r="A2953" i="1" a="1"/>
  <c r="A2953" i="1" s="1"/>
  <c r="A2954" i="1" a="1"/>
  <c r="A2954" i="1" s="1"/>
  <c r="A2955" i="1" a="1"/>
  <c r="A2955" i="1" s="1"/>
  <c r="A2956" i="1" a="1"/>
  <c r="A2956" i="1" s="1"/>
  <c r="A2957" i="1" a="1"/>
  <c r="A2957" i="1" s="1"/>
  <c r="A2958" i="1" a="1"/>
  <c r="A2958" i="1" s="1"/>
  <c r="A2959" i="1" a="1"/>
  <c r="A2959" i="1" s="1"/>
  <c r="A2960" i="1" a="1"/>
  <c r="A2960" i="1" s="1"/>
  <c r="A2961" i="1" a="1"/>
  <c r="A2961" i="1" s="1"/>
  <c r="A2962" i="1" a="1"/>
  <c r="A2962" i="1" s="1"/>
  <c r="A2963" i="1" a="1"/>
  <c r="A2963" i="1" s="1"/>
  <c r="A2964" i="1" a="1"/>
  <c r="A2964" i="1" s="1"/>
  <c r="A2965" i="1" a="1"/>
  <c r="A2965" i="1" s="1"/>
  <c r="A2966" i="1" a="1"/>
  <c r="A2966" i="1" s="1"/>
  <c r="A2967" i="1" a="1"/>
  <c r="A2967" i="1" s="1"/>
  <c r="A2968" i="1" a="1"/>
  <c r="A2968" i="1" s="1"/>
  <c r="A2969" i="1" a="1"/>
  <c r="A2969" i="1" s="1"/>
  <c r="A2970" i="1" a="1"/>
  <c r="A2970" i="1" s="1"/>
  <c r="A2971" i="1" a="1"/>
  <c r="A2971" i="1" s="1"/>
  <c r="A2972" i="1" a="1"/>
  <c r="A2972" i="1" s="1"/>
  <c r="A2973" i="1" a="1"/>
  <c r="A2973" i="1" s="1"/>
  <c r="A2974" i="1" a="1"/>
  <c r="A2974" i="1" s="1"/>
  <c r="A2975" i="1" a="1"/>
  <c r="A2975" i="1" s="1"/>
  <c r="A2976" i="1" a="1"/>
  <c r="A2976" i="1" s="1"/>
  <c r="A2977" i="1" a="1"/>
  <c r="A2977" i="1" s="1"/>
  <c r="A2978" i="1" a="1"/>
  <c r="A2978" i="1" s="1"/>
  <c r="A2979" i="1" a="1"/>
  <c r="A2979" i="1" s="1"/>
  <c r="A2980" i="1" a="1"/>
  <c r="A2980" i="1" s="1"/>
  <c r="A2981" i="1" a="1"/>
  <c r="A2981" i="1" s="1"/>
  <c r="A2982" i="1" a="1"/>
  <c r="A2982" i="1" s="1"/>
  <c r="A2983" i="1" a="1"/>
  <c r="A2983" i="1" s="1"/>
  <c r="A2984" i="1" a="1"/>
  <c r="A2984" i="1" s="1"/>
  <c r="A2985" i="1" a="1"/>
  <c r="A2985" i="1" s="1"/>
  <c r="A2986" i="1" a="1"/>
  <c r="A2986" i="1" s="1"/>
  <c r="A2987" i="1" a="1"/>
  <c r="A2987" i="1" s="1"/>
  <c r="A2988" i="1" a="1"/>
  <c r="A2988" i="1" s="1"/>
  <c r="A2989" i="1" a="1"/>
  <c r="A2989" i="1" s="1"/>
  <c r="A2990" i="1" a="1"/>
  <c r="A2990" i="1" s="1"/>
  <c r="A2991" i="1" a="1"/>
  <c r="A2991" i="1" s="1"/>
  <c r="A2992" i="1" a="1"/>
  <c r="A2992" i="1" s="1"/>
  <c r="A2993" i="1" a="1"/>
  <c r="A2993" i="1" s="1"/>
  <c r="A2994" i="1" a="1"/>
  <c r="A2994" i="1" s="1"/>
  <c r="A2995" i="1" a="1"/>
  <c r="A2995" i="1" s="1"/>
  <c r="A2996" i="1" a="1"/>
  <c r="A2996" i="1" s="1"/>
  <c r="A2997" i="1" a="1"/>
  <c r="A2997" i="1" s="1"/>
  <c r="A2998" i="1" a="1"/>
  <c r="A2998" i="1" s="1"/>
  <c r="A2999" i="1" a="1"/>
  <c r="A2999" i="1" s="1"/>
  <c r="A3000" i="1" a="1"/>
  <c r="A3000" i="1" s="1"/>
  <c r="A3001" i="1" a="1"/>
  <c r="A3001" i="1" s="1"/>
  <c r="A3002" i="1" a="1"/>
  <c r="A3002" i="1" s="1"/>
  <c r="A3003" i="1" a="1"/>
  <c r="A3003" i="1" s="1"/>
  <c r="A3004" i="1" a="1"/>
  <c r="A3004" i="1" s="1"/>
  <c r="A3005" i="1" a="1"/>
  <c r="A3005" i="1" s="1"/>
  <c r="A3006" i="1" a="1"/>
  <c r="A3006" i="1" s="1"/>
  <c r="A3007" i="1" a="1"/>
  <c r="A3007" i="1" s="1"/>
  <c r="A3008" i="1" a="1"/>
  <c r="A3008" i="1" s="1"/>
  <c r="A3009" i="1" a="1"/>
  <c r="A3009" i="1" s="1"/>
  <c r="A3010" i="1" a="1"/>
  <c r="A3010" i="1" s="1"/>
  <c r="A3011" i="1" a="1"/>
  <c r="A3011" i="1" s="1"/>
  <c r="A3012" i="1" a="1"/>
  <c r="A3012" i="1" s="1"/>
  <c r="A3013" i="1" a="1"/>
  <c r="A3013" i="1" s="1"/>
  <c r="A3014" i="1" a="1"/>
  <c r="A3014" i="1" s="1"/>
  <c r="A3015" i="1" a="1"/>
  <c r="A3015" i="1" s="1"/>
  <c r="A3016" i="1" a="1"/>
  <c r="A3016" i="1" s="1"/>
  <c r="A3017" i="1" a="1"/>
  <c r="A3017" i="1" s="1"/>
  <c r="A3018" i="1" a="1"/>
  <c r="A3018" i="1" s="1"/>
  <c r="A3019" i="1" a="1"/>
  <c r="A3019" i="1" s="1"/>
  <c r="A3020" i="1" a="1"/>
  <c r="A3020" i="1" s="1"/>
  <c r="A3021" i="1" a="1"/>
  <c r="A3021" i="1" s="1"/>
  <c r="A3022" i="1" a="1"/>
  <c r="A3022" i="1" s="1"/>
  <c r="A3023" i="1" a="1"/>
  <c r="A3023" i="1" s="1"/>
  <c r="A3024" i="1" a="1"/>
  <c r="A3024" i="1" s="1"/>
  <c r="A3025" i="1" a="1"/>
  <c r="A3025" i="1" s="1"/>
  <c r="A3026" i="1" a="1"/>
  <c r="A3026" i="1" s="1"/>
  <c r="A3027" i="1" a="1"/>
  <c r="A3027" i="1" s="1"/>
  <c r="A3028" i="1" a="1"/>
  <c r="A3028" i="1" s="1"/>
  <c r="A3029" i="1" a="1"/>
  <c r="A3029" i="1" s="1"/>
  <c r="A3030" i="1" a="1"/>
  <c r="A3030" i="1" s="1"/>
  <c r="A3031" i="1" a="1"/>
  <c r="A3031" i="1" s="1"/>
  <c r="A3032" i="1" a="1"/>
  <c r="A3032" i="1" s="1"/>
  <c r="A3033" i="1" a="1"/>
  <c r="A3033" i="1" s="1"/>
  <c r="A3034" i="1" a="1"/>
  <c r="A3034" i="1" s="1"/>
  <c r="A3035" i="1" a="1"/>
  <c r="A3035" i="1" s="1"/>
  <c r="A3036" i="1" a="1"/>
  <c r="A3036" i="1" s="1"/>
  <c r="A3037" i="1" a="1"/>
  <c r="A3037" i="1" s="1"/>
  <c r="A3038" i="1" a="1"/>
  <c r="A3038" i="1" s="1"/>
  <c r="A3039" i="1" a="1"/>
  <c r="A3039" i="1" s="1"/>
  <c r="A3040" i="1" a="1"/>
  <c r="A3040" i="1" s="1"/>
  <c r="A3041" i="1" a="1"/>
  <c r="A3041" i="1" s="1"/>
  <c r="A3042" i="1" a="1"/>
  <c r="A3042" i="1" s="1"/>
  <c r="A3043" i="1" a="1"/>
  <c r="A3043" i="1" s="1"/>
  <c r="A3044" i="1" a="1"/>
  <c r="A3044" i="1" s="1"/>
  <c r="A3045" i="1" a="1"/>
  <c r="A3045" i="1" s="1"/>
  <c r="A3046" i="1" a="1"/>
  <c r="A3046" i="1" s="1"/>
  <c r="A3047" i="1" a="1"/>
  <c r="A3047" i="1" s="1"/>
  <c r="A3048" i="1" a="1"/>
  <c r="A3048" i="1" s="1"/>
  <c r="A3049" i="1" a="1"/>
  <c r="A3049" i="1" s="1"/>
  <c r="A3050" i="1" a="1"/>
  <c r="A3050" i="1" s="1"/>
  <c r="A3051" i="1" a="1"/>
  <c r="A3051" i="1" s="1"/>
  <c r="A3052" i="1" a="1"/>
  <c r="A3052" i="1" s="1"/>
  <c r="A3053" i="1" a="1"/>
  <c r="A3053" i="1" s="1"/>
  <c r="A3054" i="1" a="1"/>
  <c r="A3054" i="1" s="1"/>
  <c r="A3055" i="1" a="1"/>
  <c r="A3055" i="1" s="1"/>
  <c r="A3056" i="1" a="1"/>
  <c r="A3056" i="1" s="1"/>
  <c r="A3057" i="1" a="1"/>
  <c r="A3057" i="1" s="1"/>
  <c r="A3058" i="1" a="1"/>
  <c r="A3058" i="1" s="1"/>
  <c r="A3059" i="1" a="1"/>
  <c r="A3059" i="1" s="1"/>
  <c r="A3060" i="1" a="1"/>
  <c r="A3060" i="1" s="1"/>
  <c r="A3061" i="1" a="1"/>
  <c r="A3061" i="1" s="1"/>
  <c r="A3062" i="1" a="1"/>
  <c r="A3062" i="1" s="1"/>
  <c r="A3063" i="1" a="1"/>
  <c r="A3063" i="1" s="1"/>
  <c r="A3064" i="1" a="1"/>
  <c r="A3064" i="1" s="1"/>
  <c r="A3065" i="1" a="1"/>
  <c r="A3065" i="1" s="1"/>
  <c r="A3066" i="1" a="1"/>
  <c r="A3066" i="1" s="1"/>
  <c r="A3067" i="1" a="1"/>
  <c r="A3067" i="1" s="1"/>
  <c r="A3068" i="1" a="1"/>
  <c r="A3068" i="1" s="1"/>
  <c r="A3069" i="1" a="1"/>
  <c r="A3069" i="1" s="1"/>
  <c r="A3070" i="1" a="1"/>
  <c r="A3070" i="1" s="1"/>
  <c r="A3071" i="1" a="1"/>
  <c r="A3071" i="1" s="1"/>
  <c r="A3072" i="1" a="1"/>
  <c r="A3072" i="1" s="1"/>
  <c r="A3073" i="1" a="1"/>
  <c r="A3073" i="1" s="1"/>
  <c r="A3074" i="1" a="1"/>
  <c r="A3074" i="1" s="1"/>
  <c r="A3075" i="1" a="1"/>
  <c r="A3075" i="1" s="1"/>
  <c r="A3076" i="1" a="1"/>
  <c r="A3076" i="1" s="1"/>
  <c r="A3077" i="1" a="1"/>
  <c r="A3077" i="1" s="1"/>
  <c r="A3078" i="1" a="1"/>
  <c r="A3078" i="1" s="1"/>
  <c r="A3079" i="1" a="1"/>
  <c r="A3079" i="1" s="1"/>
  <c r="A3080" i="1" a="1"/>
  <c r="A3080" i="1" s="1"/>
  <c r="A3081" i="1" a="1"/>
  <c r="A3081" i="1" s="1"/>
  <c r="A3082" i="1" a="1"/>
  <c r="A3082" i="1" s="1"/>
  <c r="A3083" i="1" a="1"/>
  <c r="A3083" i="1" s="1"/>
  <c r="A3084" i="1" a="1"/>
  <c r="A3084" i="1" s="1"/>
  <c r="A3085" i="1" a="1"/>
  <c r="A3085" i="1" s="1"/>
  <c r="A3086" i="1" a="1"/>
  <c r="A3086" i="1" s="1"/>
  <c r="A3087" i="1" a="1"/>
  <c r="A3087" i="1" s="1"/>
  <c r="A3088" i="1" a="1"/>
  <c r="A3088" i="1" s="1"/>
  <c r="A3089" i="1" a="1"/>
  <c r="A3089" i="1" s="1"/>
  <c r="A3090" i="1" a="1"/>
  <c r="A3090" i="1" s="1"/>
  <c r="A3091" i="1" a="1"/>
  <c r="A3091" i="1" s="1"/>
  <c r="A3092" i="1" a="1"/>
  <c r="A3092" i="1" s="1"/>
  <c r="A3093" i="1" a="1"/>
  <c r="A3093" i="1" s="1"/>
  <c r="A3094" i="1" a="1"/>
  <c r="A3094" i="1" s="1"/>
  <c r="A3095" i="1" a="1"/>
  <c r="A3095" i="1" s="1"/>
  <c r="A3096" i="1" a="1"/>
  <c r="A3096" i="1" s="1"/>
  <c r="A3097" i="1" a="1"/>
  <c r="A3097" i="1" s="1"/>
  <c r="A3098" i="1" a="1"/>
  <c r="A3098" i="1" s="1"/>
  <c r="A3099" i="1" a="1"/>
  <c r="A3099" i="1" s="1"/>
  <c r="A3100" i="1" a="1"/>
  <c r="A3100" i="1" s="1"/>
  <c r="A3101" i="1" a="1"/>
  <c r="A3101" i="1" s="1"/>
  <c r="A3102" i="1" a="1"/>
  <c r="A3102" i="1" s="1"/>
  <c r="A3103" i="1" a="1"/>
  <c r="A3103" i="1" s="1"/>
  <c r="A3104" i="1" a="1"/>
  <c r="A3104" i="1" s="1"/>
  <c r="A3105" i="1" a="1"/>
  <c r="A3105" i="1" s="1"/>
  <c r="A3106" i="1" a="1"/>
  <c r="A3106" i="1" s="1"/>
  <c r="A3107" i="1" a="1"/>
  <c r="A3107" i="1" s="1"/>
  <c r="A3108" i="1" a="1"/>
  <c r="A3108" i="1" s="1"/>
  <c r="A3109" i="1" a="1"/>
  <c r="A3109" i="1" s="1"/>
  <c r="A3110" i="1" a="1"/>
  <c r="A3110" i="1" s="1"/>
  <c r="A3111" i="1" a="1"/>
  <c r="A3111" i="1" s="1"/>
  <c r="A3112" i="1" a="1"/>
  <c r="A3112" i="1" s="1"/>
  <c r="A3113" i="1" a="1"/>
  <c r="A3113" i="1" s="1"/>
  <c r="A3114" i="1" a="1"/>
  <c r="A3114" i="1" s="1"/>
  <c r="A3115" i="1" a="1"/>
  <c r="A3115" i="1" s="1"/>
  <c r="A3116" i="1" a="1"/>
  <c r="A3116" i="1" s="1"/>
  <c r="A3117" i="1" a="1"/>
  <c r="A3117" i="1" s="1"/>
  <c r="A3118" i="1" a="1"/>
  <c r="A3118" i="1" s="1"/>
  <c r="A3119" i="1" a="1"/>
  <c r="A3119" i="1" s="1"/>
  <c r="A3120" i="1" a="1"/>
  <c r="A3120" i="1" s="1"/>
  <c r="A3121" i="1" a="1"/>
  <c r="A3121" i="1" s="1"/>
  <c r="A3122" i="1" a="1"/>
  <c r="A3122" i="1" s="1"/>
  <c r="A3123" i="1" a="1"/>
  <c r="A3123" i="1" s="1"/>
  <c r="A3124" i="1" a="1"/>
  <c r="A3124" i="1" s="1"/>
  <c r="A3125" i="1" a="1"/>
  <c r="A3125" i="1" s="1"/>
  <c r="A3126" i="1" a="1"/>
  <c r="A3126" i="1" s="1"/>
  <c r="A3127" i="1" a="1"/>
  <c r="A3127" i="1" s="1"/>
  <c r="A3128" i="1" a="1"/>
  <c r="A3128" i="1" s="1"/>
  <c r="A3129" i="1" a="1"/>
  <c r="A3129" i="1" s="1"/>
  <c r="A3130" i="1" a="1"/>
  <c r="A3130" i="1" s="1"/>
  <c r="A3131" i="1" a="1"/>
  <c r="A3131" i="1" s="1"/>
  <c r="A3132" i="1" a="1"/>
  <c r="A3132" i="1" s="1"/>
  <c r="A3133" i="1" a="1"/>
  <c r="A3133" i="1" s="1"/>
  <c r="A3134" i="1" a="1"/>
  <c r="A3134" i="1" s="1"/>
  <c r="A3135" i="1" a="1"/>
  <c r="A3135" i="1" s="1"/>
  <c r="A3136" i="1" a="1"/>
  <c r="A3136" i="1" s="1"/>
  <c r="A3137" i="1" a="1"/>
  <c r="A3137" i="1" s="1"/>
  <c r="A3138" i="1" a="1"/>
  <c r="A3138" i="1" s="1"/>
  <c r="A3139" i="1" a="1"/>
  <c r="A3139" i="1" s="1"/>
  <c r="A3140" i="1" a="1"/>
  <c r="A3140" i="1" s="1"/>
  <c r="A3141" i="1" a="1"/>
  <c r="A3141" i="1" s="1"/>
  <c r="A3142" i="1" a="1"/>
  <c r="A3142" i="1" s="1"/>
  <c r="A3143" i="1" a="1"/>
  <c r="A3143" i="1" s="1"/>
  <c r="A3144" i="1" a="1"/>
  <c r="A3144" i="1" s="1"/>
  <c r="A3145" i="1" a="1"/>
  <c r="A3145" i="1" s="1"/>
  <c r="A3146" i="1" a="1"/>
  <c r="A3146" i="1" s="1"/>
  <c r="A3147" i="1" a="1"/>
  <c r="A3147" i="1" s="1"/>
  <c r="A3148" i="1" a="1"/>
  <c r="A3148" i="1" s="1"/>
  <c r="A3149" i="1" a="1"/>
  <c r="A3149" i="1" s="1"/>
  <c r="A3150" i="1" a="1"/>
  <c r="A3150" i="1" s="1"/>
  <c r="A3151" i="1" a="1"/>
  <c r="A3151" i="1" s="1"/>
  <c r="A3152" i="1" a="1"/>
  <c r="A3152" i="1" s="1"/>
  <c r="A3153" i="1" a="1"/>
  <c r="A3153" i="1" s="1"/>
  <c r="A3154" i="1" a="1"/>
  <c r="A3154" i="1" s="1"/>
  <c r="A3155" i="1" a="1"/>
  <c r="A3155" i="1" s="1"/>
  <c r="A3156" i="1" a="1"/>
  <c r="A3156" i="1" s="1"/>
  <c r="A3157" i="1" a="1"/>
  <c r="A3157" i="1" s="1"/>
  <c r="A3158" i="1" a="1"/>
  <c r="A3158" i="1" s="1"/>
  <c r="A3159" i="1" a="1"/>
  <c r="A3159" i="1" s="1"/>
  <c r="A3160" i="1" a="1"/>
  <c r="A3160" i="1" s="1"/>
  <c r="A3161" i="1" a="1"/>
  <c r="A3161" i="1" s="1"/>
  <c r="A3162" i="1" a="1"/>
  <c r="A3162" i="1" s="1"/>
  <c r="A3163" i="1" a="1"/>
  <c r="A3163" i="1" s="1"/>
  <c r="A3164" i="1" a="1"/>
  <c r="A3164" i="1" s="1"/>
  <c r="A3165" i="1" a="1"/>
  <c r="A3165" i="1" s="1"/>
  <c r="A3166" i="1" a="1"/>
  <c r="A3166" i="1" s="1"/>
  <c r="A3167" i="1" a="1"/>
  <c r="A3167" i="1" s="1"/>
  <c r="A3168" i="1" a="1"/>
  <c r="A3168" i="1" s="1"/>
  <c r="A3169" i="1" a="1"/>
  <c r="A3169" i="1" s="1"/>
  <c r="A3170" i="1" a="1"/>
  <c r="A3170" i="1" s="1"/>
  <c r="A3171" i="1" a="1"/>
  <c r="A3171" i="1" s="1"/>
  <c r="A3172" i="1" a="1"/>
  <c r="A3172" i="1" s="1"/>
  <c r="A3173" i="1" a="1"/>
  <c r="A3173" i="1" s="1"/>
  <c r="A3174" i="1" a="1"/>
  <c r="A3174" i="1" s="1"/>
  <c r="A3175" i="1" a="1"/>
  <c r="A3175" i="1" s="1"/>
  <c r="A3176" i="1" a="1"/>
  <c r="A3176" i="1" s="1"/>
  <c r="A3177" i="1" a="1"/>
  <c r="A3177" i="1" s="1"/>
  <c r="A3178" i="1" a="1"/>
  <c r="A3178" i="1" s="1"/>
  <c r="A3179" i="1" a="1"/>
  <c r="A3179" i="1" s="1"/>
  <c r="A3180" i="1" a="1"/>
  <c r="A3180" i="1" s="1"/>
  <c r="A3181" i="1" a="1"/>
  <c r="A3181" i="1" s="1"/>
  <c r="A3182" i="1" a="1"/>
  <c r="A3182" i="1" s="1"/>
  <c r="A3183" i="1" a="1"/>
  <c r="A3183" i="1" s="1"/>
  <c r="A3184" i="1" a="1"/>
  <c r="A3184" i="1" s="1"/>
  <c r="A3185" i="1" a="1"/>
  <c r="A3185" i="1" s="1"/>
  <c r="A3186" i="1" a="1"/>
  <c r="A3186" i="1" s="1"/>
  <c r="A3187" i="1" a="1"/>
  <c r="A3187" i="1" s="1"/>
  <c r="A3188" i="1" a="1"/>
  <c r="A3188" i="1" s="1"/>
  <c r="A3189" i="1" a="1"/>
  <c r="A3189" i="1" s="1"/>
  <c r="A3190" i="1" a="1"/>
  <c r="A3190" i="1" s="1"/>
  <c r="A3191" i="1" a="1"/>
  <c r="A3191" i="1" s="1"/>
  <c r="A3192" i="1" a="1"/>
  <c r="A3192" i="1" s="1"/>
  <c r="A3193" i="1" a="1"/>
  <c r="A3193" i="1" s="1"/>
  <c r="A3194" i="1" a="1"/>
  <c r="A3194" i="1" s="1"/>
  <c r="A3195" i="1" a="1"/>
  <c r="A3195" i="1" s="1"/>
  <c r="A3196" i="1" a="1"/>
  <c r="A3196" i="1" s="1"/>
  <c r="A3197" i="1" a="1"/>
  <c r="A3197" i="1" s="1"/>
  <c r="A3198" i="1" a="1"/>
  <c r="A3198" i="1" s="1"/>
  <c r="A3199" i="1" a="1"/>
  <c r="A3199" i="1" s="1"/>
  <c r="A3200" i="1" a="1"/>
  <c r="A3200" i="1" s="1"/>
  <c r="A3201" i="1" a="1"/>
  <c r="A3201" i="1" s="1"/>
  <c r="A3202" i="1" a="1"/>
  <c r="A3202" i="1" s="1"/>
  <c r="A3203" i="1" a="1"/>
  <c r="A3203" i="1" s="1"/>
  <c r="A3204" i="1" a="1"/>
  <c r="A3204" i="1" s="1"/>
  <c r="A3205" i="1" a="1"/>
  <c r="A3205" i="1" s="1"/>
  <c r="A3206" i="1" a="1"/>
  <c r="A3206" i="1" s="1"/>
  <c r="A3207" i="1" a="1"/>
  <c r="A3207" i="1" s="1"/>
  <c r="A3208" i="1" a="1"/>
  <c r="A3208" i="1" s="1"/>
  <c r="A3209" i="1" a="1"/>
  <c r="A3209" i="1" s="1"/>
  <c r="A3210" i="1" a="1"/>
  <c r="A3210" i="1" s="1"/>
  <c r="A3211" i="1" a="1"/>
  <c r="A3211" i="1" s="1"/>
  <c r="A3212" i="1" a="1"/>
  <c r="A3212" i="1" s="1"/>
  <c r="A3213" i="1" a="1"/>
  <c r="A3213" i="1" s="1"/>
  <c r="A3214" i="1" a="1"/>
  <c r="A3214" i="1" s="1"/>
  <c r="A3215" i="1" a="1"/>
  <c r="A3215" i="1" s="1"/>
  <c r="A3216" i="1" a="1"/>
  <c r="A3216" i="1" s="1"/>
  <c r="A3217" i="1" a="1"/>
  <c r="A3217" i="1" s="1"/>
  <c r="A3218" i="1" a="1"/>
  <c r="A3218" i="1" s="1"/>
  <c r="A3219" i="1" a="1"/>
  <c r="A3219" i="1" s="1"/>
  <c r="A3220" i="1" a="1"/>
  <c r="A3220" i="1" s="1"/>
  <c r="A3221" i="1" a="1"/>
  <c r="A3221" i="1" s="1"/>
  <c r="A3222" i="1" a="1"/>
  <c r="A3222" i="1" s="1"/>
  <c r="A3223" i="1" a="1"/>
  <c r="A3223" i="1" s="1"/>
  <c r="A3224" i="1" a="1"/>
  <c r="A3224" i="1" s="1"/>
  <c r="A3225" i="1" a="1"/>
  <c r="A3225" i="1" s="1"/>
  <c r="A3226" i="1" a="1"/>
  <c r="A3226" i="1" s="1"/>
  <c r="A3227" i="1" a="1"/>
  <c r="A3227" i="1" s="1"/>
  <c r="A3228" i="1" a="1"/>
  <c r="A3228" i="1" s="1"/>
  <c r="A3229" i="1" a="1"/>
  <c r="A3229" i="1" s="1"/>
  <c r="A3230" i="1" a="1"/>
  <c r="A3230" i="1" s="1"/>
  <c r="A3231" i="1" a="1"/>
  <c r="A3231" i="1" s="1"/>
  <c r="A3232" i="1" a="1"/>
  <c r="A3232" i="1" s="1"/>
  <c r="A3233" i="1" a="1"/>
  <c r="A3233" i="1" s="1"/>
  <c r="A3234" i="1" a="1"/>
  <c r="A3234" i="1" s="1"/>
  <c r="A3235" i="1" a="1"/>
  <c r="A3235" i="1" s="1"/>
  <c r="A3236" i="1" a="1"/>
  <c r="A3236" i="1" s="1"/>
  <c r="A3237" i="1" a="1"/>
  <c r="A3237" i="1" s="1"/>
  <c r="A3238" i="1" a="1"/>
  <c r="A3238" i="1" s="1"/>
  <c r="A3239" i="1" a="1"/>
  <c r="A3239" i="1" s="1"/>
  <c r="A3240" i="1" a="1"/>
  <c r="A3240" i="1" s="1"/>
  <c r="A3241" i="1" a="1"/>
  <c r="A3241" i="1" s="1"/>
  <c r="A3242" i="1" a="1"/>
  <c r="A3242" i="1" s="1"/>
  <c r="A3243" i="1" a="1"/>
  <c r="A3243" i="1" s="1"/>
  <c r="A3244" i="1" a="1"/>
  <c r="A3244" i="1" s="1"/>
  <c r="A3245" i="1" a="1"/>
  <c r="A3245" i="1" s="1"/>
  <c r="A3246" i="1" a="1"/>
  <c r="A3246" i="1" s="1"/>
  <c r="A3247" i="1" a="1"/>
  <c r="A3247" i="1" s="1"/>
  <c r="A3248" i="1" a="1"/>
  <c r="A3248" i="1" s="1"/>
  <c r="A3249" i="1" a="1"/>
  <c r="A3249" i="1" s="1"/>
  <c r="A3250" i="1" a="1"/>
  <c r="A3250" i="1" s="1"/>
  <c r="A3251" i="1" a="1"/>
  <c r="A3251" i="1" s="1"/>
  <c r="A3252" i="1" a="1"/>
  <c r="A3252" i="1" s="1"/>
  <c r="A3253" i="1" a="1"/>
  <c r="A3253" i="1" s="1"/>
  <c r="A3254" i="1" a="1"/>
  <c r="A3254" i="1" s="1"/>
  <c r="A3255" i="1" a="1"/>
  <c r="A3255" i="1" s="1"/>
  <c r="A3256" i="1" a="1"/>
  <c r="A3256" i="1" s="1"/>
  <c r="A3257" i="1" a="1"/>
  <c r="A3257" i="1" s="1"/>
  <c r="A3258" i="1" a="1"/>
  <c r="A3258" i="1" s="1"/>
  <c r="A3259" i="1" a="1"/>
  <c r="A3259" i="1" s="1"/>
  <c r="A3260" i="1" a="1"/>
  <c r="A3260" i="1" s="1"/>
  <c r="A3261" i="1" a="1"/>
  <c r="A3261" i="1" s="1"/>
  <c r="A3262" i="1" a="1"/>
  <c r="A3262" i="1" s="1"/>
  <c r="A3263" i="1" a="1"/>
  <c r="A3263" i="1" s="1"/>
  <c r="A3264" i="1" a="1"/>
  <c r="A3264" i="1" s="1"/>
  <c r="A3265" i="1" a="1"/>
  <c r="A3265" i="1" s="1"/>
  <c r="A3266" i="1" a="1"/>
  <c r="A3266" i="1" s="1"/>
  <c r="A3267" i="1" a="1"/>
  <c r="A3267" i="1" s="1"/>
  <c r="A3268" i="1" a="1"/>
  <c r="A3268" i="1" s="1"/>
  <c r="A3269" i="1" a="1"/>
  <c r="A3269" i="1" s="1"/>
  <c r="A3270" i="1" a="1"/>
  <c r="A3270" i="1" s="1"/>
  <c r="A3271" i="1" a="1"/>
  <c r="A3271" i="1" s="1"/>
  <c r="A3272" i="1" a="1"/>
  <c r="A3272" i="1" s="1"/>
  <c r="A3273" i="1" a="1"/>
  <c r="A3273" i="1" s="1"/>
  <c r="A3274" i="1" a="1"/>
  <c r="A3274" i="1" s="1"/>
  <c r="A3275" i="1" a="1"/>
  <c r="A3275" i="1" s="1"/>
  <c r="A3276" i="1" a="1"/>
  <c r="A3276" i="1" s="1"/>
  <c r="A3277" i="1" a="1"/>
  <c r="A3277" i="1" s="1"/>
  <c r="A3278" i="1" a="1"/>
  <c r="A3278" i="1" s="1"/>
  <c r="A3279" i="1" a="1"/>
  <c r="A3279" i="1" s="1"/>
  <c r="A3280" i="1" a="1"/>
  <c r="A3280" i="1" s="1"/>
  <c r="A3281" i="1" a="1"/>
  <c r="A3281" i="1" s="1"/>
  <c r="A3282" i="1" a="1"/>
  <c r="A3282" i="1" s="1"/>
  <c r="A3283" i="1" a="1"/>
  <c r="A3283" i="1" s="1"/>
  <c r="A3284" i="1" a="1"/>
  <c r="A3284" i="1" s="1"/>
  <c r="A3285" i="1" a="1"/>
  <c r="A3285" i="1" s="1"/>
  <c r="A3286" i="1" a="1"/>
  <c r="A3286" i="1" s="1"/>
  <c r="A3287" i="1" a="1"/>
  <c r="A3287" i="1" s="1"/>
  <c r="A3288" i="1" a="1"/>
  <c r="A3288" i="1" s="1"/>
  <c r="A3289" i="1" a="1"/>
  <c r="A3289" i="1" s="1"/>
  <c r="A3290" i="1" a="1"/>
  <c r="A3290" i="1" s="1"/>
  <c r="A3291" i="1" a="1"/>
  <c r="A3291" i="1" s="1"/>
  <c r="A3292" i="1" a="1"/>
  <c r="A3292" i="1" s="1"/>
  <c r="A3293" i="1" a="1"/>
  <c r="A3293" i="1" s="1"/>
  <c r="A3294" i="1" a="1"/>
  <c r="A3294" i="1" s="1"/>
  <c r="A3295" i="1" a="1"/>
  <c r="A3295" i="1" s="1"/>
  <c r="A3296" i="1" a="1"/>
  <c r="A3296" i="1" s="1"/>
  <c r="A3297" i="1" a="1"/>
  <c r="A3297" i="1" s="1"/>
  <c r="A3298" i="1" a="1"/>
  <c r="A3298" i="1" s="1"/>
  <c r="A3299" i="1" a="1"/>
  <c r="A3299" i="1" s="1"/>
  <c r="A3300" i="1" a="1"/>
  <c r="A3300" i="1" s="1"/>
  <c r="A3301" i="1" a="1"/>
  <c r="A3301" i="1" s="1"/>
  <c r="A3302" i="1" a="1"/>
  <c r="A3302" i="1" s="1"/>
  <c r="A3303" i="1" a="1"/>
  <c r="A3303" i="1" s="1"/>
  <c r="A3304" i="1" a="1"/>
  <c r="A3304" i="1" s="1"/>
  <c r="A3305" i="1" a="1"/>
  <c r="A3305" i="1" s="1"/>
  <c r="A3306" i="1" a="1"/>
  <c r="A3306" i="1" s="1"/>
  <c r="A3307" i="1" a="1"/>
  <c r="A3307" i="1" s="1"/>
  <c r="A3308" i="1" a="1"/>
  <c r="A3308" i="1" s="1"/>
  <c r="A3309" i="1" a="1"/>
  <c r="A3309" i="1" s="1"/>
  <c r="A3310" i="1" a="1"/>
  <c r="A3310" i="1" s="1"/>
  <c r="A3311" i="1" a="1"/>
  <c r="A3311" i="1" s="1"/>
  <c r="A3312" i="1" a="1"/>
  <c r="A3312" i="1" s="1"/>
  <c r="A3313" i="1" a="1"/>
  <c r="A3313" i="1" s="1"/>
  <c r="A3314" i="1" a="1"/>
  <c r="A3314" i="1" s="1"/>
  <c r="A3315" i="1" a="1"/>
  <c r="A3315" i="1" s="1"/>
  <c r="A3316" i="1" a="1"/>
  <c r="A3316" i="1" s="1"/>
  <c r="A3317" i="1" a="1"/>
  <c r="A3317" i="1" s="1"/>
  <c r="A3318" i="1" a="1"/>
  <c r="A3318" i="1" s="1"/>
  <c r="A3319" i="1" a="1"/>
  <c r="A3319" i="1" s="1"/>
  <c r="A3320" i="1" a="1"/>
  <c r="A3320" i="1" s="1"/>
  <c r="A3321" i="1" a="1"/>
  <c r="A3321" i="1" s="1"/>
  <c r="A3322" i="1" a="1"/>
  <c r="A3322" i="1" s="1"/>
  <c r="A3323" i="1" a="1"/>
  <c r="A3323" i="1" s="1"/>
  <c r="A3324" i="1" a="1"/>
  <c r="A3324" i="1" s="1"/>
  <c r="A3325" i="1" a="1"/>
  <c r="A3325" i="1" s="1"/>
  <c r="A3326" i="1" a="1"/>
  <c r="A3326" i="1" s="1"/>
  <c r="A3327" i="1" a="1"/>
  <c r="A3327" i="1" s="1"/>
  <c r="A3328" i="1" a="1"/>
  <c r="A3328" i="1" s="1"/>
  <c r="A3329" i="1" a="1"/>
  <c r="A3329" i="1" s="1"/>
  <c r="A3330" i="1" a="1"/>
  <c r="A3330" i="1" s="1"/>
  <c r="A3331" i="1" a="1"/>
  <c r="A3331" i="1" s="1"/>
  <c r="A3332" i="1" a="1"/>
  <c r="A3332" i="1" s="1"/>
  <c r="A3333" i="1" a="1"/>
  <c r="A3333" i="1" s="1"/>
  <c r="A3334" i="1" a="1"/>
  <c r="A3334" i="1" s="1"/>
  <c r="A3335" i="1" a="1"/>
  <c r="A3335" i="1" s="1"/>
  <c r="A3336" i="1" a="1"/>
  <c r="A3336" i="1" s="1"/>
  <c r="A3337" i="1" a="1"/>
  <c r="A3337" i="1" s="1"/>
  <c r="A3338" i="1" a="1"/>
  <c r="A3338" i="1" s="1"/>
  <c r="A3339" i="1" a="1"/>
  <c r="A3339" i="1" s="1"/>
  <c r="A3340" i="1" a="1"/>
  <c r="A3340" i="1" s="1"/>
  <c r="A3341" i="1" a="1"/>
  <c r="A3341" i="1" s="1"/>
  <c r="A3342" i="1" a="1"/>
  <c r="A3342" i="1" s="1"/>
  <c r="A3343" i="1" a="1"/>
  <c r="A3343" i="1" s="1"/>
  <c r="A3344" i="1" a="1"/>
  <c r="A3344" i="1" s="1"/>
  <c r="A3345" i="1" a="1"/>
  <c r="A3345" i="1" s="1"/>
  <c r="A3346" i="1" a="1"/>
  <c r="A3346" i="1" s="1"/>
  <c r="A3347" i="1" a="1"/>
  <c r="A3347" i="1" s="1"/>
  <c r="A3348" i="1" a="1"/>
  <c r="A3348" i="1" s="1"/>
  <c r="A3349" i="1" a="1"/>
  <c r="A3349" i="1" s="1"/>
  <c r="A3350" i="1" a="1"/>
  <c r="A3350" i="1" s="1"/>
  <c r="A3351" i="1" a="1"/>
  <c r="A3351" i="1" s="1"/>
  <c r="A3352" i="1" a="1"/>
  <c r="A3352" i="1" s="1"/>
  <c r="A3353" i="1" a="1"/>
  <c r="A3353" i="1" s="1"/>
  <c r="A3354" i="1" a="1"/>
  <c r="A3354" i="1" s="1"/>
  <c r="A3355" i="1" a="1"/>
  <c r="A3355" i="1" s="1"/>
  <c r="A3356" i="1" a="1"/>
  <c r="A3356" i="1" s="1"/>
  <c r="A3357" i="1" a="1"/>
  <c r="A3357" i="1" s="1"/>
  <c r="A3358" i="1" a="1"/>
  <c r="A3358" i="1" s="1"/>
  <c r="A3359" i="1" a="1"/>
  <c r="A3359" i="1" s="1"/>
  <c r="A3360" i="1" a="1"/>
  <c r="A3360" i="1" s="1"/>
  <c r="A3361" i="1" a="1"/>
  <c r="A3361" i="1" s="1"/>
  <c r="A3362" i="1" a="1"/>
  <c r="A3362" i="1" s="1"/>
  <c r="A3363" i="1" a="1"/>
  <c r="A3363" i="1" s="1"/>
  <c r="A3364" i="1" a="1"/>
  <c r="A3364" i="1" s="1"/>
  <c r="A3365" i="1" a="1"/>
  <c r="A3365" i="1" s="1"/>
  <c r="A3366" i="1" a="1"/>
  <c r="A3366" i="1" s="1"/>
  <c r="A3367" i="1" a="1"/>
  <c r="A3367" i="1" s="1"/>
  <c r="A3368" i="1" a="1"/>
  <c r="A3368" i="1" s="1"/>
  <c r="A3369" i="1" a="1"/>
  <c r="A3369" i="1" s="1"/>
  <c r="A3370" i="1" a="1"/>
  <c r="A3370" i="1" s="1"/>
  <c r="A3371" i="1" a="1"/>
  <c r="A3371" i="1" s="1"/>
  <c r="A3372" i="1" a="1"/>
  <c r="A3372" i="1" s="1"/>
  <c r="A3373" i="1" a="1"/>
  <c r="A3373" i="1" s="1"/>
  <c r="A3374" i="1" a="1"/>
  <c r="A3374" i="1" s="1"/>
  <c r="A3375" i="1" a="1"/>
  <c r="A3375" i="1" s="1"/>
  <c r="A3376" i="1" a="1"/>
  <c r="A3376" i="1" s="1"/>
  <c r="A3377" i="1" a="1"/>
  <c r="A3377" i="1" s="1"/>
  <c r="A3378" i="1" a="1"/>
  <c r="A3378" i="1" s="1"/>
  <c r="A3379" i="1" a="1"/>
  <c r="A3379" i="1" s="1"/>
  <c r="A3380" i="1" a="1"/>
  <c r="A3380" i="1" s="1"/>
  <c r="A3381" i="1" a="1"/>
  <c r="A3381" i="1" s="1"/>
  <c r="A3382" i="1" a="1"/>
  <c r="A3382" i="1" s="1"/>
  <c r="A3383" i="1" a="1"/>
  <c r="A3383" i="1" s="1"/>
  <c r="A3384" i="1" a="1"/>
  <c r="A3384" i="1" s="1"/>
  <c r="A3385" i="1" a="1"/>
  <c r="A3385" i="1" s="1"/>
  <c r="A3386" i="1" a="1"/>
  <c r="A3386" i="1" s="1"/>
  <c r="A3387" i="1" a="1"/>
  <c r="A3387" i="1" s="1"/>
  <c r="A3388" i="1" a="1"/>
  <c r="A3388" i="1" s="1"/>
  <c r="A3389" i="1" a="1"/>
  <c r="A3389" i="1" s="1"/>
  <c r="A3390" i="1" a="1"/>
  <c r="A3390" i="1" s="1"/>
  <c r="A3391" i="1" a="1"/>
  <c r="A3391" i="1" s="1"/>
  <c r="A3392" i="1" a="1"/>
  <c r="A3392" i="1" s="1"/>
  <c r="A3393" i="1" a="1"/>
  <c r="A3393" i="1" s="1"/>
  <c r="A3394" i="1" a="1"/>
  <c r="A3394" i="1" s="1"/>
  <c r="A3395" i="1" a="1"/>
  <c r="A3395" i="1" s="1"/>
  <c r="A3396" i="1" a="1"/>
  <c r="A3396" i="1" s="1"/>
  <c r="A3397" i="1" a="1"/>
  <c r="A3397" i="1" s="1"/>
  <c r="A3398" i="1" a="1"/>
  <c r="A3398" i="1" s="1"/>
  <c r="A3399" i="1" a="1"/>
  <c r="A3399" i="1" s="1"/>
  <c r="A3400" i="1" a="1"/>
  <c r="A3400" i="1" s="1"/>
  <c r="A3401" i="1" a="1"/>
  <c r="A3401" i="1" s="1"/>
  <c r="A3402" i="1" a="1"/>
  <c r="A3402" i="1" s="1"/>
  <c r="A3403" i="1" a="1"/>
  <c r="A3403" i="1" s="1"/>
  <c r="A3404" i="1" a="1"/>
  <c r="A3404" i="1" s="1"/>
  <c r="A3405" i="1" a="1"/>
  <c r="A3405" i="1" s="1"/>
  <c r="A3406" i="1" a="1"/>
  <c r="A3406" i="1" s="1"/>
  <c r="A3407" i="1" a="1"/>
  <c r="A3407" i="1" s="1"/>
  <c r="A3408" i="1" a="1"/>
  <c r="A3408" i="1" s="1"/>
  <c r="A3409" i="1" a="1"/>
  <c r="A3409" i="1" s="1"/>
  <c r="A3410" i="1" a="1"/>
  <c r="A3410" i="1" s="1"/>
  <c r="A3411" i="1" a="1"/>
  <c r="A3411" i="1" s="1"/>
  <c r="A3412" i="1" a="1"/>
  <c r="A3412" i="1" s="1"/>
  <c r="A3413" i="1" a="1"/>
  <c r="A3413" i="1" s="1"/>
  <c r="A3414" i="1" a="1"/>
  <c r="A3414" i="1" s="1"/>
  <c r="A3415" i="1" a="1"/>
  <c r="A3415" i="1" s="1"/>
  <c r="A3416" i="1" a="1"/>
  <c r="A3416" i="1" s="1"/>
  <c r="A3417" i="1" a="1"/>
  <c r="A3417" i="1" s="1"/>
  <c r="A3418" i="1" a="1"/>
  <c r="A3418" i="1" s="1"/>
  <c r="A3419" i="1" a="1"/>
  <c r="A3419" i="1" s="1"/>
  <c r="A3420" i="1" a="1"/>
  <c r="A3420" i="1" s="1"/>
  <c r="A3421" i="1" a="1"/>
  <c r="A3421" i="1" s="1"/>
  <c r="A3422" i="1" a="1"/>
  <c r="A3422" i="1" s="1"/>
  <c r="A3423" i="1" a="1"/>
  <c r="A3423" i="1" s="1"/>
  <c r="A3424" i="1" a="1"/>
  <c r="A3424" i="1" s="1"/>
  <c r="A3425" i="1" a="1"/>
  <c r="A3425" i="1" s="1"/>
  <c r="A3426" i="1" a="1"/>
  <c r="A3426" i="1" s="1"/>
  <c r="A3427" i="1" a="1"/>
  <c r="A3427" i="1" s="1"/>
  <c r="A3428" i="1" a="1"/>
  <c r="A3428" i="1" s="1"/>
  <c r="A3429" i="1" a="1"/>
  <c r="A3429" i="1" s="1"/>
  <c r="A3430" i="1" a="1"/>
  <c r="A3430" i="1" s="1"/>
  <c r="A3431" i="1" a="1"/>
  <c r="A3431" i="1" s="1"/>
  <c r="A3432" i="1" a="1"/>
  <c r="A3432" i="1" s="1"/>
  <c r="A3433" i="1" a="1"/>
  <c r="A3433" i="1" s="1"/>
  <c r="A3434" i="1" a="1"/>
  <c r="A3434" i="1" s="1"/>
  <c r="A3435" i="1" a="1"/>
  <c r="A3435" i="1" s="1"/>
  <c r="A3436" i="1" a="1"/>
  <c r="A3436" i="1" s="1"/>
  <c r="A3437" i="1" a="1"/>
  <c r="A3437" i="1" s="1"/>
  <c r="A3438" i="1" a="1"/>
  <c r="A3438" i="1" s="1"/>
  <c r="A3439" i="1" a="1"/>
  <c r="A3439" i="1" s="1"/>
  <c r="A3440" i="1" a="1"/>
  <c r="A3440" i="1" s="1"/>
  <c r="A3441" i="1" a="1"/>
  <c r="A3441" i="1" s="1"/>
  <c r="A3442" i="1" a="1"/>
  <c r="A3442" i="1" s="1"/>
  <c r="A3443" i="1" a="1"/>
  <c r="A3443" i="1" s="1"/>
  <c r="A3444" i="1" a="1"/>
  <c r="A3444" i="1" s="1"/>
  <c r="A3445" i="1" a="1"/>
  <c r="A3445" i="1" s="1"/>
  <c r="A3446" i="1" a="1"/>
  <c r="A3446" i="1" s="1"/>
  <c r="A3447" i="1" a="1"/>
  <c r="A3447" i="1" s="1"/>
  <c r="A3448" i="1" a="1"/>
  <c r="A3448" i="1" s="1"/>
  <c r="A3449" i="1" a="1"/>
  <c r="A3449" i="1" s="1"/>
  <c r="A3450" i="1" a="1"/>
  <c r="A3450" i="1" s="1"/>
  <c r="A3451" i="1" a="1"/>
  <c r="A3451" i="1" s="1"/>
  <c r="A3452" i="1" a="1"/>
  <c r="A3452" i="1" s="1"/>
  <c r="A3453" i="1" a="1"/>
  <c r="A3453" i="1" s="1"/>
  <c r="A3454" i="1" a="1"/>
  <c r="A3454" i="1" s="1"/>
  <c r="A3455" i="1" a="1"/>
  <c r="A3455" i="1" s="1"/>
  <c r="A3456" i="1" a="1"/>
  <c r="A3456" i="1" s="1"/>
  <c r="A3457" i="1" a="1"/>
  <c r="A3457" i="1" s="1"/>
  <c r="A3458" i="1" a="1"/>
  <c r="A3458" i="1" s="1"/>
  <c r="A3459" i="1" a="1"/>
  <c r="A3459" i="1" s="1"/>
  <c r="A3460" i="1" a="1"/>
  <c r="A3460" i="1" s="1"/>
  <c r="A3461" i="1" a="1"/>
  <c r="A3461" i="1" s="1"/>
  <c r="A3462" i="1" a="1"/>
  <c r="A3462" i="1" s="1"/>
  <c r="A3463" i="1" a="1"/>
  <c r="A3463" i="1" s="1"/>
  <c r="A3464" i="1" a="1"/>
  <c r="A3464" i="1" s="1"/>
  <c r="A3465" i="1" a="1"/>
  <c r="A3465" i="1" s="1"/>
  <c r="A3466" i="1" a="1"/>
  <c r="A3466" i="1" s="1"/>
  <c r="A3467" i="1" a="1"/>
  <c r="A3467" i="1" s="1"/>
  <c r="A3468" i="1" a="1"/>
  <c r="A3468" i="1" s="1"/>
  <c r="A3469" i="1" a="1"/>
  <c r="A3469" i="1" s="1"/>
  <c r="A3470" i="1" a="1"/>
  <c r="A3470" i="1" s="1"/>
  <c r="A3471" i="1" a="1"/>
  <c r="A3471" i="1" s="1"/>
  <c r="A3472" i="1" a="1"/>
  <c r="A3472" i="1" s="1"/>
  <c r="A3473" i="1" a="1"/>
  <c r="A3473" i="1" s="1"/>
  <c r="A3474" i="1" a="1"/>
  <c r="A3474" i="1" s="1"/>
  <c r="A3475" i="1" a="1"/>
  <c r="A3475" i="1" s="1"/>
  <c r="A3476" i="1" a="1"/>
  <c r="A3476" i="1" s="1"/>
  <c r="A3477" i="1" a="1"/>
  <c r="A3477" i="1" s="1"/>
  <c r="A3478" i="1" a="1"/>
  <c r="A3478" i="1" s="1"/>
  <c r="A3479" i="1" a="1"/>
  <c r="A3479" i="1" s="1"/>
  <c r="A3480" i="1" a="1"/>
  <c r="A3480" i="1" s="1"/>
  <c r="A3481" i="1" a="1"/>
  <c r="A3481" i="1" s="1"/>
  <c r="A3482" i="1" a="1"/>
  <c r="A3482" i="1" s="1"/>
  <c r="A3483" i="1" a="1"/>
  <c r="A3483" i="1" s="1"/>
  <c r="A3484" i="1" a="1"/>
  <c r="A3484" i="1" s="1"/>
  <c r="A3485" i="1" a="1"/>
  <c r="A3485" i="1" s="1"/>
  <c r="A3486" i="1" a="1"/>
  <c r="A3486" i="1" s="1"/>
  <c r="A3487" i="1" a="1"/>
  <c r="A3487" i="1" s="1"/>
  <c r="A3488" i="1" a="1"/>
  <c r="A3488" i="1" s="1"/>
  <c r="A3489" i="1" a="1"/>
  <c r="A3489" i="1" s="1"/>
  <c r="A3490" i="1" a="1"/>
  <c r="A3490" i="1" s="1"/>
  <c r="A3491" i="1" a="1"/>
  <c r="A3491" i="1" s="1"/>
  <c r="A3492" i="1" a="1"/>
  <c r="A3492" i="1" s="1"/>
  <c r="A3493" i="1" a="1"/>
  <c r="A3493" i="1" s="1"/>
  <c r="A3494" i="1" a="1"/>
  <c r="A3494" i="1" s="1"/>
  <c r="A3495" i="1" a="1"/>
  <c r="A3495" i="1" s="1"/>
  <c r="A3496" i="1" a="1"/>
  <c r="A3496" i="1" s="1"/>
  <c r="A3497" i="1" a="1"/>
  <c r="A3497" i="1" s="1"/>
  <c r="A3498" i="1" a="1"/>
  <c r="A3498" i="1" s="1"/>
  <c r="A3499" i="1" a="1"/>
  <c r="A3499" i="1" s="1"/>
  <c r="A3500" i="1" a="1"/>
  <c r="A3500" i="1" s="1"/>
  <c r="A3501" i="1" a="1"/>
  <c r="A3501" i="1" s="1"/>
  <c r="A3502" i="1" a="1"/>
  <c r="A3502" i="1" s="1"/>
  <c r="A3503" i="1" a="1"/>
  <c r="A3503" i="1" s="1"/>
  <c r="A3504" i="1" a="1"/>
  <c r="A3504" i="1" s="1"/>
  <c r="A3505" i="1" a="1"/>
  <c r="A3505" i="1" s="1"/>
  <c r="A3506" i="1" a="1"/>
  <c r="A3506" i="1" s="1"/>
  <c r="A3507" i="1" a="1"/>
  <c r="A3507" i="1" s="1"/>
  <c r="A3508" i="1" a="1"/>
  <c r="A3508" i="1" s="1"/>
  <c r="A3509" i="1" a="1"/>
  <c r="A3509" i="1" s="1"/>
  <c r="A3510" i="1" a="1"/>
  <c r="A3510" i="1" s="1"/>
  <c r="A3511" i="1" a="1"/>
  <c r="A3511" i="1" s="1"/>
  <c r="A3512" i="1" a="1"/>
  <c r="A3512" i="1" s="1"/>
  <c r="A3513" i="1" a="1"/>
  <c r="A3513" i="1" s="1"/>
  <c r="A3514" i="1" a="1"/>
  <c r="A3514" i="1" s="1"/>
  <c r="A3515" i="1" a="1"/>
  <c r="A3515" i="1" s="1"/>
  <c r="A3516" i="1" a="1"/>
  <c r="A3516" i="1" s="1"/>
  <c r="A3517" i="1" a="1"/>
  <c r="A3517" i="1" s="1"/>
  <c r="A3518" i="1" a="1"/>
  <c r="A3518" i="1" s="1"/>
  <c r="A3519" i="1" a="1"/>
  <c r="A3519" i="1" s="1"/>
  <c r="A3520" i="1" a="1"/>
  <c r="A3520" i="1" s="1"/>
  <c r="A3521" i="1" a="1"/>
  <c r="A3521" i="1" s="1"/>
  <c r="A3522" i="1" a="1"/>
  <c r="A3522" i="1" s="1"/>
  <c r="A3523" i="1" a="1"/>
  <c r="A3523" i="1" s="1"/>
  <c r="A3524" i="1" a="1"/>
  <c r="A3524" i="1" s="1"/>
  <c r="A3525" i="1" a="1"/>
  <c r="A3525" i="1" s="1"/>
  <c r="A3526" i="1" a="1"/>
  <c r="A3526" i="1" s="1"/>
  <c r="A3527" i="1" a="1"/>
  <c r="A3527" i="1" s="1"/>
  <c r="A3528" i="1" a="1"/>
  <c r="A3528" i="1" s="1"/>
  <c r="A3529" i="1" a="1"/>
  <c r="A3529" i="1" s="1"/>
  <c r="A3530" i="1" a="1"/>
  <c r="A3530" i="1" s="1"/>
  <c r="A3531" i="1" a="1"/>
  <c r="A3531" i="1" s="1"/>
  <c r="A3532" i="1" a="1"/>
  <c r="A3532" i="1" s="1"/>
  <c r="A3533" i="1" a="1"/>
  <c r="A3533" i="1" s="1"/>
  <c r="A3534" i="1" a="1"/>
  <c r="A3534" i="1" s="1"/>
  <c r="A3535" i="1" a="1"/>
  <c r="A3535" i="1" s="1"/>
  <c r="A3536" i="1" a="1"/>
  <c r="A3536" i="1" s="1"/>
  <c r="A3537" i="1" a="1"/>
  <c r="A3537" i="1" s="1"/>
  <c r="A3538" i="1" a="1"/>
  <c r="A3538" i="1" s="1"/>
  <c r="A3539" i="1" a="1"/>
  <c r="A3539" i="1" s="1"/>
  <c r="A3540" i="1" a="1"/>
  <c r="A3540" i="1" s="1"/>
  <c r="A3541" i="1" a="1"/>
  <c r="A3541" i="1" s="1"/>
  <c r="A3542" i="1" a="1"/>
  <c r="A3542" i="1" s="1"/>
  <c r="A3543" i="1" a="1"/>
  <c r="A3543" i="1" s="1"/>
  <c r="A3544" i="1" a="1"/>
  <c r="A3544" i="1" s="1"/>
  <c r="A3545" i="1" a="1"/>
  <c r="A3545" i="1" s="1"/>
  <c r="A3546" i="1" a="1"/>
  <c r="A3546" i="1" s="1"/>
  <c r="A3547" i="1" a="1"/>
  <c r="A3547" i="1" s="1"/>
  <c r="A3548" i="1" a="1"/>
  <c r="A3548" i="1" s="1"/>
  <c r="A3549" i="1" a="1"/>
  <c r="A3549" i="1" s="1"/>
  <c r="A3550" i="1" a="1"/>
  <c r="A3550" i="1" s="1"/>
  <c r="A3551" i="1" a="1"/>
  <c r="A3551" i="1" s="1"/>
  <c r="A3552" i="1" a="1"/>
  <c r="A3552" i="1" s="1"/>
  <c r="A3553" i="1" a="1"/>
  <c r="A3553" i="1" s="1"/>
  <c r="A3554" i="1" a="1"/>
  <c r="A3554" i="1" s="1"/>
  <c r="A3555" i="1" a="1"/>
  <c r="A3555" i="1" s="1"/>
  <c r="A3556" i="1" a="1"/>
  <c r="A3556" i="1" s="1"/>
  <c r="A3557" i="1" a="1"/>
  <c r="A3557" i="1" s="1"/>
  <c r="A3558" i="1" a="1"/>
  <c r="A3558" i="1" s="1"/>
  <c r="A3559" i="1" a="1"/>
  <c r="A3559" i="1" s="1"/>
  <c r="A3560" i="1" a="1"/>
  <c r="A3560" i="1" s="1"/>
  <c r="A3561" i="1" a="1"/>
  <c r="A3561" i="1" s="1"/>
  <c r="A3562" i="1" a="1"/>
  <c r="A3562" i="1" s="1"/>
  <c r="A3563" i="1" a="1"/>
  <c r="A3563" i="1" s="1"/>
  <c r="A3564" i="1" a="1"/>
  <c r="A3564" i="1" s="1"/>
  <c r="A3565" i="1" a="1"/>
  <c r="A3565" i="1" s="1"/>
  <c r="A3566" i="1" a="1"/>
  <c r="A3566" i="1" s="1"/>
  <c r="A3567" i="1" a="1"/>
  <c r="A3567" i="1" s="1"/>
  <c r="A3568" i="1" a="1"/>
  <c r="A3568" i="1" s="1"/>
  <c r="A3569" i="1" a="1"/>
  <c r="A3569" i="1" s="1"/>
  <c r="A3570" i="1" a="1"/>
  <c r="A3570" i="1" s="1"/>
  <c r="A3571" i="1" a="1"/>
  <c r="A3571" i="1" s="1"/>
  <c r="A3572" i="1" a="1"/>
  <c r="A3572" i="1" s="1"/>
  <c r="A3573" i="1" a="1"/>
  <c r="A3573" i="1" s="1"/>
  <c r="A3574" i="1" a="1"/>
  <c r="A3574" i="1" s="1"/>
  <c r="A3575" i="1" a="1"/>
  <c r="A3575" i="1" s="1"/>
  <c r="A3576" i="1" a="1"/>
  <c r="A3576" i="1" s="1"/>
  <c r="A3577" i="1" a="1"/>
  <c r="A3577" i="1" s="1"/>
  <c r="A3578" i="1" a="1"/>
  <c r="A3578" i="1" s="1"/>
  <c r="A3579" i="1" a="1"/>
  <c r="A3579" i="1" s="1"/>
  <c r="A3580" i="1" a="1"/>
  <c r="A3580" i="1" s="1"/>
  <c r="A3581" i="1" a="1"/>
  <c r="A3581" i="1" s="1"/>
  <c r="A3582" i="1" a="1"/>
  <c r="A3582" i="1" s="1"/>
  <c r="A3583" i="1" a="1"/>
  <c r="A3583" i="1" s="1"/>
  <c r="A3584" i="1" a="1"/>
  <c r="A3584" i="1" s="1"/>
  <c r="A3585" i="1" a="1"/>
  <c r="A3585" i="1" s="1"/>
  <c r="A3586" i="1" a="1"/>
  <c r="A3586" i="1" s="1"/>
  <c r="A3587" i="1" a="1"/>
  <c r="A3587" i="1" s="1"/>
  <c r="A3588" i="1" a="1"/>
  <c r="A3588" i="1" s="1"/>
  <c r="A3589" i="1" a="1"/>
  <c r="A3589" i="1" s="1"/>
  <c r="A3590" i="1" a="1"/>
  <c r="A3590" i="1" s="1"/>
  <c r="A3591" i="1" a="1"/>
  <c r="A3591" i="1" s="1"/>
  <c r="A3592" i="1" a="1"/>
  <c r="A3592" i="1" s="1"/>
  <c r="A3593" i="1" a="1"/>
  <c r="A3593" i="1" s="1"/>
  <c r="A3594" i="1" a="1"/>
  <c r="A3594" i="1" s="1"/>
  <c r="A3595" i="1" a="1"/>
  <c r="A3595" i="1" s="1"/>
  <c r="A3596" i="1" a="1"/>
  <c r="A3596" i="1" s="1"/>
  <c r="A3597" i="1" a="1"/>
  <c r="A3597" i="1" s="1"/>
  <c r="A3598" i="1" a="1"/>
  <c r="A3598" i="1" s="1"/>
  <c r="A3599" i="1" a="1"/>
  <c r="A3599" i="1" s="1"/>
  <c r="A3600" i="1" a="1"/>
  <c r="A3600" i="1" s="1"/>
  <c r="A3601" i="1" a="1"/>
  <c r="A3601" i="1" s="1"/>
  <c r="A3602" i="1" a="1"/>
  <c r="A3602" i="1" s="1"/>
  <c r="A3603" i="1" a="1"/>
  <c r="A3603" i="1" s="1"/>
  <c r="A3604" i="1" a="1"/>
  <c r="A3604" i="1" s="1"/>
  <c r="A3605" i="1" a="1"/>
  <c r="A3605" i="1" s="1"/>
  <c r="A3606" i="1" a="1"/>
  <c r="A3606" i="1" s="1"/>
  <c r="A3607" i="1" a="1"/>
  <c r="A3607" i="1" s="1"/>
  <c r="A3608" i="1" a="1"/>
  <c r="A3608" i="1" s="1"/>
  <c r="A3609" i="1" a="1"/>
  <c r="A3609" i="1" s="1"/>
  <c r="A3610" i="1" a="1"/>
  <c r="A3610" i="1" s="1"/>
  <c r="A3611" i="1" a="1"/>
  <c r="A3611" i="1" s="1"/>
  <c r="A3612" i="1" a="1"/>
  <c r="A3612" i="1" s="1"/>
  <c r="A3613" i="1" a="1"/>
  <c r="A3613" i="1" s="1"/>
  <c r="A3614" i="1" a="1"/>
  <c r="A3614" i="1" s="1"/>
  <c r="A3615" i="1" a="1"/>
  <c r="A3615" i="1" s="1"/>
  <c r="A3616" i="1" a="1"/>
  <c r="A3616" i="1" s="1"/>
  <c r="A3617" i="1" a="1"/>
  <c r="A3617" i="1" s="1"/>
  <c r="A3618" i="1" a="1"/>
  <c r="A3618" i="1" s="1"/>
  <c r="A3619" i="1" a="1"/>
  <c r="A3619" i="1" s="1"/>
  <c r="A3620" i="1" a="1"/>
  <c r="A3620" i="1" s="1"/>
  <c r="A3621" i="1" a="1"/>
  <c r="A3621" i="1" s="1"/>
  <c r="A3622" i="1" a="1"/>
  <c r="A3622" i="1" s="1"/>
  <c r="A3623" i="1" a="1"/>
  <c r="A3623" i="1" s="1"/>
  <c r="A3624" i="1" a="1"/>
  <c r="A3624" i="1" s="1"/>
  <c r="A3625" i="1" a="1"/>
  <c r="A3625" i="1" s="1"/>
  <c r="A3626" i="1" a="1"/>
  <c r="A3626" i="1" s="1"/>
  <c r="A3627" i="1" a="1"/>
  <c r="A3627" i="1" s="1"/>
  <c r="A3628" i="1" a="1"/>
  <c r="A3628" i="1" s="1"/>
  <c r="A3629" i="1" a="1"/>
  <c r="A3629" i="1" s="1"/>
  <c r="A3630" i="1" a="1"/>
  <c r="A3630" i="1" s="1"/>
  <c r="A3631" i="1" a="1"/>
  <c r="A3631" i="1" s="1"/>
  <c r="A3632" i="1" a="1"/>
  <c r="A3632" i="1" s="1"/>
  <c r="A3633" i="1" a="1"/>
  <c r="A3633" i="1" s="1"/>
  <c r="A3634" i="1" a="1"/>
  <c r="A3634" i="1" s="1"/>
  <c r="A3635" i="1" a="1"/>
  <c r="A3635" i="1" s="1"/>
  <c r="A3636" i="1" a="1"/>
  <c r="A3636" i="1" s="1"/>
  <c r="A3637" i="1" a="1"/>
  <c r="A3637" i="1" s="1"/>
  <c r="A3638" i="1" a="1"/>
  <c r="A3638" i="1" s="1"/>
  <c r="A3639" i="1" a="1"/>
  <c r="A3639" i="1" s="1"/>
  <c r="A3640" i="1" a="1"/>
  <c r="A3640" i="1" s="1"/>
  <c r="A3641" i="1" a="1"/>
  <c r="A3641" i="1" s="1"/>
  <c r="A3642" i="1" a="1"/>
  <c r="A3642" i="1" s="1"/>
  <c r="A3643" i="1" a="1"/>
  <c r="A3643" i="1" s="1"/>
  <c r="A3644" i="1" a="1"/>
  <c r="A3644" i="1" s="1"/>
  <c r="A3645" i="1" a="1"/>
  <c r="A3645" i="1" s="1"/>
  <c r="A3646" i="1" a="1"/>
  <c r="A3646" i="1" s="1"/>
  <c r="A3647" i="1" a="1"/>
  <c r="A3647" i="1" s="1"/>
  <c r="A3648" i="1" a="1"/>
  <c r="A3648" i="1" s="1"/>
  <c r="A3649" i="1" a="1"/>
  <c r="A3649" i="1" s="1"/>
  <c r="A3650" i="1" a="1"/>
  <c r="A3650" i="1" s="1"/>
  <c r="A3651" i="1" a="1"/>
  <c r="A3651" i="1" s="1"/>
  <c r="A3652" i="1" a="1"/>
  <c r="A3652" i="1" s="1"/>
  <c r="A3653" i="1" a="1"/>
  <c r="A3653" i="1" s="1"/>
  <c r="A3654" i="1" a="1"/>
  <c r="A3654" i="1" s="1"/>
  <c r="A3655" i="1" a="1"/>
  <c r="A3655" i="1" s="1"/>
  <c r="A3656" i="1" a="1"/>
  <c r="A3656" i="1" s="1"/>
  <c r="A3657" i="1" a="1"/>
  <c r="A3657" i="1" s="1"/>
  <c r="A3658" i="1" a="1"/>
  <c r="A3658" i="1" s="1"/>
  <c r="A3659" i="1" a="1"/>
  <c r="A3659" i="1" s="1"/>
  <c r="A3660" i="1" a="1"/>
  <c r="A3660" i="1" s="1"/>
  <c r="A3661" i="1" a="1"/>
  <c r="A3661" i="1" s="1"/>
  <c r="A3662" i="1" a="1"/>
  <c r="A3662" i="1" s="1"/>
  <c r="A3663" i="1" a="1"/>
  <c r="A3663" i="1" s="1"/>
  <c r="A3664" i="1" a="1"/>
  <c r="A3664" i="1" s="1"/>
  <c r="A3665" i="1" a="1"/>
  <c r="A3665" i="1" s="1"/>
  <c r="A3666" i="1" a="1"/>
  <c r="A3666" i="1" s="1"/>
  <c r="A3667" i="1" a="1"/>
  <c r="A3667" i="1" s="1"/>
  <c r="A3668" i="1" a="1"/>
  <c r="A3668" i="1" s="1"/>
  <c r="A3669" i="1" a="1"/>
  <c r="A3669" i="1" s="1"/>
  <c r="A3670" i="1" a="1"/>
  <c r="A3670" i="1" s="1"/>
  <c r="A3671" i="1" a="1"/>
  <c r="A3671" i="1" s="1"/>
  <c r="A3672" i="1" a="1"/>
  <c r="A3672" i="1" s="1"/>
  <c r="A3673" i="1" a="1"/>
  <c r="A3673" i="1" s="1"/>
  <c r="A3674" i="1" a="1"/>
  <c r="A3674" i="1" s="1"/>
  <c r="A3675" i="1" a="1"/>
  <c r="A3675" i="1" s="1"/>
  <c r="A3676" i="1" a="1"/>
  <c r="A3676" i="1" s="1"/>
  <c r="A3677" i="1" a="1"/>
  <c r="A3677" i="1" s="1"/>
  <c r="A3678" i="1" a="1"/>
  <c r="A3678" i="1" s="1"/>
  <c r="A3679" i="1" a="1"/>
  <c r="A3679" i="1" s="1"/>
  <c r="A3680" i="1" a="1"/>
  <c r="A3680" i="1" s="1"/>
  <c r="A3681" i="1" a="1"/>
  <c r="A3681" i="1" s="1"/>
  <c r="A3682" i="1" a="1"/>
  <c r="A3682" i="1" s="1"/>
  <c r="A3683" i="1" a="1"/>
  <c r="A3683" i="1" s="1"/>
  <c r="A3684" i="1" a="1"/>
  <c r="A3684" i="1" s="1"/>
  <c r="A3685" i="1" a="1"/>
  <c r="A3685" i="1" s="1"/>
  <c r="A3686" i="1" a="1"/>
  <c r="A3686" i="1" s="1"/>
  <c r="A3687" i="1" a="1"/>
  <c r="A3687" i="1" s="1"/>
  <c r="A3688" i="1" a="1"/>
  <c r="A3688" i="1" s="1"/>
  <c r="A3689" i="1" a="1"/>
  <c r="A3689" i="1" s="1"/>
  <c r="A3690" i="1" a="1"/>
  <c r="A3690" i="1" s="1"/>
  <c r="A3691" i="1" a="1"/>
  <c r="A3691" i="1" s="1"/>
  <c r="A3692" i="1" a="1"/>
  <c r="A3692" i="1" s="1"/>
  <c r="A3693" i="1" a="1"/>
  <c r="A3693" i="1" s="1"/>
  <c r="A3694" i="1" a="1"/>
  <c r="A3694" i="1" s="1"/>
  <c r="A3695" i="1" a="1"/>
  <c r="A3695" i="1" s="1"/>
  <c r="A3696" i="1" a="1"/>
  <c r="A3696" i="1" s="1"/>
  <c r="A3697" i="1" a="1"/>
  <c r="A3697" i="1" s="1"/>
  <c r="A3698" i="1" a="1"/>
  <c r="A3698" i="1" s="1"/>
  <c r="A3699" i="1" a="1"/>
  <c r="A3699" i="1" s="1"/>
  <c r="A3700" i="1" a="1"/>
  <c r="A3700" i="1" s="1"/>
  <c r="A3701" i="1" a="1"/>
  <c r="A3701" i="1" s="1"/>
  <c r="A3702" i="1" a="1"/>
  <c r="A3702" i="1" s="1"/>
  <c r="A3703" i="1" a="1"/>
  <c r="A3703" i="1" s="1"/>
  <c r="A3704" i="1" a="1"/>
  <c r="A3704" i="1" s="1"/>
  <c r="A3705" i="1" a="1"/>
  <c r="A3705" i="1" s="1"/>
  <c r="A3706" i="1" a="1"/>
  <c r="A3706" i="1" s="1"/>
  <c r="A3707" i="1" a="1"/>
  <c r="A3707" i="1" s="1"/>
  <c r="A3708" i="1" a="1"/>
  <c r="A3708" i="1" s="1"/>
  <c r="A3709" i="1" a="1"/>
  <c r="A3709" i="1" s="1"/>
  <c r="A3710" i="1" a="1"/>
  <c r="A3710" i="1" s="1"/>
  <c r="A3711" i="1" a="1"/>
  <c r="A3711" i="1" s="1"/>
  <c r="A3712" i="1" a="1"/>
  <c r="A3712" i="1" s="1"/>
  <c r="A3713" i="1" a="1"/>
  <c r="A3713" i="1" s="1"/>
  <c r="A3714" i="1" a="1"/>
  <c r="A3714" i="1" s="1"/>
  <c r="A3715" i="1" a="1"/>
  <c r="A3715" i="1" s="1"/>
  <c r="A3716" i="1" a="1"/>
  <c r="A3716" i="1" s="1"/>
  <c r="A3717" i="1" a="1"/>
  <c r="A3717" i="1" s="1"/>
  <c r="A3718" i="1" a="1"/>
  <c r="A3718" i="1" s="1"/>
  <c r="A3719" i="1" a="1"/>
  <c r="A3719" i="1" s="1"/>
  <c r="A3720" i="1" a="1"/>
  <c r="A3720" i="1" s="1"/>
  <c r="A3721" i="1" a="1"/>
  <c r="A3721" i="1" s="1"/>
  <c r="A3722" i="1" a="1"/>
  <c r="A3722" i="1" s="1"/>
  <c r="A3723" i="1" a="1"/>
  <c r="A3723" i="1" s="1"/>
  <c r="A3724" i="1" a="1"/>
  <c r="A3724" i="1" s="1"/>
  <c r="A3725" i="1" a="1"/>
  <c r="A3725" i="1" s="1"/>
  <c r="A3726" i="1" a="1"/>
  <c r="A3726" i="1" s="1"/>
  <c r="A3727" i="1" a="1"/>
  <c r="A3727" i="1" s="1"/>
  <c r="A3728" i="1" a="1"/>
  <c r="A3728" i="1" s="1"/>
  <c r="A3729" i="1" a="1"/>
  <c r="A3729" i="1" s="1"/>
  <c r="A3730" i="1" a="1"/>
  <c r="A3730" i="1" s="1"/>
  <c r="A3731" i="1" a="1"/>
  <c r="A3731" i="1" s="1"/>
  <c r="A3732" i="1" a="1"/>
  <c r="A3732" i="1" s="1"/>
  <c r="A3733" i="1" a="1"/>
  <c r="A3733" i="1" s="1"/>
  <c r="A3734" i="1" a="1"/>
  <c r="A3734" i="1" s="1"/>
  <c r="A3735" i="1" a="1"/>
  <c r="A3735" i="1" s="1"/>
  <c r="A3736" i="1" a="1"/>
  <c r="A3736" i="1" s="1"/>
  <c r="A3737" i="1" a="1"/>
  <c r="A3737" i="1" s="1"/>
  <c r="A3738" i="1" a="1"/>
  <c r="A3738" i="1" s="1"/>
  <c r="A3739" i="1" a="1"/>
  <c r="A3739" i="1" s="1"/>
  <c r="A3740" i="1" a="1"/>
  <c r="A3740" i="1" s="1"/>
  <c r="A3741" i="1" a="1"/>
  <c r="A3741" i="1" s="1"/>
  <c r="A3742" i="1" a="1"/>
  <c r="A3742" i="1" s="1"/>
  <c r="A3743" i="1" a="1"/>
  <c r="A3743" i="1" s="1"/>
  <c r="A3744" i="1" a="1"/>
  <c r="A3744" i="1" s="1"/>
  <c r="A3745" i="1" a="1"/>
  <c r="A3745" i="1" s="1"/>
  <c r="A3746" i="1" a="1"/>
  <c r="A3746" i="1" s="1"/>
  <c r="A3747" i="1" a="1"/>
  <c r="A3747" i="1" s="1"/>
  <c r="A3748" i="1" a="1"/>
  <c r="A3748" i="1" s="1"/>
  <c r="A3749" i="1" a="1"/>
  <c r="A3749" i="1" s="1"/>
  <c r="A3750" i="1" a="1"/>
  <c r="A3750" i="1" s="1"/>
  <c r="A3751" i="1" a="1"/>
  <c r="A3751" i="1" s="1"/>
  <c r="A3752" i="1" a="1"/>
  <c r="A3752" i="1" s="1"/>
  <c r="A3753" i="1" a="1"/>
  <c r="A3753" i="1" s="1"/>
  <c r="A3754" i="1" a="1"/>
  <c r="A3754" i="1" s="1"/>
  <c r="A3755" i="1" a="1"/>
  <c r="A3755" i="1" s="1"/>
  <c r="A3756" i="1" a="1"/>
  <c r="A3756" i="1" s="1"/>
  <c r="A3757" i="1" a="1"/>
  <c r="A3757" i="1" s="1"/>
  <c r="A3758" i="1" a="1"/>
  <c r="A3758" i="1" s="1"/>
  <c r="A3759" i="1" a="1"/>
  <c r="A3759" i="1" s="1"/>
  <c r="A3760" i="1" a="1"/>
  <c r="A3760" i="1" s="1"/>
  <c r="A3761" i="1" a="1"/>
  <c r="A3761" i="1" s="1"/>
  <c r="A3762" i="1" a="1"/>
  <c r="A3762" i="1" s="1"/>
  <c r="A3763" i="1" a="1"/>
  <c r="A3763" i="1" s="1"/>
  <c r="A3764" i="1" a="1"/>
  <c r="A3764" i="1" s="1"/>
  <c r="A3765" i="1" a="1"/>
  <c r="A3765" i="1" s="1"/>
  <c r="A3766" i="1" a="1"/>
  <c r="A3766" i="1" s="1"/>
  <c r="A3767" i="1" a="1"/>
  <c r="A3767" i="1" s="1"/>
  <c r="A3768" i="1" a="1"/>
  <c r="A3768" i="1" s="1"/>
  <c r="A3769" i="1" a="1"/>
  <c r="A3769" i="1" s="1"/>
  <c r="A3770" i="1" a="1"/>
  <c r="A3770" i="1" s="1"/>
  <c r="A3771" i="1" a="1"/>
  <c r="A3771" i="1" s="1"/>
  <c r="A3772" i="1" a="1"/>
  <c r="A3772" i="1" s="1"/>
  <c r="A3773" i="1" a="1"/>
  <c r="A3773" i="1" s="1"/>
  <c r="A3774" i="1" a="1"/>
  <c r="A3774" i="1" s="1"/>
  <c r="A3775" i="1" a="1"/>
  <c r="A3775" i="1" s="1"/>
  <c r="A3776" i="1" a="1"/>
  <c r="A3776" i="1" s="1"/>
  <c r="A3777" i="1" a="1"/>
  <c r="A3777" i="1" s="1"/>
  <c r="A3778" i="1" a="1"/>
  <c r="A3778" i="1" s="1"/>
  <c r="A3779" i="1" a="1"/>
  <c r="A3779" i="1" s="1"/>
  <c r="A3780" i="1" a="1"/>
  <c r="A3780" i="1" s="1"/>
  <c r="A3781" i="1" a="1"/>
  <c r="A3781" i="1" s="1"/>
  <c r="A3782" i="1" a="1"/>
  <c r="A3782" i="1" s="1"/>
  <c r="A3783" i="1" a="1"/>
  <c r="A3783" i="1" s="1"/>
  <c r="A3784" i="1" a="1"/>
  <c r="A3784" i="1" s="1"/>
  <c r="A3785" i="1" a="1"/>
  <c r="A3785" i="1" s="1"/>
  <c r="A3786" i="1" a="1"/>
  <c r="A3786" i="1" s="1"/>
  <c r="A3787" i="1" a="1"/>
  <c r="A3787" i="1" s="1"/>
  <c r="A3788" i="1" a="1"/>
  <c r="A3788" i="1" s="1"/>
  <c r="A3789" i="1" a="1"/>
  <c r="A3789" i="1" s="1"/>
  <c r="A3790" i="1" a="1"/>
  <c r="A3790" i="1" s="1"/>
  <c r="A3791" i="1" a="1"/>
  <c r="A3791" i="1" s="1"/>
  <c r="A3792" i="1" a="1"/>
  <c r="A3792" i="1" s="1"/>
  <c r="A3793" i="1" a="1"/>
  <c r="A3793" i="1" s="1"/>
  <c r="A3794" i="1" a="1"/>
  <c r="A3794" i="1" s="1"/>
  <c r="A3795" i="1" a="1"/>
  <c r="A3795" i="1" s="1"/>
  <c r="A3796" i="1" a="1"/>
  <c r="A3796" i="1" s="1"/>
  <c r="A3797" i="1" a="1"/>
  <c r="A3797" i="1" s="1"/>
  <c r="A3798" i="1" a="1"/>
  <c r="A3798" i="1" s="1"/>
  <c r="A3799" i="1" a="1"/>
  <c r="A3799" i="1" s="1"/>
  <c r="A3800" i="1" a="1"/>
  <c r="A3800" i="1" s="1"/>
  <c r="A3801" i="1" a="1"/>
  <c r="A3801" i="1" s="1"/>
  <c r="A3802" i="1" a="1"/>
  <c r="A3802" i="1" s="1"/>
  <c r="A3803" i="1" a="1"/>
  <c r="A3803" i="1" s="1"/>
  <c r="A3804" i="1" a="1"/>
  <c r="A3804" i="1" s="1"/>
  <c r="A3805" i="1" a="1"/>
  <c r="A3805" i="1" s="1"/>
  <c r="A3806" i="1" a="1"/>
  <c r="A3806" i="1" s="1"/>
  <c r="A3807" i="1" a="1"/>
  <c r="A3807" i="1" s="1"/>
  <c r="A3808" i="1" a="1"/>
  <c r="A3808" i="1" s="1"/>
  <c r="A3809" i="1" a="1"/>
  <c r="A3809" i="1" s="1"/>
  <c r="A3810" i="1" a="1"/>
  <c r="A3810" i="1" s="1"/>
  <c r="A3811" i="1" a="1"/>
  <c r="A3811" i="1" s="1"/>
  <c r="A3812" i="1" a="1"/>
  <c r="A3812" i="1" s="1"/>
  <c r="A3813" i="1" a="1"/>
  <c r="A3813" i="1" s="1"/>
  <c r="A3814" i="1" a="1"/>
  <c r="A3814" i="1" s="1"/>
  <c r="A3815" i="1" a="1"/>
  <c r="A3815" i="1" s="1"/>
  <c r="A3816" i="1" a="1"/>
  <c r="A3816" i="1" s="1"/>
  <c r="A3817" i="1" a="1"/>
  <c r="A3817" i="1" s="1"/>
  <c r="A3818" i="1" a="1"/>
  <c r="A3818" i="1" s="1"/>
  <c r="A3819" i="1" a="1"/>
  <c r="A3819" i="1" s="1"/>
  <c r="A3820" i="1" a="1"/>
  <c r="A3820" i="1" s="1"/>
  <c r="A3821" i="1" a="1"/>
  <c r="A3821" i="1" s="1"/>
  <c r="A3822" i="1" a="1"/>
  <c r="A3822" i="1" s="1"/>
  <c r="A3823" i="1" a="1"/>
  <c r="A3823" i="1" s="1"/>
  <c r="A3824" i="1" a="1"/>
  <c r="A3824" i="1" s="1"/>
  <c r="A3825" i="1" a="1"/>
  <c r="A3825" i="1" s="1"/>
  <c r="A3826" i="1" a="1"/>
  <c r="A3826" i="1" s="1"/>
  <c r="A3827" i="1" a="1"/>
  <c r="A3827" i="1" s="1"/>
  <c r="A3828" i="1" a="1"/>
  <c r="A3828" i="1" s="1"/>
  <c r="A3829" i="1" a="1"/>
  <c r="A3829" i="1" s="1"/>
  <c r="A3830" i="1" a="1"/>
  <c r="A3830" i="1" s="1"/>
  <c r="A3831" i="1" a="1"/>
  <c r="A3831" i="1" s="1"/>
  <c r="A3832" i="1" a="1"/>
  <c r="A3832" i="1" s="1"/>
  <c r="A3833" i="1" a="1"/>
  <c r="A3833" i="1" s="1"/>
  <c r="A3834" i="1" a="1"/>
  <c r="A3834" i="1" s="1"/>
  <c r="A3835" i="1" a="1"/>
  <c r="A3835" i="1" s="1"/>
  <c r="A3836" i="1" a="1"/>
  <c r="A3836" i="1" s="1"/>
  <c r="A3837" i="1" a="1"/>
  <c r="A3837" i="1" s="1"/>
  <c r="A3838" i="1" a="1"/>
  <c r="A3838" i="1" s="1"/>
  <c r="A3839" i="1" a="1"/>
  <c r="A3839" i="1" s="1"/>
  <c r="A3840" i="1" a="1"/>
  <c r="A3840" i="1" s="1"/>
  <c r="A3841" i="1" a="1"/>
  <c r="A3841" i="1" s="1"/>
  <c r="A3842" i="1" a="1"/>
  <c r="A3842" i="1" s="1"/>
  <c r="A3843" i="1" a="1"/>
  <c r="A3843" i="1" s="1"/>
  <c r="A3844" i="1" a="1"/>
  <c r="A3844" i="1" s="1"/>
  <c r="A3845" i="1" a="1"/>
  <c r="A3845" i="1" s="1"/>
  <c r="A3846" i="1" a="1"/>
  <c r="A3846" i="1" s="1"/>
  <c r="A3847" i="1" a="1"/>
  <c r="A3847" i="1" s="1"/>
  <c r="A3848" i="1" a="1"/>
  <c r="A3848" i="1" s="1"/>
  <c r="A3849" i="1" a="1"/>
  <c r="A3849" i="1" s="1"/>
  <c r="A3850" i="1" a="1"/>
  <c r="A3850" i="1" s="1"/>
  <c r="A3851" i="1" a="1"/>
  <c r="A3851" i="1" s="1"/>
  <c r="A3852" i="1" a="1"/>
  <c r="A3852" i="1" s="1"/>
  <c r="A3853" i="1" a="1"/>
  <c r="A3853" i="1" s="1"/>
  <c r="A3854" i="1" a="1"/>
  <c r="A3854" i="1" s="1"/>
  <c r="A3855" i="1" a="1"/>
  <c r="A3855" i="1" s="1"/>
  <c r="A3856" i="1" a="1"/>
  <c r="A3856" i="1" s="1"/>
  <c r="A3857" i="1" a="1"/>
  <c r="A3857" i="1" s="1"/>
  <c r="A3858" i="1" a="1"/>
  <c r="A3858" i="1" s="1"/>
  <c r="A3859" i="1" a="1"/>
  <c r="A3859" i="1" s="1"/>
  <c r="A3860" i="1" a="1"/>
  <c r="A3860" i="1" s="1"/>
  <c r="A3861" i="1" a="1"/>
  <c r="A3861" i="1" s="1"/>
  <c r="A3862" i="1" a="1"/>
  <c r="A3862" i="1" s="1"/>
  <c r="A3863" i="1" a="1"/>
  <c r="A3863" i="1" s="1"/>
  <c r="A3864" i="1" a="1"/>
  <c r="A3864" i="1" s="1"/>
  <c r="A3865" i="1" a="1"/>
  <c r="A3865" i="1" s="1"/>
  <c r="A3866" i="1" a="1"/>
  <c r="A3866" i="1" s="1"/>
  <c r="A3867" i="1" a="1"/>
  <c r="A3867" i="1" s="1"/>
  <c r="A3868" i="1" a="1"/>
  <c r="A3868" i="1" s="1"/>
  <c r="A3869" i="1" a="1"/>
  <c r="A3869" i="1" s="1"/>
  <c r="A3870" i="1" a="1"/>
  <c r="A3870" i="1" s="1"/>
  <c r="A3871" i="1" a="1"/>
  <c r="A3871" i="1" s="1"/>
  <c r="A3872" i="1" a="1"/>
  <c r="A3872" i="1" s="1"/>
  <c r="A3873" i="1" a="1"/>
  <c r="A3873" i="1" s="1"/>
  <c r="A3874" i="1" a="1"/>
  <c r="A3874" i="1" s="1"/>
  <c r="A3875" i="1" a="1"/>
  <c r="A3875" i="1" s="1"/>
  <c r="A3876" i="1" a="1"/>
  <c r="A3876" i="1" s="1"/>
  <c r="A3877" i="1" a="1"/>
  <c r="A3877" i="1" s="1"/>
  <c r="A3878" i="1" a="1"/>
  <c r="A3878" i="1" s="1"/>
  <c r="A3879" i="1" a="1"/>
  <c r="A3879" i="1" s="1"/>
  <c r="A3880" i="1" a="1"/>
  <c r="A3880" i="1" s="1"/>
  <c r="A3881" i="1" a="1"/>
  <c r="A3881" i="1" s="1"/>
  <c r="A3882" i="1" a="1"/>
  <c r="A3882" i="1" s="1"/>
  <c r="A3883" i="1" a="1"/>
  <c r="A3883" i="1" s="1"/>
  <c r="A3884" i="1" a="1"/>
  <c r="A3884" i="1" s="1"/>
  <c r="A3885" i="1" a="1"/>
  <c r="A3885" i="1" s="1"/>
  <c r="A3886" i="1" a="1"/>
  <c r="A3886" i="1" s="1"/>
  <c r="A3887" i="1" a="1"/>
  <c r="A3887" i="1" s="1"/>
  <c r="A3888" i="1" a="1"/>
  <c r="A3888" i="1" s="1"/>
  <c r="A3889" i="1" a="1"/>
  <c r="A3889" i="1" s="1"/>
  <c r="A3890" i="1" a="1"/>
  <c r="A3890" i="1" s="1"/>
  <c r="A3891" i="1" a="1"/>
  <c r="A3891" i="1" s="1"/>
  <c r="A3892" i="1" a="1"/>
  <c r="A3892" i="1" s="1"/>
  <c r="A3893" i="1" a="1"/>
  <c r="A3893" i="1" s="1"/>
  <c r="A3894" i="1" a="1"/>
  <c r="A3894" i="1" s="1"/>
  <c r="A3895" i="1" a="1"/>
  <c r="A3895" i="1" s="1"/>
  <c r="A3896" i="1" a="1"/>
  <c r="A3896" i="1" s="1"/>
  <c r="A3897" i="1" a="1"/>
  <c r="A3897" i="1" s="1"/>
  <c r="A3898" i="1" a="1"/>
  <c r="A3898" i="1" s="1"/>
  <c r="A3899" i="1" a="1"/>
  <c r="A3899" i="1" s="1"/>
  <c r="A3900" i="1" a="1"/>
  <c r="A3900" i="1" s="1"/>
  <c r="A3901" i="1" a="1"/>
  <c r="A3901" i="1" s="1"/>
  <c r="A3902" i="1" a="1"/>
  <c r="A3902" i="1" s="1"/>
  <c r="A3903" i="1" a="1"/>
  <c r="A3903" i="1" s="1"/>
  <c r="A3904" i="1" a="1"/>
  <c r="A3904" i="1" s="1"/>
  <c r="A3905" i="1" a="1"/>
  <c r="A3905" i="1" s="1"/>
  <c r="A3906" i="1" a="1"/>
  <c r="A3906" i="1" s="1"/>
  <c r="A3907" i="1" a="1"/>
  <c r="A3907" i="1" s="1"/>
  <c r="A3908" i="1" a="1"/>
  <c r="A3908" i="1" s="1"/>
  <c r="A3909" i="1" a="1"/>
  <c r="A3909" i="1" s="1"/>
  <c r="A3910" i="1" a="1"/>
  <c r="A3910" i="1" s="1"/>
  <c r="A3911" i="1" a="1"/>
  <c r="A3911" i="1" s="1"/>
  <c r="A3912" i="1" a="1"/>
  <c r="A3912" i="1" s="1"/>
  <c r="A3913" i="1" a="1"/>
  <c r="A3913" i="1" s="1"/>
  <c r="A3914" i="1" a="1"/>
  <c r="A3914" i="1" s="1"/>
  <c r="A3915" i="1" a="1"/>
  <c r="A3915" i="1" s="1"/>
  <c r="A3916" i="1" a="1"/>
  <c r="A3916" i="1" s="1"/>
  <c r="A3917" i="1" a="1"/>
  <c r="A3917" i="1" s="1"/>
  <c r="A3918" i="1" a="1"/>
  <c r="A3918" i="1" s="1"/>
  <c r="A3919" i="1" a="1"/>
  <c r="A3919" i="1" s="1"/>
  <c r="A3920" i="1" a="1"/>
  <c r="A3920" i="1" s="1"/>
  <c r="A3921" i="1" a="1"/>
  <c r="A3921" i="1" s="1"/>
  <c r="A3922" i="1" a="1"/>
  <c r="A3922" i="1" s="1"/>
  <c r="A3923" i="1" a="1"/>
  <c r="A3923" i="1" s="1"/>
  <c r="A3924" i="1" a="1"/>
  <c r="A3924" i="1" s="1"/>
  <c r="A3925" i="1" a="1"/>
  <c r="A3925" i="1" s="1"/>
  <c r="A3926" i="1" a="1"/>
  <c r="A3926" i="1" s="1"/>
  <c r="A3927" i="1" a="1"/>
  <c r="A3927" i="1" s="1"/>
  <c r="A3928" i="1" a="1"/>
  <c r="A3928" i="1" s="1"/>
  <c r="A3929" i="1" a="1"/>
  <c r="A3929" i="1" s="1"/>
  <c r="A3930" i="1" a="1"/>
  <c r="A3930" i="1" s="1"/>
  <c r="A3931" i="1" a="1"/>
  <c r="A3931" i="1" s="1"/>
  <c r="A3932" i="1" a="1"/>
  <c r="A3932" i="1" s="1"/>
  <c r="A3933" i="1" a="1"/>
  <c r="A3933" i="1" s="1"/>
  <c r="A3934" i="1" a="1"/>
  <c r="A3934" i="1" s="1"/>
  <c r="A3935" i="1" a="1"/>
  <c r="A3935" i="1" s="1"/>
  <c r="A3936" i="1" a="1"/>
  <c r="A3936" i="1" s="1"/>
  <c r="A3937" i="1" a="1"/>
  <c r="A3937" i="1" s="1"/>
  <c r="A3938" i="1" a="1"/>
  <c r="A3938" i="1" s="1"/>
  <c r="A3939" i="1" a="1"/>
  <c r="A3939" i="1" s="1"/>
  <c r="A3940" i="1" a="1"/>
  <c r="A3940" i="1" s="1"/>
  <c r="A3941" i="1" a="1"/>
  <c r="A3941" i="1" s="1"/>
  <c r="A3942" i="1" a="1"/>
  <c r="A3942" i="1" s="1"/>
  <c r="A3943" i="1" a="1"/>
  <c r="A3943" i="1" s="1"/>
  <c r="A3944" i="1" a="1"/>
  <c r="A3944" i="1" s="1"/>
  <c r="A3945" i="1" a="1"/>
  <c r="A3945" i="1" s="1"/>
  <c r="A3946" i="1" a="1"/>
  <c r="A3946" i="1" s="1"/>
  <c r="A3947" i="1" a="1"/>
  <c r="A3947" i="1" s="1"/>
  <c r="A3948" i="1" a="1"/>
  <c r="A3948" i="1" s="1"/>
  <c r="A3949" i="1" a="1"/>
  <c r="A3949" i="1" s="1"/>
  <c r="A3950" i="1" a="1"/>
  <c r="A3950" i="1" s="1"/>
  <c r="A3951" i="1" a="1"/>
  <c r="A3951" i="1" s="1"/>
  <c r="A3952" i="1" a="1"/>
  <c r="A3952" i="1" s="1"/>
  <c r="A3953" i="1" a="1"/>
  <c r="A3953" i="1" s="1"/>
  <c r="A3954" i="1" a="1"/>
  <c r="A3954" i="1" s="1"/>
  <c r="A3955" i="1" a="1"/>
  <c r="A3955" i="1" s="1"/>
  <c r="A3956" i="1" a="1"/>
  <c r="A3956" i="1" s="1"/>
  <c r="A3957" i="1" a="1"/>
  <c r="A3957" i="1" s="1"/>
  <c r="A3958" i="1" a="1"/>
  <c r="A3958" i="1" s="1"/>
  <c r="A3959" i="1" a="1"/>
  <c r="A3959" i="1" s="1"/>
  <c r="A3960" i="1" a="1"/>
  <c r="A3960" i="1" s="1"/>
  <c r="A3961" i="1" a="1"/>
  <c r="A3961" i="1" s="1"/>
  <c r="A3962" i="1" a="1"/>
  <c r="A3962" i="1" s="1"/>
  <c r="A3963" i="1" a="1"/>
  <c r="A3963" i="1" s="1"/>
  <c r="A3964" i="1" a="1"/>
  <c r="A3964" i="1" s="1"/>
  <c r="A3965" i="1" a="1"/>
  <c r="A3965" i="1" s="1"/>
  <c r="A3966" i="1" a="1"/>
  <c r="A3966" i="1" s="1"/>
  <c r="A3967" i="1" a="1"/>
  <c r="A3967" i="1" s="1"/>
  <c r="A3968" i="1" a="1"/>
  <c r="A3968" i="1" s="1"/>
  <c r="A3969" i="1" a="1"/>
  <c r="A3969" i="1" s="1"/>
  <c r="A3970" i="1" a="1"/>
  <c r="A3970" i="1" s="1"/>
  <c r="A3971" i="1" a="1"/>
  <c r="A3971" i="1" s="1"/>
  <c r="A3972" i="1" a="1"/>
  <c r="A3972" i="1" s="1"/>
  <c r="A3973" i="1" a="1"/>
  <c r="A3973" i="1" s="1"/>
  <c r="A3974" i="1" a="1"/>
  <c r="A3974" i="1" s="1"/>
  <c r="A3975" i="1" a="1"/>
  <c r="A3975" i="1" s="1"/>
  <c r="A3976" i="1" a="1"/>
  <c r="A3976" i="1" s="1"/>
  <c r="A3977" i="1" a="1"/>
  <c r="A3977" i="1" s="1"/>
  <c r="A3978" i="1" a="1"/>
  <c r="A3978" i="1" s="1"/>
  <c r="A3979" i="1" a="1"/>
  <c r="A3979" i="1" s="1"/>
  <c r="A3980" i="1" a="1"/>
  <c r="A3980" i="1" s="1"/>
  <c r="A3981" i="1" a="1"/>
  <c r="A3981" i="1" s="1"/>
  <c r="A3982" i="1" a="1"/>
  <c r="A3982" i="1" s="1"/>
  <c r="A3983" i="1" a="1"/>
  <c r="A3983" i="1" s="1"/>
  <c r="A3984" i="1" a="1"/>
  <c r="A3984" i="1" s="1"/>
  <c r="A3985" i="1" a="1"/>
  <c r="A3985" i="1" s="1"/>
  <c r="A3986" i="1" a="1"/>
  <c r="A3986" i="1" s="1"/>
  <c r="A3987" i="1" a="1"/>
  <c r="A3987" i="1" s="1"/>
  <c r="A3988" i="1" a="1"/>
  <c r="A3988" i="1" s="1"/>
  <c r="A3989" i="1" a="1"/>
  <c r="A3989" i="1" s="1"/>
  <c r="A3990" i="1" a="1"/>
  <c r="A3990" i="1" s="1"/>
  <c r="A3991" i="1" a="1"/>
  <c r="A3991" i="1" s="1"/>
  <c r="A3992" i="1" a="1"/>
  <c r="A3992" i="1" s="1"/>
  <c r="A3993" i="1" a="1"/>
  <c r="A3993" i="1" s="1"/>
  <c r="A3994" i="1" a="1"/>
  <c r="A3994" i="1" s="1"/>
  <c r="A3995" i="1" a="1"/>
  <c r="A3995" i="1" s="1"/>
  <c r="A3996" i="1" a="1"/>
  <c r="A3996" i="1" s="1"/>
  <c r="A3997" i="1" a="1"/>
  <c r="A3997" i="1" s="1"/>
  <c r="A3998" i="1" a="1"/>
  <c r="A3998" i="1" s="1"/>
  <c r="A3999" i="1" a="1"/>
  <c r="A3999" i="1" s="1"/>
  <c r="A4000" i="1" a="1"/>
  <c r="A4000" i="1" s="1"/>
  <c r="A4001" i="1" a="1"/>
  <c r="A4001" i="1" s="1"/>
  <c r="A4002" i="1" a="1"/>
  <c r="A4002" i="1" s="1"/>
  <c r="A4003" i="1" a="1"/>
  <c r="A4003" i="1" s="1"/>
  <c r="A4004" i="1" a="1"/>
  <c r="A4004" i="1" s="1"/>
  <c r="A4005" i="1" a="1"/>
  <c r="A4005" i="1" s="1"/>
  <c r="A4006" i="1" a="1"/>
  <c r="A4006" i="1" s="1"/>
  <c r="A2005" i="1" a="1"/>
  <c r="A2005" i="1" s="1"/>
  <c r="A2006" i="1" a="1"/>
  <c r="A2006" i="1" s="1"/>
  <c r="A2007" i="1" a="1"/>
  <c r="A2007" i="1" s="1"/>
  <c r="E47" i="4"/>
  <c r="E48" i="4"/>
  <c r="E52" i="4"/>
  <c r="E55" i="4"/>
  <c r="E60" i="4"/>
  <c r="E45" i="4"/>
  <c r="E33" i="4"/>
  <c r="E56" i="4"/>
  <c r="E53" i="4"/>
  <c r="E38" i="4"/>
  <c r="E34" i="4"/>
  <c r="E49" i="4"/>
  <c r="E54" i="4"/>
  <c r="E46" i="4"/>
  <c r="E57" i="4"/>
  <c r="E35" i="4"/>
  <c r="E39" i="4"/>
  <c r="E50" i="4"/>
  <c r="E43" i="4"/>
  <c r="E40" i="4"/>
  <c r="E36" i="4"/>
  <c r="E58" i="4"/>
  <c r="E41" i="4"/>
  <c r="E51" i="4"/>
  <c r="E44" i="4"/>
  <c r="E42" i="4"/>
  <c r="E59" i="4"/>
  <c r="E37" i="4"/>
  <c r="E32" i="4"/>
  <c r="J31" i="4"/>
  <c r="J32" i="4"/>
  <c r="J33" i="4"/>
  <c r="J34" i="4"/>
  <c r="J30" i="4"/>
  <c r="E3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<sst xmlns="http://schemas.openxmlformats.org/spreadsheetml/2006/main" count="16205" uniqueCount="2192">
  <si>
    <t>Order ID</t>
  </si>
  <si>
    <t>Date</t>
  </si>
  <si>
    <t>State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</si>
  <si>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</si>
  <si>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</si>
  <si>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</si>
  <si>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</si>
  <si>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</si>
  <si>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</si>
  <si>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</si>
  <si>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</si>
  <si>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</si>
  <si>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</si>
  <si>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K7-10001</t>
  </si>
  <si>
    <t>Texas</t>
  </si>
  <si>
    <t>South</t>
  </si>
  <si>
    <t>Online</t>
  </si>
  <si>
    <t>Returning</t>
  </si>
  <si>
    <t>Tops</t>
  </si>
  <si>
    <t>Striped Polo</t>
  </si>
  <si>
    <t>Grace Okafor</t>
  </si>
  <si>
    <t>K7-10002</t>
  </si>
  <si>
    <t>New York</t>
  </si>
  <si>
    <t>Northeast</t>
  </si>
  <si>
    <t>Outerwear</t>
  </si>
  <si>
    <t>Denim Trucker</t>
  </si>
  <si>
    <t>Elena Vargas</t>
  </si>
  <si>
    <t>K7-10003</t>
  </si>
  <si>
    <t>New</t>
  </si>
  <si>
    <t>Accessories</t>
  </si>
  <si>
    <t>Knit Beanie</t>
  </si>
  <si>
    <t>K7-10004</t>
  </si>
  <si>
    <t>Arizona</t>
  </si>
  <si>
    <t>West</t>
  </si>
  <si>
    <t>Retail Store</t>
  </si>
  <si>
    <t>Quilted Jacket</t>
  </si>
  <si>
    <t>Marcus Reed</t>
  </si>
  <si>
    <t>K7-10005</t>
  </si>
  <si>
    <t>Wholesale</t>
  </si>
  <si>
    <t>Dresses</t>
  </si>
  <si>
    <t>Linen Shirt Dress</t>
  </si>
  <si>
    <t>Ava Brooks</t>
  </si>
  <si>
    <t>K7-10006</t>
  </si>
  <si>
    <t>Marketplace</t>
  </si>
  <si>
    <t>Canvas Tote</t>
  </si>
  <si>
    <t>Jonah Wright</t>
  </si>
  <si>
    <t>K7-10007</t>
  </si>
  <si>
    <t>North Carolina</t>
  </si>
  <si>
    <t>Bottoms</t>
  </si>
  <si>
    <t>Tailored Short</t>
  </si>
  <si>
    <t>Noor Haddad</t>
  </si>
  <si>
    <t>K7-10008</t>
  </si>
  <si>
    <t>Ohio</t>
  </si>
  <si>
    <t>Midwest</t>
  </si>
  <si>
    <t>Footwear</t>
  </si>
  <si>
    <t>Suede Loafer</t>
  </si>
  <si>
    <t>K7-10009</t>
  </si>
  <si>
    <t>Florida</t>
  </si>
  <si>
    <t>Priya Nair</t>
  </si>
  <si>
    <t>K7-10010</t>
  </si>
  <si>
    <t>Utah</t>
  </si>
  <si>
    <t>Hooded Parka</t>
  </si>
  <si>
    <t>K7-10011</t>
  </si>
  <si>
    <t>California</t>
  </si>
  <si>
    <t>Canvas Sneaker</t>
  </si>
  <si>
    <t>K7-10012</t>
  </si>
  <si>
    <t>New Jersey</t>
  </si>
  <si>
    <t>K7-10013</t>
  </si>
  <si>
    <t>K7-10014</t>
  </si>
  <si>
    <t>K7-10015</t>
  </si>
  <si>
    <t>K7-10016</t>
  </si>
  <si>
    <t>Wrap Dress</t>
  </si>
  <si>
    <t>K7-10017</t>
  </si>
  <si>
    <t>K7-10018</t>
  </si>
  <si>
    <t>K7-10019</t>
  </si>
  <si>
    <t>Dylan Foster</t>
  </si>
  <si>
    <t>K7-10020</t>
  </si>
  <si>
    <t>Cargo Pant</t>
  </si>
  <si>
    <t>K7-10021</t>
  </si>
  <si>
    <t>Washington</t>
  </si>
  <si>
    <t>K7-10022</t>
  </si>
  <si>
    <t>K7-10023</t>
  </si>
  <si>
    <t>Wool Overcoat</t>
  </si>
  <si>
    <t>K7-10024</t>
  </si>
  <si>
    <t>Straight Jeans</t>
  </si>
  <si>
    <t>K7-10025</t>
  </si>
  <si>
    <t>Missouri</t>
  </si>
  <si>
    <t>K7-10026</t>
  </si>
  <si>
    <t>Slim Chino</t>
  </si>
  <si>
    <t>K7-10027</t>
  </si>
  <si>
    <t>Michigan</t>
  </si>
  <si>
    <t>K7-10028</t>
  </si>
  <si>
    <t>Minnesota</t>
  </si>
  <si>
    <t>K7-10029</t>
  </si>
  <si>
    <t>Virginia</t>
  </si>
  <si>
    <t>Midi Slip Dress</t>
  </si>
  <si>
    <t>K7-10030</t>
  </si>
  <si>
    <t>K7-10031</t>
  </si>
  <si>
    <t>K7-10032</t>
  </si>
  <si>
    <t>Silk Scarf</t>
  </si>
  <si>
    <t>K7-10033</t>
  </si>
  <si>
    <t>Colorado</t>
  </si>
  <si>
    <t>Leather Boot</t>
  </si>
  <si>
    <t>K7-10034</t>
  </si>
  <si>
    <t>K7-10035</t>
  </si>
  <si>
    <t>K7-10036</t>
  </si>
  <si>
    <t>Pennsylvania</t>
  </si>
  <si>
    <t>K7-10037</t>
  </si>
  <si>
    <t>K7-10038</t>
  </si>
  <si>
    <t>K7-10039</t>
  </si>
  <si>
    <t>K7-10040</t>
  </si>
  <si>
    <t>K7-10041</t>
  </si>
  <si>
    <t>K7-10042</t>
  </si>
  <si>
    <t>K7-10043</t>
  </si>
  <si>
    <t>K7-10044</t>
  </si>
  <si>
    <t>K7-10045</t>
  </si>
  <si>
    <t>Georgia</t>
  </si>
  <si>
    <t>K7-10046</t>
  </si>
  <si>
    <t>K7-10047</t>
  </si>
  <si>
    <t>Alabama</t>
  </si>
  <si>
    <t>K7-10048</t>
  </si>
  <si>
    <t>K7-10049</t>
  </si>
  <si>
    <t>K7-10050</t>
  </si>
  <si>
    <t>Wisconsin</t>
  </si>
  <si>
    <t>K7-10051</t>
  </si>
  <si>
    <t>Massachusetts</t>
  </si>
  <si>
    <t>K7-10052</t>
  </si>
  <si>
    <t>K7-10053</t>
  </si>
  <si>
    <t>K7-10054</t>
  </si>
  <si>
    <t>K7-10055</t>
  </si>
  <si>
    <t>Illinois</t>
  </si>
  <si>
    <t>K7-10056</t>
  </si>
  <si>
    <t>K7-10057</t>
  </si>
  <si>
    <t>K7-10058</t>
  </si>
  <si>
    <t>Maryland</t>
  </si>
  <si>
    <t>K7-10059</t>
  </si>
  <si>
    <t>Classic Tee</t>
  </si>
  <si>
    <t>K7-10060</t>
  </si>
  <si>
    <t>K7-10061</t>
  </si>
  <si>
    <t>K7-10062</t>
  </si>
  <si>
    <t>Leather Belt</t>
  </si>
  <si>
    <t>K7-10063</t>
  </si>
  <si>
    <t>K7-10064</t>
  </si>
  <si>
    <t>Oxford Shirt</t>
  </si>
  <si>
    <t>K7-10065</t>
  </si>
  <si>
    <t>K7-10066</t>
  </si>
  <si>
    <t>K7-10067</t>
  </si>
  <si>
    <t>K7-10068</t>
  </si>
  <si>
    <t>K7-10069</t>
  </si>
  <si>
    <t>K7-10070</t>
  </si>
  <si>
    <t>K7-10071</t>
  </si>
  <si>
    <t>South Carolina</t>
  </si>
  <si>
    <t>K7-10072</t>
  </si>
  <si>
    <t>K7-10073</t>
  </si>
  <si>
    <t>K7-10074</t>
  </si>
  <si>
    <t>K7-10075</t>
  </si>
  <si>
    <t>Tennessee</t>
  </si>
  <si>
    <t>K7-10076</t>
  </si>
  <si>
    <t>Henley Long Sleeve</t>
  </si>
  <si>
    <t>K7-10077</t>
  </si>
  <si>
    <t>Nevada</t>
  </si>
  <si>
    <t>K7-10078</t>
  </si>
  <si>
    <t>K7-10079</t>
  </si>
  <si>
    <t>K7-10080</t>
  </si>
  <si>
    <t>Indiana</t>
  </si>
  <si>
    <t>K7-10081</t>
  </si>
  <si>
    <t>K7-10082</t>
  </si>
  <si>
    <t>K7-10083</t>
  </si>
  <si>
    <t>K7-10084</t>
  </si>
  <si>
    <t>Oregon</t>
  </si>
  <si>
    <t>K7-10085</t>
  </si>
  <si>
    <t>Idaho</t>
  </si>
  <si>
    <t>K7-10086</t>
  </si>
  <si>
    <t>K7-10087</t>
  </si>
  <si>
    <t>K7-10088</t>
  </si>
  <si>
    <t>K7-10089</t>
  </si>
  <si>
    <t>K7-10090</t>
  </si>
  <si>
    <t>K7-10091</t>
  </si>
  <si>
    <t>Louisiana</t>
  </si>
  <si>
    <t>K7-10092</t>
  </si>
  <si>
    <t>K7-10093</t>
  </si>
  <si>
    <t>K7-10094</t>
  </si>
  <si>
    <t>K7-10095</t>
  </si>
  <si>
    <t>K7-10096</t>
  </si>
  <si>
    <t>K7-10097</t>
  </si>
  <si>
    <t>K7-10098</t>
  </si>
  <si>
    <t>K7-10099</t>
  </si>
  <si>
    <t>K7-10100</t>
  </si>
  <si>
    <t>K7-10101</t>
  </si>
  <si>
    <t>K7-10102</t>
  </si>
  <si>
    <t>K7-10103</t>
  </si>
  <si>
    <t>K7-10104</t>
  </si>
  <si>
    <t>K7-10105</t>
  </si>
  <si>
    <t>K7-10106</t>
  </si>
  <si>
    <t>K7-10107</t>
  </si>
  <si>
    <t>K7-10108</t>
  </si>
  <si>
    <t>K7-10109</t>
  </si>
  <si>
    <t>K7-10110</t>
  </si>
  <si>
    <t>K7-10111</t>
  </si>
  <si>
    <t>K7-10112</t>
  </si>
  <si>
    <t>K7-10113</t>
  </si>
  <si>
    <t>K7-10114</t>
  </si>
  <si>
    <t>K7-10115</t>
  </si>
  <si>
    <t>K7-10116</t>
  </si>
  <si>
    <t>K7-10117</t>
  </si>
  <si>
    <t>K7-10118</t>
  </si>
  <si>
    <t>K7-10119</t>
  </si>
  <si>
    <t>K7-10120</t>
  </si>
  <si>
    <t>K7-10121</t>
  </si>
  <si>
    <t>K7-10122</t>
  </si>
  <si>
    <t>K7-10123</t>
  </si>
  <si>
    <t>K7-10124</t>
  </si>
  <si>
    <t>K7-10125</t>
  </si>
  <si>
    <t>K7-10126</t>
  </si>
  <si>
    <t>K7-10127</t>
  </si>
  <si>
    <t>K7-10128</t>
  </si>
  <si>
    <t>K7-10129</t>
  </si>
  <si>
    <t>K7-10130</t>
  </si>
  <si>
    <t>K7-10131</t>
  </si>
  <si>
    <t>K7-10132</t>
  </si>
  <si>
    <t>K7-10133</t>
  </si>
  <si>
    <t>K7-10134</t>
  </si>
  <si>
    <t>K7-10135</t>
  </si>
  <si>
    <t>K7-10136</t>
  </si>
  <si>
    <t>K7-10137</t>
  </si>
  <si>
    <t>K7-10138</t>
  </si>
  <si>
    <t>K7-10139</t>
  </si>
  <si>
    <t>K7-10140</t>
  </si>
  <si>
    <t>K7-10141</t>
  </si>
  <si>
    <t>K7-10142</t>
  </si>
  <si>
    <t>K7-10143</t>
  </si>
  <si>
    <t>K7-10144</t>
  </si>
  <si>
    <t>K7-10145</t>
  </si>
  <si>
    <t>K7-10146</t>
  </si>
  <si>
    <t>K7-10147</t>
  </si>
  <si>
    <t>K7-10148</t>
  </si>
  <si>
    <t>K7-10149</t>
  </si>
  <si>
    <t>K7-10150</t>
  </si>
  <si>
    <t>K7-10151</t>
  </si>
  <si>
    <t>K7-10152</t>
  </si>
  <si>
    <t>K7-10153</t>
  </si>
  <si>
    <t>K7-10154</t>
  </si>
  <si>
    <t>K7-10155</t>
  </si>
  <si>
    <t>K7-10156</t>
  </si>
  <si>
    <t>K7-10157</t>
  </si>
  <si>
    <t>K7-10158</t>
  </si>
  <si>
    <t>K7-10159</t>
  </si>
  <si>
    <t>K7-10160</t>
  </si>
  <si>
    <t>K7-10161</t>
  </si>
  <si>
    <t>K7-10162</t>
  </si>
  <si>
    <t>K7-10163</t>
  </si>
  <si>
    <t>K7-10164</t>
  </si>
  <si>
    <t>K7-10165</t>
  </si>
  <si>
    <t>K7-10166</t>
  </si>
  <si>
    <t>K7-10167</t>
  </si>
  <si>
    <t>K7-10168</t>
  </si>
  <si>
    <t>K7-10169</t>
  </si>
  <si>
    <t>K7-10170</t>
  </si>
  <si>
    <t>K7-10171</t>
  </si>
  <si>
    <t>K7-10172</t>
  </si>
  <si>
    <t>K7-10173</t>
  </si>
  <si>
    <t>K7-10174</t>
  </si>
  <si>
    <t>K7-10175</t>
  </si>
  <si>
    <t>K7-10176</t>
  </si>
  <si>
    <t>K7-10177</t>
  </si>
  <si>
    <t>K7-10178</t>
  </si>
  <si>
    <t>K7-10179</t>
  </si>
  <si>
    <t>K7-10180</t>
  </si>
  <si>
    <t>K7-10181</t>
  </si>
  <si>
    <t>K7-10182</t>
  </si>
  <si>
    <t>K7-10183</t>
  </si>
  <si>
    <t>K7-10184</t>
  </si>
  <si>
    <t>K7-10185</t>
  </si>
  <si>
    <t>K7-10186</t>
  </si>
  <si>
    <t>K7-10187</t>
  </si>
  <si>
    <t>K7-10188</t>
  </si>
  <si>
    <t>K7-10189</t>
  </si>
  <si>
    <t>K7-10190</t>
  </si>
  <si>
    <t>K7-10191</t>
  </si>
  <si>
    <t>K7-10192</t>
  </si>
  <si>
    <t>K7-10193</t>
  </si>
  <si>
    <t>K7-10194</t>
  </si>
  <si>
    <t>K7-10195</t>
  </si>
  <si>
    <t>K7-10196</t>
  </si>
  <si>
    <t>K7-10197</t>
  </si>
  <si>
    <t>K7-10198</t>
  </si>
  <si>
    <t>K7-10199</t>
  </si>
  <si>
    <t>K7-10200</t>
  </si>
  <si>
    <t>K7-10201</t>
  </si>
  <si>
    <t>K7-10202</t>
  </si>
  <si>
    <t>K7-10203</t>
  </si>
  <si>
    <t>K7-10204</t>
  </si>
  <si>
    <t>K7-10205</t>
  </si>
  <si>
    <t>K7-10206</t>
  </si>
  <si>
    <t>K7-10207</t>
  </si>
  <si>
    <t>K7-10208</t>
  </si>
  <si>
    <t>K7-10209</t>
  </si>
  <si>
    <t>K7-10210</t>
  </si>
  <si>
    <t>K7-10211</t>
  </si>
  <si>
    <t>K7-10212</t>
  </si>
  <si>
    <t>K7-10213</t>
  </si>
  <si>
    <t>K7-10214</t>
  </si>
  <si>
    <t>K7-10215</t>
  </si>
  <si>
    <t>K7-10216</t>
  </si>
  <si>
    <t>K7-10217</t>
  </si>
  <si>
    <t>K7-10218</t>
  </si>
  <si>
    <t>K7-10219</t>
  </si>
  <si>
    <t>K7-10220</t>
  </si>
  <si>
    <t>K7-10221</t>
  </si>
  <si>
    <t>K7-10222</t>
  </si>
  <si>
    <t>K7-10223</t>
  </si>
  <si>
    <t>K7-10224</t>
  </si>
  <si>
    <t>K7-10225</t>
  </si>
  <si>
    <t>K7-10226</t>
  </si>
  <si>
    <t>K7-10227</t>
  </si>
  <si>
    <t>K7-10228</t>
  </si>
  <si>
    <t>K7-10229</t>
  </si>
  <si>
    <t>K7-10230</t>
  </si>
  <si>
    <t>K7-10231</t>
  </si>
  <si>
    <t>K7-10232</t>
  </si>
  <si>
    <t>K7-10233</t>
  </si>
  <si>
    <t>K7-10234</t>
  </si>
  <si>
    <t>K7-10235</t>
  </si>
  <si>
    <t>K7-10236</t>
  </si>
  <si>
    <t>K7-10237</t>
  </si>
  <si>
    <t>K7-10238</t>
  </si>
  <si>
    <t>K7-10239</t>
  </si>
  <si>
    <t>K7-10240</t>
  </si>
  <si>
    <t>K7-10241</t>
  </si>
  <si>
    <t>K7-10242</t>
  </si>
  <si>
    <t>K7-10243</t>
  </si>
  <si>
    <t>K7-10244</t>
  </si>
  <si>
    <t>K7-10245</t>
  </si>
  <si>
    <t>K7-10246</t>
  </si>
  <si>
    <t>K7-10247</t>
  </si>
  <si>
    <t>K7-10248</t>
  </si>
  <si>
    <t>K7-10249</t>
  </si>
  <si>
    <t>K7-10250</t>
  </si>
  <si>
    <t>K7-10251</t>
  </si>
  <si>
    <t>K7-10252</t>
  </si>
  <si>
    <t>K7-10253</t>
  </si>
  <si>
    <t>K7-10254</t>
  </si>
  <si>
    <t>K7-10255</t>
  </si>
  <si>
    <t>K7-10256</t>
  </si>
  <si>
    <t>K7-10257</t>
  </si>
  <si>
    <t>K7-10258</t>
  </si>
  <si>
    <t>K7-10259</t>
  </si>
  <si>
    <t>K7-10260</t>
  </si>
  <si>
    <t>K7-10261</t>
  </si>
  <si>
    <t>K7-10262</t>
  </si>
  <si>
    <t>K7-10263</t>
  </si>
  <si>
    <t>K7-10264</t>
  </si>
  <si>
    <t>K7-10265</t>
  </si>
  <si>
    <t>K7-10266</t>
  </si>
  <si>
    <t>K7-10267</t>
  </si>
  <si>
    <t>K7-10268</t>
  </si>
  <si>
    <t>K7-10269</t>
  </si>
  <si>
    <t>K7-10270</t>
  </si>
  <si>
    <t>K7-10271</t>
  </si>
  <si>
    <t>K7-10272</t>
  </si>
  <si>
    <t>K7-10273</t>
  </si>
  <si>
    <t>K7-10274</t>
  </si>
  <si>
    <t>K7-10275</t>
  </si>
  <si>
    <t>K7-10276</t>
  </si>
  <si>
    <t>K7-10277</t>
  </si>
  <si>
    <t>K7-10278</t>
  </si>
  <si>
    <t>K7-10279</t>
  </si>
  <si>
    <t>K7-10280</t>
  </si>
  <si>
    <t>K7-10281</t>
  </si>
  <si>
    <t>K7-10282</t>
  </si>
  <si>
    <t>K7-10283</t>
  </si>
  <si>
    <t>K7-10284</t>
  </si>
  <si>
    <t>K7-10285</t>
  </si>
  <si>
    <t>K7-10286</t>
  </si>
  <si>
    <t>K7-10287</t>
  </si>
  <si>
    <t>K7-10288</t>
  </si>
  <si>
    <t>K7-10289</t>
  </si>
  <si>
    <t>K7-10290</t>
  </si>
  <si>
    <t>K7-10291</t>
  </si>
  <si>
    <t>K7-10292</t>
  </si>
  <si>
    <t>K7-10293</t>
  </si>
  <si>
    <t>K7-10294</t>
  </si>
  <si>
    <t>K7-10295</t>
  </si>
  <si>
    <t>K7-10296</t>
  </si>
  <si>
    <t>K7-10297</t>
  </si>
  <si>
    <t>K7-10298</t>
  </si>
  <si>
    <t>K7-10299</t>
  </si>
  <si>
    <t>K7-10300</t>
  </si>
  <si>
    <t>K7-10301</t>
  </si>
  <si>
    <t>K7-10302</t>
  </si>
  <si>
    <t>K7-10303</t>
  </si>
  <si>
    <t>K7-10304</t>
  </si>
  <si>
    <t>K7-10305</t>
  </si>
  <si>
    <t>K7-10306</t>
  </si>
  <si>
    <t>K7-10307</t>
  </si>
  <si>
    <t>K7-10308</t>
  </si>
  <si>
    <t>K7-10309</t>
  </si>
  <si>
    <t>K7-10310</t>
  </si>
  <si>
    <t>K7-10311</t>
  </si>
  <si>
    <t>K7-10312</t>
  </si>
  <si>
    <t>K7-10313</t>
  </si>
  <si>
    <t>K7-10314</t>
  </si>
  <si>
    <t>K7-10315</t>
  </si>
  <si>
    <t>K7-10316</t>
  </si>
  <si>
    <t>K7-10317</t>
  </si>
  <si>
    <t>K7-10318</t>
  </si>
  <si>
    <t>K7-10319</t>
  </si>
  <si>
    <t>K7-10320</t>
  </si>
  <si>
    <t>K7-10321</t>
  </si>
  <si>
    <t>K7-10322</t>
  </si>
  <si>
    <t>K7-10323</t>
  </si>
  <si>
    <t>K7-10324</t>
  </si>
  <si>
    <t>K7-10325</t>
  </si>
  <si>
    <t>K7-10326</t>
  </si>
  <si>
    <t>K7-10327</t>
  </si>
  <si>
    <t>K7-10328</t>
  </si>
  <si>
    <t>K7-10329</t>
  </si>
  <si>
    <t>K7-10330</t>
  </si>
  <si>
    <t>K7-10331</t>
  </si>
  <si>
    <t>K7-10332</t>
  </si>
  <si>
    <t>K7-10333</t>
  </si>
  <si>
    <t>K7-10334</t>
  </si>
  <si>
    <t>K7-10335</t>
  </si>
  <si>
    <t>K7-10336</t>
  </si>
  <si>
    <t>K7-10337</t>
  </si>
  <si>
    <t>K7-10338</t>
  </si>
  <si>
    <t>K7-10339</t>
  </si>
  <si>
    <t>K7-10340</t>
  </si>
  <si>
    <t>K7-10341</t>
  </si>
  <si>
    <t>K7-10342</t>
  </si>
  <si>
    <t>K7-10343</t>
  </si>
  <si>
    <t>K7-10344</t>
  </si>
  <si>
    <t>K7-10345</t>
  </si>
  <si>
    <t>K7-10346</t>
  </si>
  <si>
    <t>K7-10347</t>
  </si>
  <si>
    <t>K7-10348</t>
  </si>
  <si>
    <t>K7-10349</t>
  </si>
  <si>
    <t>K7-10350</t>
  </si>
  <si>
    <t>K7-10351</t>
  </si>
  <si>
    <t>K7-10352</t>
  </si>
  <si>
    <t>K7-10353</t>
  </si>
  <si>
    <t>Connecticut</t>
  </si>
  <si>
    <t>K7-10354</t>
  </si>
  <si>
    <t>K7-10355</t>
  </si>
  <si>
    <t>K7-10356</t>
  </si>
  <si>
    <t>K7-10357</t>
  </si>
  <si>
    <t>K7-10358</t>
  </si>
  <si>
    <t>K7-10359</t>
  </si>
  <si>
    <t>K7-10360</t>
  </si>
  <si>
    <t>K7-10361</t>
  </si>
  <si>
    <t>K7-10362</t>
  </si>
  <si>
    <t>K7-10363</t>
  </si>
  <si>
    <t>K7-10364</t>
  </si>
  <si>
    <t>K7-10365</t>
  </si>
  <si>
    <t>K7-10366</t>
  </si>
  <si>
    <t>K7-10367</t>
  </si>
  <si>
    <t>K7-10368</t>
  </si>
  <si>
    <t>K7-10369</t>
  </si>
  <si>
    <t>K7-10370</t>
  </si>
  <si>
    <t>K7-10371</t>
  </si>
  <si>
    <t>K7-10372</t>
  </si>
  <si>
    <t>K7-10373</t>
  </si>
  <si>
    <t>K7-10374</t>
  </si>
  <si>
    <t>K7-10375</t>
  </si>
  <si>
    <t>K7-10376</t>
  </si>
  <si>
    <t>K7-10377</t>
  </si>
  <si>
    <t>K7-10378</t>
  </si>
  <si>
    <t>K7-10379</t>
  </si>
  <si>
    <t>K7-10380</t>
  </si>
  <si>
    <t>K7-10381</t>
  </si>
  <si>
    <t>K7-10382</t>
  </si>
  <si>
    <t>K7-10383</t>
  </si>
  <si>
    <t>K7-10384</t>
  </si>
  <si>
    <t>K7-10385</t>
  </si>
  <si>
    <t>K7-10386</t>
  </si>
  <si>
    <t>K7-10387</t>
  </si>
  <si>
    <t>K7-10388</t>
  </si>
  <si>
    <t>K7-10389</t>
  </si>
  <si>
    <t>K7-10390</t>
  </si>
  <si>
    <t>K7-10391</t>
  </si>
  <si>
    <t>K7-10392</t>
  </si>
  <si>
    <t>K7-10393</t>
  </si>
  <si>
    <t>K7-10394</t>
  </si>
  <si>
    <t>K7-10395</t>
  </si>
  <si>
    <t>K7-10396</t>
  </si>
  <si>
    <t>K7-10397</t>
  </si>
  <si>
    <t>K7-10398</t>
  </si>
  <si>
    <t>K7-10399</t>
  </si>
  <si>
    <t>K7-10400</t>
  </si>
  <si>
    <t>K7-10401</t>
  </si>
  <si>
    <t>K7-10402</t>
  </si>
  <si>
    <t>K7-10403</t>
  </si>
  <si>
    <t>K7-10404</t>
  </si>
  <si>
    <t>K7-10405</t>
  </si>
  <si>
    <t>K7-10406</t>
  </si>
  <si>
    <t>K7-10407</t>
  </si>
  <si>
    <t>K7-10408</t>
  </si>
  <si>
    <t>K7-10409</t>
  </si>
  <si>
    <t>K7-10410</t>
  </si>
  <si>
    <t>K7-10411</t>
  </si>
  <si>
    <t>K7-10412</t>
  </si>
  <si>
    <t>K7-10413</t>
  </si>
  <si>
    <t>K7-10414</t>
  </si>
  <si>
    <t>K7-10415</t>
  </si>
  <si>
    <t>K7-10416</t>
  </si>
  <si>
    <t>K7-10417</t>
  </si>
  <si>
    <t>K7-10418</t>
  </si>
  <si>
    <t>K7-10419</t>
  </si>
  <si>
    <t>K7-10420</t>
  </si>
  <si>
    <t>K7-10421</t>
  </si>
  <si>
    <t>K7-10422</t>
  </si>
  <si>
    <t>K7-10423</t>
  </si>
  <si>
    <t>K7-10424</t>
  </si>
  <si>
    <t>K7-10425</t>
  </si>
  <si>
    <t>K7-10426</t>
  </si>
  <si>
    <t>K7-10427</t>
  </si>
  <si>
    <t>K7-10428</t>
  </si>
  <si>
    <t>K7-10429</t>
  </si>
  <si>
    <t>K7-10430</t>
  </si>
  <si>
    <t>K7-10431</t>
  </si>
  <si>
    <t>K7-10432</t>
  </si>
  <si>
    <t>K7-10433</t>
  </si>
  <si>
    <t>K7-10434</t>
  </si>
  <si>
    <t>K7-10435</t>
  </si>
  <si>
    <t>K7-10436</t>
  </si>
  <si>
    <t>K7-10437</t>
  </si>
  <si>
    <t>K7-10438</t>
  </si>
  <si>
    <t>K7-10439</t>
  </si>
  <si>
    <t>K7-10440</t>
  </si>
  <si>
    <t>K7-10441</t>
  </si>
  <si>
    <t>K7-10442</t>
  </si>
  <si>
    <t>K7-10443</t>
  </si>
  <si>
    <t>K7-10444</t>
  </si>
  <si>
    <t>K7-10445</t>
  </si>
  <si>
    <t>K7-10446</t>
  </si>
  <si>
    <t>K7-10447</t>
  </si>
  <si>
    <t>K7-10448</t>
  </si>
  <si>
    <t>K7-10449</t>
  </si>
  <si>
    <t>K7-10450</t>
  </si>
  <si>
    <t>K7-10451</t>
  </si>
  <si>
    <t>K7-10452</t>
  </si>
  <si>
    <t>K7-10453</t>
  </si>
  <si>
    <t>K7-10454</t>
  </si>
  <si>
    <t>K7-10455</t>
  </si>
  <si>
    <t>K7-10456</t>
  </si>
  <si>
    <t>K7-10457</t>
  </si>
  <si>
    <t>K7-10458</t>
  </si>
  <si>
    <t>K7-10459</t>
  </si>
  <si>
    <t>K7-10460</t>
  </si>
  <si>
    <t>K7-10461</t>
  </si>
  <si>
    <t>K7-10462</t>
  </si>
  <si>
    <t>K7-10463</t>
  </si>
  <si>
    <t>K7-10464</t>
  </si>
  <si>
    <t>K7-10465</t>
  </si>
  <si>
    <t>K7-10466</t>
  </si>
  <si>
    <t>K7-10467</t>
  </si>
  <si>
    <t>K7-10468</t>
  </si>
  <si>
    <t>K7-10469</t>
  </si>
  <si>
    <t>K7-10470</t>
  </si>
  <si>
    <t>K7-10471</t>
  </si>
  <si>
    <t>K7-10472</t>
  </si>
  <si>
    <t>K7-10473</t>
  </si>
  <si>
    <t>K7-10474</t>
  </si>
  <si>
    <t>K7-10475</t>
  </si>
  <si>
    <t>K7-10476</t>
  </si>
  <si>
    <t>K7-10477</t>
  </si>
  <si>
    <t>K7-10478</t>
  </si>
  <si>
    <t>K7-10479</t>
  </si>
  <si>
    <t>K7-10480</t>
  </si>
  <si>
    <t>K7-10481</t>
  </si>
  <si>
    <t>K7-10482</t>
  </si>
  <si>
    <t>K7-10483</t>
  </si>
  <si>
    <t>K7-10484</t>
  </si>
  <si>
    <t>K7-10485</t>
  </si>
  <si>
    <t>K7-10486</t>
  </si>
  <si>
    <t>K7-10487</t>
  </si>
  <si>
    <t>K7-10488</t>
  </si>
  <si>
    <t>K7-10489</t>
  </si>
  <si>
    <t>K7-10490</t>
  </si>
  <si>
    <t>K7-10491</t>
  </si>
  <si>
    <t>K7-10492</t>
  </si>
  <si>
    <t>K7-10493</t>
  </si>
  <si>
    <t>K7-10494</t>
  </si>
  <si>
    <t>K7-10495</t>
  </si>
  <si>
    <t>K7-10496</t>
  </si>
  <si>
    <t>K7-10497</t>
  </si>
  <si>
    <t>K7-10498</t>
  </si>
  <si>
    <t>K7-10499</t>
  </si>
  <si>
    <t>K7-10500</t>
  </si>
  <si>
    <t>K7-10501</t>
  </si>
  <si>
    <t>K7-10502</t>
  </si>
  <si>
    <t>K7-10503</t>
  </si>
  <si>
    <t>K7-10504</t>
  </si>
  <si>
    <t>K7-10505</t>
  </si>
  <si>
    <t>K7-10506</t>
  </si>
  <si>
    <t>K7-10507</t>
  </si>
  <si>
    <t>K7-10508</t>
  </si>
  <si>
    <t>K7-10509</t>
  </si>
  <si>
    <t>K7-10510</t>
  </si>
  <si>
    <t>K7-10511</t>
  </si>
  <si>
    <t>K7-10512</t>
  </si>
  <si>
    <t>K7-10513</t>
  </si>
  <si>
    <t>K7-10514</t>
  </si>
  <si>
    <t>K7-10515</t>
  </si>
  <si>
    <t>K7-10516</t>
  </si>
  <si>
    <t>K7-10517</t>
  </si>
  <si>
    <t>K7-10518</t>
  </si>
  <si>
    <t>K7-10519</t>
  </si>
  <si>
    <t>K7-10520</t>
  </si>
  <si>
    <t>K7-10521</t>
  </si>
  <si>
    <t>K7-10522</t>
  </si>
  <si>
    <t>K7-10523</t>
  </si>
  <si>
    <t>K7-10524</t>
  </si>
  <si>
    <t>K7-10525</t>
  </si>
  <si>
    <t>K7-10526</t>
  </si>
  <si>
    <t>K7-10527</t>
  </si>
  <si>
    <t>K7-10528</t>
  </si>
  <si>
    <t>K7-10529</t>
  </si>
  <si>
    <t>K7-10530</t>
  </si>
  <si>
    <t>K7-10531</t>
  </si>
  <si>
    <t>K7-10532</t>
  </si>
  <si>
    <t>K7-10533</t>
  </si>
  <si>
    <t>K7-10534</t>
  </si>
  <si>
    <t>K7-10535</t>
  </si>
  <si>
    <t>K7-10536</t>
  </si>
  <si>
    <t>K7-10537</t>
  </si>
  <si>
    <t>K7-10538</t>
  </si>
  <si>
    <t>K7-10539</t>
  </si>
  <si>
    <t>K7-10540</t>
  </si>
  <si>
    <t>K7-10541</t>
  </si>
  <si>
    <t>K7-10542</t>
  </si>
  <si>
    <t>K7-10543</t>
  </si>
  <si>
    <t>K7-10544</t>
  </si>
  <si>
    <t>K7-10545</t>
  </si>
  <si>
    <t>K7-10546</t>
  </si>
  <si>
    <t>K7-10547</t>
  </si>
  <si>
    <t>K7-10548</t>
  </si>
  <si>
    <t>K7-10549</t>
  </si>
  <si>
    <t>K7-10550</t>
  </si>
  <si>
    <t>K7-10551</t>
  </si>
  <si>
    <t>K7-10552</t>
  </si>
  <si>
    <t>K7-10553</t>
  </si>
  <si>
    <t>K7-10554</t>
  </si>
  <si>
    <t>K7-10555</t>
  </si>
  <si>
    <t>K7-10556</t>
  </si>
  <si>
    <t>K7-10557</t>
  </si>
  <si>
    <t>K7-10558</t>
  </si>
  <si>
    <t>K7-10559</t>
  </si>
  <si>
    <t>K7-10560</t>
  </si>
  <si>
    <t>K7-10561</t>
  </si>
  <si>
    <t>K7-10562</t>
  </si>
  <si>
    <t>K7-10563</t>
  </si>
  <si>
    <t>K7-10564</t>
  </si>
  <si>
    <t>K7-10565</t>
  </si>
  <si>
    <t>K7-10566</t>
  </si>
  <si>
    <t>K7-10567</t>
  </si>
  <si>
    <t>K7-10568</t>
  </si>
  <si>
    <t>K7-10569</t>
  </si>
  <si>
    <t>K7-10570</t>
  </si>
  <si>
    <t>K7-10571</t>
  </si>
  <si>
    <t>K7-10572</t>
  </si>
  <si>
    <t>K7-10573</t>
  </si>
  <si>
    <t>K7-10574</t>
  </si>
  <si>
    <t>K7-10575</t>
  </si>
  <si>
    <t>K7-10576</t>
  </si>
  <si>
    <t>K7-10577</t>
  </si>
  <si>
    <t>K7-10578</t>
  </si>
  <si>
    <t>K7-10579</t>
  </si>
  <si>
    <t>K7-10580</t>
  </si>
  <si>
    <t>K7-10581</t>
  </si>
  <si>
    <t>K7-10582</t>
  </si>
  <si>
    <t>K7-10583</t>
  </si>
  <si>
    <t>K7-10584</t>
  </si>
  <si>
    <t>K7-10585</t>
  </si>
  <si>
    <t>K7-10586</t>
  </si>
  <si>
    <t>K7-10587</t>
  </si>
  <si>
    <t>K7-10588</t>
  </si>
  <si>
    <t>K7-10589</t>
  </si>
  <si>
    <t>K7-10590</t>
  </si>
  <si>
    <t>K7-10591</t>
  </si>
  <si>
    <t>K7-10592</t>
  </si>
  <si>
    <t>K7-10593</t>
  </si>
  <si>
    <t>K7-10594</t>
  </si>
  <si>
    <t>K7-10595</t>
  </si>
  <si>
    <t>K7-10596</t>
  </si>
  <si>
    <t>K7-10597</t>
  </si>
  <si>
    <t>K7-10598</t>
  </si>
  <si>
    <t>K7-10599</t>
  </si>
  <si>
    <t>K7-10600</t>
  </si>
  <si>
    <t>K7-10601</t>
  </si>
  <si>
    <t>K7-10602</t>
  </si>
  <si>
    <t>K7-10603</t>
  </si>
  <si>
    <t>K7-10604</t>
  </si>
  <si>
    <t>K7-10605</t>
  </si>
  <si>
    <t>K7-10606</t>
  </si>
  <si>
    <t>K7-10607</t>
  </si>
  <si>
    <t>K7-10608</t>
  </si>
  <si>
    <t>K7-10609</t>
  </si>
  <si>
    <t>K7-10610</t>
  </si>
  <si>
    <t>K7-10611</t>
  </si>
  <si>
    <t>K7-10612</t>
  </si>
  <si>
    <t>K7-10613</t>
  </si>
  <si>
    <t>K7-10614</t>
  </si>
  <si>
    <t>K7-10615</t>
  </si>
  <si>
    <t>K7-10616</t>
  </si>
  <si>
    <t>K7-10617</t>
  </si>
  <si>
    <t>K7-10618</t>
  </si>
  <si>
    <t>K7-10619</t>
  </si>
  <si>
    <t>K7-10620</t>
  </si>
  <si>
    <t>K7-10621</t>
  </si>
  <si>
    <t>K7-10622</t>
  </si>
  <si>
    <t>K7-10623</t>
  </si>
  <si>
    <t>K7-10624</t>
  </si>
  <si>
    <t>K7-10625</t>
  </si>
  <si>
    <t>K7-10626</t>
  </si>
  <si>
    <t>K7-10627</t>
  </si>
  <si>
    <t>K7-10628</t>
  </si>
  <si>
    <t>K7-10629</t>
  </si>
  <si>
    <t>K7-10630</t>
  </si>
  <si>
    <t>K7-10631</t>
  </si>
  <si>
    <t>K7-10632</t>
  </si>
  <si>
    <t>K7-10633</t>
  </si>
  <si>
    <t>K7-10634</t>
  </si>
  <si>
    <t>K7-10635</t>
  </si>
  <si>
    <t>K7-10636</t>
  </si>
  <si>
    <t>K7-10637</t>
  </si>
  <si>
    <t>K7-10638</t>
  </si>
  <si>
    <t>K7-10639</t>
  </si>
  <si>
    <t>K7-10640</t>
  </si>
  <si>
    <t>K7-10641</t>
  </si>
  <si>
    <t>K7-10642</t>
  </si>
  <si>
    <t>K7-10643</t>
  </si>
  <si>
    <t>K7-10644</t>
  </si>
  <si>
    <t>K7-10645</t>
  </si>
  <si>
    <t>K7-10646</t>
  </si>
  <si>
    <t>K7-10647</t>
  </si>
  <si>
    <t>K7-10648</t>
  </si>
  <si>
    <t>K7-10649</t>
  </si>
  <si>
    <t>K7-10650</t>
  </si>
  <si>
    <t>K7-10651</t>
  </si>
  <si>
    <t>K7-10652</t>
  </si>
  <si>
    <t>K7-10653</t>
  </si>
  <si>
    <t>K7-10654</t>
  </si>
  <si>
    <t>K7-10655</t>
  </si>
  <si>
    <t>K7-10656</t>
  </si>
  <si>
    <t>K7-10657</t>
  </si>
  <si>
    <t>K7-10658</t>
  </si>
  <si>
    <t>K7-10659</t>
  </si>
  <si>
    <t>K7-10660</t>
  </si>
  <si>
    <t>K7-10661</t>
  </si>
  <si>
    <t>K7-10662</t>
  </si>
  <si>
    <t>K7-10663</t>
  </si>
  <si>
    <t>K7-10664</t>
  </si>
  <si>
    <t>K7-10665</t>
  </si>
  <si>
    <t>K7-10666</t>
  </si>
  <si>
    <t>K7-10667</t>
  </si>
  <si>
    <t>K7-10668</t>
  </si>
  <si>
    <t>K7-10669</t>
  </si>
  <si>
    <t>K7-10670</t>
  </si>
  <si>
    <t>K7-10671</t>
  </si>
  <si>
    <t>K7-10672</t>
  </si>
  <si>
    <t>K7-10673</t>
  </si>
  <si>
    <t>K7-10674</t>
  </si>
  <si>
    <t>K7-10675</t>
  </si>
  <si>
    <t>K7-10676</t>
  </si>
  <si>
    <t>K7-10677</t>
  </si>
  <si>
    <t>K7-10678</t>
  </si>
  <si>
    <t>K7-10679</t>
  </si>
  <si>
    <t>K7-10680</t>
  </si>
  <si>
    <t>K7-10681</t>
  </si>
  <si>
    <t>K7-10682</t>
  </si>
  <si>
    <t>K7-10683</t>
  </si>
  <si>
    <t>K7-10684</t>
  </si>
  <si>
    <t>K7-10685</t>
  </si>
  <si>
    <t>K7-10686</t>
  </si>
  <si>
    <t>K7-10687</t>
  </si>
  <si>
    <t>K7-10688</t>
  </si>
  <si>
    <t>K7-10689</t>
  </si>
  <si>
    <t>K7-10690</t>
  </si>
  <si>
    <t>K7-10691</t>
  </si>
  <si>
    <t>K7-10692</t>
  </si>
  <si>
    <t>K7-10693</t>
  </si>
  <si>
    <t>K7-10694</t>
  </si>
  <si>
    <t>K7-10695</t>
  </si>
  <si>
    <t>K7-10696</t>
  </si>
  <si>
    <t>K7-10697</t>
  </si>
  <si>
    <t>K7-10698</t>
  </si>
  <si>
    <t>K7-10699</t>
  </si>
  <si>
    <t>K7-10700</t>
  </si>
  <si>
    <t>K7-10701</t>
  </si>
  <si>
    <t>K7-10702</t>
  </si>
  <si>
    <t>K7-10703</t>
  </si>
  <si>
    <t>K7-10704</t>
  </si>
  <si>
    <t>K7-10705</t>
  </si>
  <si>
    <t>K7-10706</t>
  </si>
  <si>
    <t>K7-10707</t>
  </si>
  <si>
    <t>K7-10708</t>
  </si>
  <si>
    <t>K7-10709</t>
  </si>
  <si>
    <t>K7-10710</t>
  </si>
  <si>
    <t>K7-10711</t>
  </si>
  <si>
    <t>K7-10712</t>
  </si>
  <si>
    <t>K7-10713</t>
  </si>
  <si>
    <t>K7-10714</t>
  </si>
  <si>
    <t>K7-10715</t>
  </si>
  <si>
    <t>K7-10716</t>
  </si>
  <si>
    <t>K7-10717</t>
  </si>
  <si>
    <t>K7-10718</t>
  </si>
  <si>
    <t>K7-10719</t>
  </si>
  <si>
    <t>K7-10720</t>
  </si>
  <si>
    <t>K7-10721</t>
  </si>
  <si>
    <t>K7-10722</t>
  </si>
  <si>
    <t>K7-10723</t>
  </si>
  <si>
    <t>K7-10724</t>
  </si>
  <si>
    <t>K7-10725</t>
  </si>
  <si>
    <t>K7-10726</t>
  </si>
  <si>
    <t>K7-10727</t>
  </si>
  <si>
    <t>K7-10728</t>
  </si>
  <si>
    <t>K7-10729</t>
  </si>
  <si>
    <t>K7-10730</t>
  </si>
  <si>
    <t>K7-10731</t>
  </si>
  <si>
    <t>K7-10732</t>
  </si>
  <si>
    <t>K7-10733</t>
  </si>
  <si>
    <t>K7-10734</t>
  </si>
  <si>
    <t>K7-10735</t>
  </si>
  <si>
    <t>K7-10736</t>
  </si>
  <si>
    <t>K7-10737</t>
  </si>
  <si>
    <t>K7-10738</t>
  </si>
  <si>
    <t>K7-10739</t>
  </si>
  <si>
    <t>K7-10740</t>
  </si>
  <si>
    <t>K7-10741</t>
  </si>
  <si>
    <t>K7-10742</t>
  </si>
  <si>
    <t>K7-10743</t>
  </si>
  <si>
    <t>K7-10744</t>
  </si>
  <si>
    <t>K7-10745</t>
  </si>
  <si>
    <t>K7-10746</t>
  </si>
  <si>
    <t>K7-10747</t>
  </si>
  <si>
    <t>K7-10748</t>
  </si>
  <si>
    <t>K7-10749</t>
  </si>
  <si>
    <t>K7-10750</t>
  </si>
  <si>
    <t>K7-10751</t>
  </si>
  <si>
    <t>K7-10752</t>
  </si>
  <si>
    <t>K7-10753</t>
  </si>
  <si>
    <t>K7-10754</t>
  </si>
  <si>
    <t>K7-10755</t>
  </si>
  <si>
    <t>K7-10756</t>
  </si>
  <si>
    <t>K7-10757</t>
  </si>
  <si>
    <t>K7-10758</t>
  </si>
  <si>
    <t>K7-10759</t>
  </si>
  <si>
    <t>K7-10760</t>
  </si>
  <si>
    <t>K7-10761</t>
  </si>
  <si>
    <t>K7-10762</t>
  </si>
  <si>
    <t>K7-10763</t>
  </si>
  <si>
    <t>K7-10764</t>
  </si>
  <si>
    <t>K7-10765</t>
  </si>
  <si>
    <t>K7-10766</t>
  </si>
  <si>
    <t>K7-10767</t>
  </si>
  <si>
    <t>K7-10768</t>
  </si>
  <si>
    <t>K7-10769</t>
  </si>
  <si>
    <t>K7-10770</t>
  </si>
  <si>
    <t>K7-10771</t>
  </si>
  <si>
    <t>K7-10772</t>
  </si>
  <si>
    <t>K7-10773</t>
  </si>
  <si>
    <t>K7-10774</t>
  </si>
  <si>
    <t>K7-10775</t>
  </si>
  <si>
    <t>K7-10776</t>
  </si>
  <si>
    <t>K7-10777</t>
  </si>
  <si>
    <t>K7-10778</t>
  </si>
  <si>
    <t>K7-10779</t>
  </si>
  <si>
    <t>K7-10780</t>
  </si>
  <si>
    <t>K7-10781</t>
  </si>
  <si>
    <t>K7-10782</t>
  </si>
  <si>
    <t>K7-10783</t>
  </si>
  <si>
    <t>K7-10784</t>
  </si>
  <si>
    <t>K7-10785</t>
  </si>
  <si>
    <t>K7-10786</t>
  </si>
  <si>
    <t>K7-10787</t>
  </si>
  <si>
    <t>K7-10788</t>
  </si>
  <si>
    <t>K7-10789</t>
  </si>
  <si>
    <t>K7-10790</t>
  </si>
  <si>
    <t>K7-10791</t>
  </si>
  <si>
    <t>K7-10792</t>
  </si>
  <si>
    <t>K7-10793</t>
  </si>
  <si>
    <t>K7-10794</t>
  </si>
  <si>
    <t>K7-10795</t>
  </si>
  <si>
    <t>K7-10796</t>
  </si>
  <si>
    <t>K7-10797</t>
  </si>
  <si>
    <t>K7-10798</t>
  </si>
  <si>
    <t>K7-10799</t>
  </si>
  <si>
    <t>K7-10800</t>
  </si>
  <si>
    <t>K7-10801</t>
  </si>
  <si>
    <t>K7-10802</t>
  </si>
  <si>
    <t>K7-10803</t>
  </si>
  <si>
    <t>K7-10804</t>
  </si>
  <si>
    <t>K7-10805</t>
  </si>
  <si>
    <t>K7-10806</t>
  </si>
  <si>
    <t>K7-10807</t>
  </si>
  <si>
    <t>K7-10808</t>
  </si>
  <si>
    <t>K7-10809</t>
  </si>
  <si>
    <t>K7-10810</t>
  </si>
  <si>
    <t>K7-10811</t>
  </si>
  <si>
    <t>K7-10812</t>
  </si>
  <si>
    <t>K7-10813</t>
  </si>
  <si>
    <t>K7-10814</t>
  </si>
  <si>
    <t>K7-10815</t>
  </si>
  <si>
    <t>K7-10816</t>
  </si>
  <si>
    <t>K7-10817</t>
  </si>
  <si>
    <t>K7-10818</t>
  </si>
  <si>
    <t>K7-10819</t>
  </si>
  <si>
    <t>K7-10820</t>
  </si>
  <si>
    <t>K7-10821</t>
  </si>
  <si>
    <t>K7-10822</t>
  </si>
  <si>
    <t>K7-10823</t>
  </si>
  <si>
    <t>K7-10824</t>
  </si>
  <si>
    <t>K7-10825</t>
  </si>
  <si>
    <t>K7-10826</t>
  </si>
  <si>
    <t>K7-10827</t>
  </si>
  <si>
    <t>K7-10828</t>
  </si>
  <si>
    <t>K7-10829</t>
  </si>
  <si>
    <t>K7-10830</t>
  </si>
  <si>
    <t>K7-10831</t>
  </si>
  <si>
    <t>K7-10832</t>
  </si>
  <si>
    <t>K7-10833</t>
  </si>
  <si>
    <t>K7-10834</t>
  </si>
  <si>
    <t>K7-10835</t>
  </si>
  <si>
    <t>K7-10836</t>
  </si>
  <si>
    <t>K7-10837</t>
  </si>
  <si>
    <t>K7-10838</t>
  </si>
  <si>
    <t>K7-10839</t>
  </si>
  <si>
    <t>K7-10840</t>
  </si>
  <si>
    <t>K7-10841</t>
  </si>
  <si>
    <t>K7-10842</t>
  </si>
  <si>
    <t>K7-10843</t>
  </si>
  <si>
    <t>K7-10844</t>
  </si>
  <si>
    <t>K7-10845</t>
  </si>
  <si>
    <t>K7-10846</t>
  </si>
  <si>
    <t>K7-10847</t>
  </si>
  <si>
    <t>K7-10848</t>
  </si>
  <si>
    <t>K7-10849</t>
  </si>
  <si>
    <t>K7-10850</t>
  </si>
  <si>
    <t>K7-10851</t>
  </si>
  <si>
    <t>K7-10852</t>
  </si>
  <si>
    <t>K7-10853</t>
  </si>
  <si>
    <t>K7-10854</t>
  </si>
  <si>
    <t>K7-10855</t>
  </si>
  <si>
    <t>K7-10856</t>
  </si>
  <si>
    <t>K7-10857</t>
  </si>
  <si>
    <t>K7-10858</t>
  </si>
  <si>
    <t>K7-10859</t>
  </si>
  <si>
    <t>K7-10860</t>
  </si>
  <si>
    <t>K7-10861</t>
  </si>
  <si>
    <t>K7-10862</t>
  </si>
  <si>
    <t>K7-10863</t>
  </si>
  <si>
    <t>K7-10864</t>
  </si>
  <si>
    <t>K7-10865</t>
  </si>
  <si>
    <t>K7-10866</t>
  </si>
  <si>
    <t>K7-10867</t>
  </si>
  <si>
    <t>K7-10868</t>
  </si>
  <si>
    <t>K7-10869</t>
  </si>
  <si>
    <t>K7-10870</t>
  </si>
  <si>
    <t>K7-10871</t>
  </si>
  <si>
    <t>K7-10872</t>
  </si>
  <si>
    <t>K7-10873</t>
  </si>
  <si>
    <t>K7-10874</t>
  </si>
  <si>
    <t>K7-10875</t>
  </si>
  <si>
    <t>K7-10876</t>
  </si>
  <si>
    <t>K7-10877</t>
  </si>
  <si>
    <t>K7-10878</t>
  </si>
  <si>
    <t>K7-10879</t>
  </si>
  <si>
    <t>K7-10880</t>
  </si>
  <si>
    <t>K7-10881</t>
  </si>
  <si>
    <t>K7-10882</t>
  </si>
  <si>
    <t>K7-10883</t>
  </si>
  <si>
    <t>K7-10884</t>
  </si>
  <si>
    <t>K7-10885</t>
  </si>
  <si>
    <t>K7-10886</t>
  </si>
  <si>
    <t>K7-10887</t>
  </si>
  <si>
    <t>K7-10888</t>
  </si>
  <si>
    <t>K7-10889</t>
  </si>
  <si>
    <t>K7-10890</t>
  </si>
  <si>
    <t>K7-10891</t>
  </si>
  <si>
    <t>K7-10892</t>
  </si>
  <si>
    <t>K7-10893</t>
  </si>
  <si>
    <t>K7-10894</t>
  </si>
  <si>
    <t>K7-10895</t>
  </si>
  <si>
    <t>K7-10896</t>
  </si>
  <si>
    <t>K7-10897</t>
  </si>
  <si>
    <t>K7-10898</t>
  </si>
  <si>
    <t>K7-10899</t>
  </si>
  <si>
    <t>K7-10900</t>
  </si>
  <si>
    <t>K7-10901</t>
  </si>
  <si>
    <t>K7-10902</t>
  </si>
  <si>
    <t>K7-10903</t>
  </si>
  <si>
    <t>K7-10904</t>
  </si>
  <si>
    <t>K7-10905</t>
  </si>
  <si>
    <t>K7-10906</t>
  </si>
  <si>
    <t>K7-10907</t>
  </si>
  <si>
    <t>K7-10908</t>
  </si>
  <si>
    <t>K7-10909</t>
  </si>
  <si>
    <t>K7-10910</t>
  </si>
  <si>
    <t>K7-10911</t>
  </si>
  <si>
    <t>K7-10912</t>
  </si>
  <si>
    <t>K7-10913</t>
  </si>
  <si>
    <t>K7-10914</t>
  </si>
  <si>
    <t>K7-10915</t>
  </si>
  <si>
    <t>K7-10916</t>
  </si>
  <si>
    <t>K7-10917</t>
  </si>
  <si>
    <t>K7-10918</t>
  </si>
  <si>
    <t>K7-10919</t>
  </si>
  <si>
    <t>K7-10920</t>
  </si>
  <si>
    <t>K7-10921</t>
  </si>
  <si>
    <t>K7-10922</t>
  </si>
  <si>
    <t>K7-10923</t>
  </si>
  <si>
    <t>K7-10924</t>
  </si>
  <si>
    <t>K7-10925</t>
  </si>
  <si>
    <t>K7-10926</t>
  </si>
  <si>
    <t>K7-10927</t>
  </si>
  <si>
    <t>K7-10928</t>
  </si>
  <si>
    <t>K7-10929</t>
  </si>
  <si>
    <t>K7-10930</t>
  </si>
  <si>
    <t>K7-10931</t>
  </si>
  <si>
    <t>K7-10932</t>
  </si>
  <si>
    <t>K7-10933</t>
  </si>
  <si>
    <t>K7-10934</t>
  </si>
  <si>
    <t>K7-10935</t>
  </si>
  <si>
    <t>K7-10936</t>
  </si>
  <si>
    <t>K7-10937</t>
  </si>
  <si>
    <t>K7-10938</t>
  </si>
  <si>
    <t>K7-10939</t>
  </si>
  <si>
    <t>K7-10940</t>
  </si>
  <si>
    <t>K7-10941</t>
  </si>
  <si>
    <t>K7-10942</t>
  </si>
  <si>
    <t>K7-10943</t>
  </si>
  <si>
    <t>K7-10944</t>
  </si>
  <si>
    <t>K7-10945</t>
  </si>
  <si>
    <t>K7-10946</t>
  </si>
  <si>
    <t>K7-10947</t>
  </si>
  <si>
    <t>K7-10948</t>
  </si>
  <si>
    <t>K7-10949</t>
  </si>
  <si>
    <t>K7-10950</t>
  </si>
  <si>
    <t>K7-10951</t>
  </si>
  <si>
    <t>K7-10952</t>
  </si>
  <si>
    <t>K7-10953</t>
  </si>
  <si>
    <t>K7-10954</t>
  </si>
  <si>
    <t>K7-10955</t>
  </si>
  <si>
    <t>K7-10956</t>
  </si>
  <si>
    <t>K7-10957</t>
  </si>
  <si>
    <t>K7-10958</t>
  </si>
  <si>
    <t>K7-10959</t>
  </si>
  <si>
    <t>K7-10960</t>
  </si>
  <si>
    <t>K7-10961</t>
  </si>
  <si>
    <t>K7-10962</t>
  </si>
  <si>
    <t>K7-10963</t>
  </si>
  <si>
    <t>K7-10964</t>
  </si>
  <si>
    <t>K7-10965</t>
  </si>
  <si>
    <t>K7-10966</t>
  </si>
  <si>
    <t>K7-10967</t>
  </si>
  <si>
    <t>K7-10968</t>
  </si>
  <si>
    <t>K7-10969</t>
  </si>
  <si>
    <t>K7-10970</t>
  </si>
  <si>
    <t>K7-10971</t>
  </si>
  <si>
    <t>K7-10972</t>
  </si>
  <si>
    <t>K7-10973</t>
  </si>
  <si>
    <t>K7-10974</t>
  </si>
  <si>
    <t>K7-10975</t>
  </si>
  <si>
    <t>K7-10976</t>
  </si>
  <si>
    <t>K7-10977</t>
  </si>
  <si>
    <t>K7-10978</t>
  </si>
  <si>
    <t>K7-10979</t>
  </si>
  <si>
    <t>K7-10980</t>
  </si>
  <si>
    <t>K7-10981</t>
  </si>
  <si>
    <t>K7-10982</t>
  </si>
  <si>
    <t>K7-10983</t>
  </si>
  <si>
    <t>K7-10984</t>
  </si>
  <si>
    <t>K7-10985</t>
  </si>
  <si>
    <t>K7-10986</t>
  </si>
  <si>
    <t>K7-10987</t>
  </si>
  <si>
    <t>K7-10988</t>
  </si>
  <si>
    <t>K7-10989</t>
  </si>
  <si>
    <t>K7-10990</t>
  </si>
  <si>
    <t>K7-10991</t>
  </si>
  <si>
    <t>K7-10992</t>
  </si>
  <si>
    <t>K7-10993</t>
  </si>
  <si>
    <t>K7-10994</t>
  </si>
  <si>
    <t>K7-10995</t>
  </si>
  <si>
    <t>K7-10996</t>
  </si>
  <si>
    <t>K7-10997</t>
  </si>
  <si>
    <t>K7-10998</t>
  </si>
  <si>
    <t>K7-10999</t>
  </si>
  <si>
    <t>K7-11000</t>
  </si>
  <si>
    <t>K7-11001</t>
  </si>
  <si>
    <t>K7-11002</t>
  </si>
  <si>
    <t>K7-11003</t>
  </si>
  <si>
    <t>K7-11004</t>
  </si>
  <si>
    <t>K7-11005</t>
  </si>
  <si>
    <t>K7-11006</t>
  </si>
  <si>
    <t>K7-11007</t>
  </si>
  <si>
    <t>K7-11008</t>
  </si>
  <si>
    <t>K7-11009</t>
  </si>
  <si>
    <t>K7-11010</t>
  </si>
  <si>
    <t>K7-11011</t>
  </si>
  <si>
    <t>K7-11012</t>
  </si>
  <si>
    <t>K7-11013</t>
  </si>
  <si>
    <t>K7-11014</t>
  </si>
  <si>
    <t>K7-11015</t>
  </si>
  <si>
    <t>K7-11016</t>
  </si>
  <si>
    <t>K7-11017</t>
  </si>
  <si>
    <t>K7-11018</t>
  </si>
  <si>
    <t>K7-11019</t>
  </si>
  <si>
    <t>K7-11020</t>
  </si>
  <si>
    <t>K7-11021</t>
  </si>
  <si>
    <t>K7-11022</t>
  </si>
  <si>
    <t>K7-11023</t>
  </si>
  <si>
    <t>K7-11024</t>
  </si>
  <si>
    <t>K7-11025</t>
  </si>
  <si>
    <t>K7-11026</t>
  </si>
  <si>
    <t>K7-11027</t>
  </si>
  <si>
    <t>K7-11028</t>
  </si>
  <si>
    <t>K7-11029</t>
  </si>
  <si>
    <t>K7-11030</t>
  </si>
  <si>
    <t>K7-11031</t>
  </si>
  <si>
    <t>K7-11032</t>
  </si>
  <si>
    <t>K7-11033</t>
  </si>
  <si>
    <t>K7-11034</t>
  </si>
  <si>
    <t>K7-11035</t>
  </si>
  <si>
    <t>K7-11036</t>
  </si>
  <si>
    <t>K7-11037</t>
  </si>
  <si>
    <t>K7-11038</t>
  </si>
  <si>
    <t>K7-11039</t>
  </si>
  <si>
    <t>K7-11040</t>
  </si>
  <si>
    <t>K7-11041</t>
  </si>
  <si>
    <t>K7-11042</t>
  </si>
  <si>
    <t>K7-11043</t>
  </si>
  <si>
    <t>K7-11044</t>
  </si>
  <si>
    <t>K7-11045</t>
  </si>
  <si>
    <t>K7-11046</t>
  </si>
  <si>
    <t>K7-11047</t>
  </si>
  <si>
    <t>K7-11048</t>
  </si>
  <si>
    <t>K7-11049</t>
  </si>
  <si>
    <t>K7-11050</t>
  </si>
  <si>
    <t>K7-11051</t>
  </si>
  <si>
    <t>K7-11052</t>
  </si>
  <si>
    <t>K7-11053</t>
  </si>
  <si>
    <t>K7-11054</t>
  </si>
  <si>
    <t>K7-11055</t>
  </si>
  <si>
    <t>K7-11056</t>
  </si>
  <si>
    <t>K7-11057</t>
  </si>
  <si>
    <t>K7-11058</t>
  </si>
  <si>
    <t>K7-11059</t>
  </si>
  <si>
    <t>K7-11060</t>
  </si>
  <si>
    <t>K7-11061</t>
  </si>
  <si>
    <t>K7-11062</t>
  </si>
  <si>
    <t>K7-11063</t>
  </si>
  <si>
    <t>K7-11064</t>
  </si>
  <si>
    <t>K7-11065</t>
  </si>
  <si>
    <t>K7-11066</t>
  </si>
  <si>
    <t>K7-11067</t>
  </si>
  <si>
    <t>K7-11068</t>
  </si>
  <si>
    <t>K7-11069</t>
  </si>
  <si>
    <t>K7-11070</t>
  </si>
  <si>
    <t>K7-11071</t>
  </si>
  <si>
    <t>K7-11072</t>
  </si>
  <si>
    <t>K7-11073</t>
  </si>
  <si>
    <t>K7-11074</t>
  </si>
  <si>
    <t>K7-11075</t>
  </si>
  <si>
    <t>K7-11076</t>
  </si>
  <si>
    <t>K7-11077</t>
  </si>
  <si>
    <t>K7-11078</t>
  </si>
  <si>
    <t>K7-11079</t>
  </si>
  <si>
    <t>K7-11080</t>
  </si>
  <si>
    <t>K7-11081</t>
  </si>
  <si>
    <t>K7-11082</t>
  </si>
  <si>
    <t>K7-11083</t>
  </si>
  <si>
    <t>K7-11084</t>
  </si>
  <si>
    <t>K7-11085</t>
  </si>
  <si>
    <t>K7-11086</t>
  </si>
  <si>
    <t>K7-11087</t>
  </si>
  <si>
    <t>K7-11088</t>
  </si>
  <si>
    <t>K7-11089</t>
  </si>
  <si>
    <t>K7-11090</t>
  </si>
  <si>
    <t>K7-11091</t>
  </si>
  <si>
    <t>K7-11092</t>
  </si>
  <si>
    <t>K7-11093</t>
  </si>
  <si>
    <t>K7-11094</t>
  </si>
  <si>
    <t>K7-11095</t>
  </si>
  <si>
    <t>K7-11096</t>
  </si>
  <si>
    <t>K7-11097</t>
  </si>
  <si>
    <t>K7-11098</t>
  </si>
  <si>
    <t>K7-11099</t>
  </si>
  <si>
    <t>K7-11100</t>
  </si>
  <si>
    <t>K7-11101</t>
  </si>
  <si>
    <t>K7-11102</t>
  </si>
  <si>
    <t>K7-11103</t>
  </si>
  <si>
    <t>K7-11104</t>
  </si>
  <si>
    <t>K7-11105</t>
  </si>
  <si>
    <t>K7-11106</t>
  </si>
  <si>
    <t>K7-11107</t>
  </si>
  <si>
    <t>K7-11108</t>
  </si>
  <si>
    <t>K7-11109</t>
  </si>
  <si>
    <t>K7-11110</t>
  </si>
  <si>
    <t>K7-11111</t>
  </si>
  <si>
    <t>K7-11112</t>
  </si>
  <si>
    <t>K7-11113</t>
  </si>
  <si>
    <t>K7-11114</t>
  </si>
  <si>
    <t>K7-11115</t>
  </si>
  <si>
    <t>K7-11116</t>
  </si>
  <si>
    <t>K7-11117</t>
  </si>
  <si>
    <t>K7-11118</t>
  </si>
  <si>
    <t>K7-11119</t>
  </si>
  <si>
    <t>K7-11120</t>
  </si>
  <si>
    <t>K7-11121</t>
  </si>
  <si>
    <t>K7-11122</t>
  </si>
  <si>
    <t>K7-11123</t>
  </si>
  <si>
    <t>K7-11124</t>
  </si>
  <si>
    <t>K7-11125</t>
  </si>
  <si>
    <t>K7-11126</t>
  </si>
  <si>
    <t>K7-11127</t>
  </si>
  <si>
    <t>K7-11128</t>
  </si>
  <si>
    <t>K7-11129</t>
  </si>
  <si>
    <t>K7-11130</t>
  </si>
  <si>
    <t>K7-11131</t>
  </si>
  <si>
    <t>K7-11132</t>
  </si>
  <si>
    <t>K7-11133</t>
  </si>
  <si>
    <t>K7-11134</t>
  </si>
  <si>
    <t>K7-11135</t>
  </si>
  <si>
    <t>K7-11136</t>
  </si>
  <si>
    <t>K7-11137</t>
  </si>
  <si>
    <t>K7-11138</t>
  </si>
  <si>
    <t>K7-11139</t>
  </si>
  <si>
    <t>K7-11140</t>
  </si>
  <si>
    <t>K7-11141</t>
  </si>
  <si>
    <t>K7-11142</t>
  </si>
  <si>
    <t>K7-11143</t>
  </si>
  <si>
    <t>K7-11144</t>
  </si>
  <si>
    <t>K7-11145</t>
  </si>
  <si>
    <t>K7-11146</t>
  </si>
  <si>
    <t>K7-11147</t>
  </si>
  <si>
    <t>K7-11148</t>
  </si>
  <si>
    <t>K7-11149</t>
  </si>
  <si>
    <t>K7-11150</t>
  </si>
  <si>
    <t>K7-11151</t>
  </si>
  <si>
    <t>K7-11152</t>
  </si>
  <si>
    <t>K7-11153</t>
  </si>
  <si>
    <t>K7-11154</t>
  </si>
  <si>
    <t>K7-11155</t>
  </si>
  <si>
    <t>K7-11156</t>
  </si>
  <si>
    <t>K7-11157</t>
  </si>
  <si>
    <t>K7-11158</t>
  </si>
  <si>
    <t>K7-11159</t>
  </si>
  <si>
    <t>K7-11160</t>
  </si>
  <si>
    <t>K7-11161</t>
  </si>
  <si>
    <t>K7-11162</t>
  </si>
  <si>
    <t>K7-11163</t>
  </si>
  <si>
    <t>K7-11164</t>
  </si>
  <si>
    <t>K7-11165</t>
  </si>
  <si>
    <t>K7-11166</t>
  </si>
  <si>
    <t>K7-11167</t>
  </si>
  <si>
    <t>K7-11168</t>
  </si>
  <si>
    <t>K7-11169</t>
  </si>
  <si>
    <t>K7-11170</t>
  </si>
  <si>
    <t>K7-11171</t>
  </si>
  <si>
    <t>K7-11172</t>
  </si>
  <si>
    <t>K7-11173</t>
  </si>
  <si>
    <t>K7-11174</t>
  </si>
  <si>
    <t>K7-11175</t>
  </si>
  <si>
    <t>K7-11176</t>
  </si>
  <si>
    <t>K7-11177</t>
  </si>
  <si>
    <t>K7-11178</t>
  </si>
  <si>
    <t>K7-11179</t>
  </si>
  <si>
    <t>K7-11180</t>
  </si>
  <si>
    <t>K7-11181</t>
  </si>
  <si>
    <t>K7-11182</t>
  </si>
  <si>
    <t>K7-11183</t>
  </si>
  <si>
    <t>K7-11184</t>
  </si>
  <si>
    <t>K7-11185</t>
  </si>
  <si>
    <t>K7-11186</t>
  </si>
  <si>
    <t>K7-11187</t>
  </si>
  <si>
    <t>K7-11188</t>
  </si>
  <si>
    <t>K7-11189</t>
  </si>
  <si>
    <t>K7-11190</t>
  </si>
  <si>
    <t>K7-11191</t>
  </si>
  <si>
    <t>K7-11192</t>
  </si>
  <si>
    <t>K7-11193</t>
  </si>
  <si>
    <t>K7-11194</t>
  </si>
  <si>
    <t>K7-11195</t>
  </si>
  <si>
    <t>K7-11196</t>
  </si>
  <si>
    <t>K7-11197</t>
  </si>
  <si>
    <t>K7-11198</t>
  </si>
  <si>
    <t>K7-11199</t>
  </si>
  <si>
    <t>K7-11200</t>
  </si>
  <si>
    <t>K7-11201</t>
  </si>
  <si>
    <t>K7-11202</t>
  </si>
  <si>
    <t>K7-11203</t>
  </si>
  <si>
    <t>K7-11204</t>
  </si>
  <si>
    <t>K7-11205</t>
  </si>
  <si>
    <t>K7-11206</t>
  </si>
  <si>
    <t>K7-11207</t>
  </si>
  <si>
    <t>K7-11208</t>
  </si>
  <si>
    <t>K7-11209</t>
  </si>
  <si>
    <t>K7-11210</t>
  </si>
  <si>
    <t>K7-11211</t>
  </si>
  <si>
    <t>K7-11212</t>
  </si>
  <si>
    <t>K7-11213</t>
  </si>
  <si>
    <t>K7-11214</t>
  </si>
  <si>
    <t>K7-11215</t>
  </si>
  <si>
    <t>K7-11216</t>
  </si>
  <si>
    <t>K7-11217</t>
  </si>
  <si>
    <t>K7-11218</t>
  </si>
  <si>
    <t>K7-11219</t>
  </si>
  <si>
    <t>K7-11220</t>
  </si>
  <si>
    <t>K7-11221</t>
  </si>
  <si>
    <t>K7-11222</t>
  </si>
  <si>
    <t>K7-11223</t>
  </si>
  <si>
    <t>K7-11224</t>
  </si>
  <si>
    <t>K7-11225</t>
  </si>
  <si>
    <t>K7-11226</t>
  </si>
  <si>
    <t>K7-11227</t>
  </si>
  <si>
    <t>K7-11228</t>
  </si>
  <si>
    <t>K7-11229</t>
  </si>
  <si>
    <t>K7-11230</t>
  </si>
  <si>
    <t>K7-11231</t>
  </si>
  <si>
    <t>K7-11232</t>
  </si>
  <si>
    <t>K7-11233</t>
  </si>
  <si>
    <t>K7-11234</t>
  </si>
  <si>
    <t>K7-11235</t>
  </si>
  <si>
    <t>K7-11236</t>
  </si>
  <si>
    <t>K7-11237</t>
  </si>
  <si>
    <t>K7-11238</t>
  </si>
  <si>
    <t>K7-11239</t>
  </si>
  <si>
    <t>K7-11240</t>
  </si>
  <si>
    <t>K7-11241</t>
  </si>
  <si>
    <t>K7-11242</t>
  </si>
  <si>
    <t>K7-11243</t>
  </si>
  <si>
    <t>K7-11244</t>
  </si>
  <si>
    <t>K7-11245</t>
  </si>
  <si>
    <t>K7-11246</t>
  </si>
  <si>
    <t>K7-11247</t>
  </si>
  <si>
    <t>K7-11248</t>
  </si>
  <si>
    <t>K7-11249</t>
  </si>
  <si>
    <t>K7-11250</t>
  </si>
  <si>
    <t>K7-11251</t>
  </si>
  <si>
    <t>K7-11252</t>
  </si>
  <si>
    <t>K7-11253</t>
  </si>
  <si>
    <t>K7-11254</t>
  </si>
  <si>
    <t>K7-11255</t>
  </si>
  <si>
    <t>K7-11256</t>
  </si>
  <si>
    <t>K7-11257</t>
  </si>
  <si>
    <t>K7-11258</t>
  </si>
  <si>
    <t>K7-11259</t>
  </si>
  <si>
    <t>K7-11260</t>
  </si>
  <si>
    <t>K7-11261</t>
  </si>
  <si>
    <t>K7-11262</t>
  </si>
  <si>
    <t>K7-11263</t>
  </si>
  <si>
    <t>K7-11264</t>
  </si>
  <si>
    <t>K7-11265</t>
  </si>
  <si>
    <t>K7-11266</t>
  </si>
  <si>
    <t>K7-11267</t>
  </si>
  <si>
    <t>K7-11268</t>
  </si>
  <si>
    <t>K7-11269</t>
  </si>
  <si>
    <t>K7-11270</t>
  </si>
  <si>
    <t>K7-11271</t>
  </si>
  <si>
    <t>K7-11272</t>
  </si>
  <si>
    <t>K7-11273</t>
  </si>
  <si>
    <t>K7-11274</t>
  </si>
  <si>
    <t>K7-11275</t>
  </si>
  <si>
    <t>K7-11276</t>
  </si>
  <si>
    <t>K7-11277</t>
  </si>
  <si>
    <t>K7-11278</t>
  </si>
  <si>
    <t>K7-11279</t>
  </si>
  <si>
    <t>K7-11280</t>
  </si>
  <si>
    <t>K7-11281</t>
  </si>
  <si>
    <t>K7-11282</t>
  </si>
  <si>
    <t>K7-11283</t>
  </si>
  <si>
    <t>K7-11284</t>
  </si>
  <si>
    <t>K7-11285</t>
  </si>
  <si>
    <t>K7-11286</t>
  </si>
  <si>
    <t>K7-11287</t>
  </si>
  <si>
    <t>K7-11288</t>
  </si>
  <si>
    <t>K7-11289</t>
  </si>
  <si>
    <t>K7-11290</t>
  </si>
  <si>
    <t>K7-11291</t>
  </si>
  <si>
    <t>K7-11292</t>
  </si>
  <si>
    <t>K7-11293</t>
  </si>
  <si>
    <t>K7-11294</t>
  </si>
  <si>
    <t>K7-11295</t>
  </si>
  <si>
    <t>K7-11296</t>
  </si>
  <si>
    <t>K7-11297</t>
  </si>
  <si>
    <t>K7-11298</t>
  </si>
  <si>
    <t>K7-11299</t>
  </si>
  <si>
    <t>K7-11300</t>
  </si>
  <si>
    <t>K7-11301</t>
  </si>
  <si>
    <t>K7-11302</t>
  </si>
  <si>
    <t>K7-11303</t>
  </si>
  <si>
    <t>K7-11304</t>
  </si>
  <si>
    <t>K7-11305</t>
  </si>
  <si>
    <t>K7-11306</t>
  </si>
  <si>
    <t>K7-11307</t>
  </si>
  <si>
    <t>K7-11308</t>
  </si>
  <si>
    <t>K7-11309</t>
  </si>
  <si>
    <t>K7-11310</t>
  </si>
  <si>
    <t>K7-11311</t>
  </si>
  <si>
    <t>K7-11312</t>
  </si>
  <si>
    <t>K7-11313</t>
  </si>
  <si>
    <t>K7-11314</t>
  </si>
  <si>
    <t>K7-11315</t>
  </si>
  <si>
    <t>K7-11316</t>
  </si>
  <si>
    <t>K7-11317</t>
  </si>
  <si>
    <t>K7-11318</t>
  </si>
  <si>
    <t>K7-11319</t>
  </si>
  <si>
    <t>K7-11320</t>
  </si>
  <si>
    <t>K7-11321</t>
  </si>
  <si>
    <t>K7-11322</t>
  </si>
  <si>
    <t>K7-11323</t>
  </si>
  <si>
    <t>K7-11324</t>
  </si>
  <si>
    <t>K7-11325</t>
  </si>
  <si>
    <t>K7-11326</t>
  </si>
  <si>
    <t>K7-11327</t>
  </si>
  <si>
    <t>K7-11328</t>
  </si>
  <si>
    <t>K7-11329</t>
  </si>
  <si>
    <t>K7-11330</t>
  </si>
  <si>
    <t>K7-11331</t>
  </si>
  <si>
    <t>K7-11332</t>
  </si>
  <si>
    <t>K7-11333</t>
  </si>
  <si>
    <t>K7-11334</t>
  </si>
  <si>
    <t>K7-11335</t>
  </si>
  <si>
    <t>K7-11336</t>
  </si>
  <si>
    <t>K7-11337</t>
  </si>
  <si>
    <t>K7-11338</t>
  </si>
  <si>
    <t>K7-11339</t>
  </si>
  <si>
    <t>K7-11340</t>
  </si>
  <si>
    <t>K7-11341</t>
  </si>
  <si>
    <t>K7-11342</t>
  </si>
  <si>
    <t>K7-11343</t>
  </si>
  <si>
    <t>K7-11344</t>
  </si>
  <si>
    <t>K7-11345</t>
  </si>
  <si>
    <t>K7-11346</t>
  </si>
  <si>
    <t>K7-11347</t>
  </si>
  <si>
    <t>K7-11348</t>
  </si>
  <si>
    <t>K7-11349</t>
  </si>
  <si>
    <t>K7-11350</t>
  </si>
  <si>
    <t>K7-11351</t>
  </si>
  <si>
    <t>K7-11352</t>
  </si>
  <si>
    <t>K7-11353</t>
  </si>
  <si>
    <t>K7-11354</t>
  </si>
  <si>
    <t>K7-11355</t>
  </si>
  <si>
    <t>K7-11356</t>
  </si>
  <si>
    <t>K7-11357</t>
  </si>
  <si>
    <t>K7-11358</t>
  </si>
  <si>
    <t>K7-11359</t>
  </si>
  <si>
    <t>K7-11360</t>
  </si>
  <si>
    <t>K7-11361</t>
  </si>
  <si>
    <t>K7-11362</t>
  </si>
  <si>
    <t>K7-11363</t>
  </si>
  <si>
    <t>K7-11364</t>
  </si>
  <si>
    <t>K7-11365</t>
  </si>
  <si>
    <t>K7-11366</t>
  </si>
  <si>
    <t>K7-11367</t>
  </si>
  <si>
    <t>K7-11368</t>
  </si>
  <si>
    <t>K7-11369</t>
  </si>
  <si>
    <t>K7-11370</t>
  </si>
  <si>
    <t>K7-11371</t>
  </si>
  <si>
    <t>K7-11372</t>
  </si>
  <si>
    <t>K7-11373</t>
  </si>
  <si>
    <t>K7-11374</t>
  </si>
  <si>
    <t>K7-11375</t>
  </si>
  <si>
    <t>K7-11376</t>
  </si>
  <si>
    <t>K7-11377</t>
  </si>
  <si>
    <t>K7-11378</t>
  </si>
  <si>
    <t>K7-11379</t>
  </si>
  <si>
    <t>K7-11380</t>
  </si>
  <si>
    <t>K7-11381</t>
  </si>
  <si>
    <t>K7-11382</t>
  </si>
  <si>
    <t>K7-11383</t>
  </si>
  <si>
    <t>K7-11384</t>
  </si>
  <si>
    <t>K7-11385</t>
  </si>
  <si>
    <t>K7-11386</t>
  </si>
  <si>
    <t>K7-11387</t>
  </si>
  <si>
    <t>K7-11388</t>
  </si>
  <si>
    <t>K7-11389</t>
  </si>
  <si>
    <t>K7-11390</t>
  </si>
  <si>
    <t>K7-11391</t>
  </si>
  <si>
    <t>K7-11392</t>
  </si>
  <si>
    <t>K7-11393</t>
  </si>
  <si>
    <t>K7-11394</t>
  </si>
  <si>
    <t>K7-11395</t>
  </si>
  <si>
    <t>K7-11396</t>
  </si>
  <si>
    <t>K7-11397</t>
  </si>
  <si>
    <t>K7-11398</t>
  </si>
  <si>
    <t>K7-11399</t>
  </si>
  <si>
    <t>K7-11400</t>
  </si>
  <si>
    <t>K7-11401</t>
  </si>
  <si>
    <t>K7-11402</t>
  </si>
  <si>
    <t>K7-11403</t>
  </si>
  <si>
    <t>K7-11404</t>
  </si>
  <si>
    <t>K7-11405</t>
  </si>
  <si>
    <t>K7-11406</t>
  </si>
  <si>
    <t>K7-11407</t>
  </si>
  <si>
    <t>K7-11408</t>
  </si>
  <si>
    <t>K7-11409</t>
  </si>
  <si>
    <t>K7-11410</t>
  </si>
  <si>
    <t>K7-11411</t>
  </si>
  <si>
    <t>K7-11412</t>
  </si>
  <si>
    <t>K7-11413</t>
  </si>
  <si>
    <t>K7-11414</t>
  </si>
  <si>
    <t>K7-11415</t>
  </si>
  <si>
    <t>K7-11416</t>
  </si>
  <si>
    <t>K7-11417</t>
  </si>
  <si>
    <t>K7-11418</t>
  </si>
  <si>
    <t>K7-11419</t>
  </si>
  <si>
    <t>K7-11420</t>
  </si>
  <si>
    <t>K7-11421</t>
  </si>
  <si>
    <t>K7-11422</t>
  </si>
  <si>
    <t>K7-11423</t>
  </si>
  <si>
    <t>K7-11424</t>
  </si>
  <si>
    <t>K7-11425</t>
  </si>
  <si>
    <t>K7-11426</t>
  </si>
  <si>
    <t>K7-11427</t>
  </si>
  <si>
    <t>K7-11428</t>
  </si>
  <si>
    <t>K7-11429</t>
  </si>
  <si>
    <t>K7-11430</t>
  </si>
  <si>
    <t>K7-11431</t>
  </si>
  <si>
    <t>K7-11432</t>
  </si>
  <si>
    <t>K7-11433</t>
  </si>
  <si>
    <t>K7-11434</t>
  </si>
  <si>
    <t>K7-11435</t>
  </si>
  <si>
    <t>K7-11436</t>
  </si>
  <si>
    <t>K7-11437</t>
  </si>
  <si>
    <t>K7-11438</t>
  </si>
  <si>
    <t>K7-11439</t>
  </si>
  <si>
    <t>K7-11440</t>
  </si>
  <si>
    <t>K7-11441</t>
  </si>
  <si>
    <t>K7-11442</t>
  </si>
  <si>
    <t>K7-11443</t>
  </si>
  <si>
    <t>K7-11444</t>
  </si>
  <si>
    <t>K7-11445</t>
  </si>
  <si>
    <t>K7-11446</t>
  </si>
  <si>
    <t>K7-11447</t>
  </si>
  <si>
    <t>K7-11448</t>
  </si>
  <si>
    <t>K7-11449</t>
  </si>
  <si>
    <t>K7-11450</t>
  </si>
  <si>
    <t>K7-11451</t>
  </si>
  <si>
    <t>K7-11452</t>
  </si>
  <si>
    <t>K7-11453</t>
  </si>
  <si>
    <t>K7-11454</t>
  </si>
  <si>
    <t>K7-11455</t>
  </si>
  <si>
    <t>K7-11456</t>
  </si>
  <si>
    <t>K7-11457</t>
  </si>
  <si>
    <t>K7-11458</t>
  </si>
  <si>
    <t>K7-11459</t>
  </si>
  <si>
    <t>K7-11460</t>
  </si>
  <si>
    <t>K7-11461</t>
  </si>
  <si>
    <t>K7-11462</t>
  </si>
  <si>
    <t>K7-11463</t>
  </si>
  <si>
    <t>K7-11464</t>
  </si>
  <si>
    <t>K7-11465</t>
  </si>
  <si>
    <t>K7-11466</t>
  </si>
  <si>
    <t>K7-11467</t>
  </si>
  <si>
    <t>K7-11468</t>
  </si>
  <si>
    <t>K7-11469</t>
  </si>
  <si>
    <t>K7-11470</t>
  </si>
  <si>
    <t>K7-11471</t>
  </si>
  <si>
    <t>K7-11472</t>
  </si>
  <si>
    <t>K7-11473</t>
  </si>
  <si>
    <t>K7-11474</t>
  </si>
  <si>
    <t>K7-11475</t>
  </si>
  <si>
    <t>K7-11476</t>
  </si>
  <si>
    <t>K7-11477</t>
  </si>
  <si>
    <t>K7-11478</t>
  </si>
  <si>
    <t>K7-11479</t>
  </si>
  <si>
    <t>K7-11480</t>
  </si>
  <si>
    <t>K7-11481</t>
  </si>
  <si>
    <t>K7-11482</t>
  </si>
  <si>
    <t>K7-11483</t>
  </si>
  <si>
    <t>K7-11484</t>
  </si>
  <si>
    <t>K7-11485</t>
  </si>
  <si>
    <t>K7-11486</t>
  </si>
  <si>
    <t>K7-11487</t>
  </si>
  <si>
    <t>K7-11488</t>
  </si>
  <si>
    <t>K7-11489</t>
  </si>
  <si>
    <t>K7-11490</t>
  </si>
  <si>
    <t>K7-11491</t>
  </si>
  <si>
    <t>K7-11492</t>
  </si>
  <si>
    <t>K7-11493</t>
  </si>
  <si>
    <t>K7-11494</t>
  </si>
  <si>
    <t>K7-11495</t>
  </si>
  <si>
    <t>K7-11496</t>
  </si>
  <si>
    <t>K7-11497</t>
  </si>
  <si>
    <t>K7-11498</t>
  </si>
  <si>
    <t>K7-11499</t>
  </si>
  <si>
    <t>K7-11500</t>
  </si>
  <si>
    <t>K7-11501</t>
  </si>
  <si>
    <t>K7-11502</t>
  </si>
  <si>
    <t>K7-11503</t>
  </si>
  <si>
    <t>K7-11504</t>
  </si>
  <si>
    <t>K7-11505</t>
  </si>
  <si>
    <t>K7-11506</t>
  </si>
  <si>
    <t>K7-11507</t>
  </si>
  <si>
    <t>K7-11508</t>
  </si>
  <si>
    <t>K7-11509</t>
  </si>
  <si>
    <t>K7-11510</t>
  </si>
  <si>
    <t>K7-11511</t>
  </si>
  <si>
    <t>K7-11512</t>
  </si>
  <si>
    <t>K7-11513</t>
  </si>
  <si>
    <t>K7-11514</t>
  </si>
  <si>
    <t>K7-11515</t>
  </si>
  <si>
    <t>K7-11516</t>
  </si>
  <si>
    <t>K7-11517</t>
  </si>
  <si>
    <t>K7-11518</t>
  </si>
  <si>
    <t>K7-11519</t>
  </si>
  <si>
    <t>K7-11520</t>
  </si>
  <si>
    <t>K7-11521</t>
  </si>
  <si>
    <t>K7-11522</t>
  </si>
  <si>
    <t>K7-11523</t>
  </si>
  <si>
    <t>K7-11524</t>
  </si>
  <si>
    <t>K7-11525</t>
  </si>
  <si>
    <t>K7-11526</t>
  </si>
  <si>
    <t>K7-11527</t>
  </si>
  <si>
    <t>K7-11528</t>
  </si>
  <si>
    <t>K7-11529</t>
  </si>
  <si>
    <t>K7-11530</t>
  </si>
  <si>
    <t>K7-11531</t>
  </si>
  <si>
    <t>K7-11532</t>
  </si>
  <si>
    <t>K7-11533</t>
  </si>
  <si>
    <t>K7-11534</t>
  </si>
  <si>
    <t>K7-11535</t>
  </si>
  <si>
    <t>K7-11536</t>
  </si>
  <si>
    <t>K7-11537</t>
  </si>
  <si>
    <t>K7-11538</t>
  </si>
  <si>
    <t>K7-11539</t>
  </si>
  <si>
    <t>K7-11540</t>
  </si>
  <si>
    <t>K7-11541</t>
  </si>
  <si>
    <t>K7-11542</t>
  </si>
  <si>
    <t>K7-11543</t>
  </si>
  <si>
    <t>K7-11544</t>
  </si>
  <si>
    <t>K7-11545</t>
  </si>
  <si>
    <t>K7-11546</t>
  </si>
  <si>
    <t>K7-11547</t>
  </si>
  <si>
    <t>K7-11548</t>
  </si>
  <si>
    <t>K7-11549</t>
  </si>
  <si>
    <t>K7-11550</t>
  </si>
  <si>
    <t>K7-11551</t>
  </si>
  <si>
    <t>K7-11552</t>
  </si>
  <si>
    <t>K7-11553</t>
  </si>
  <si>
    <t>K7-11554</t>
  </si>
  <si>
    <t>K7-11555</t>
  </si>
  <si>
    <t>K7-11556</t>
  </si>
  <si>
    <t>K7-11557</t>
  </si>
  <si>
    <t>K7-11558</t>
  </si>
  <si>
    <t>K7-11559</t>
  </si>
  <si>
    <t>K7-11560</t>
  </si>
  <si>
    <t>K7-11561</t>
  </si>
  <si>
    <t>K7-11562</t>
  </si>
  <si>
    <t>K7-11563</t>
  </si>
  <si>
    <t>K7-11564</t>
  </si>
  <si>
    <t>K7-11565</t>
  </si>
  <si>
    <t>K7-11566</t>
  </si>
  <si>
    <t>K7-11567</t>
  </si>
  <si>
    <t>K7-11568</t>
  </si>
  <si>
    <t>K7-11569</t>
  </si>
  <si>
    <t>K7-11570</t>
  </si>
  <si>
    <t>K7-11571</t>
  </si>
  <si>
    <t>K7-11572</t>
  </si>
  <si>
    <t>K7-11573</t>
  </si>
  <si>
    <t>K7-11574</t>
  </si>
  <si>
    <t>K7-11575</t>
  </si>
  <si>
    <t>K7-11576</t>
  </si>
  <si>
    <t>K7-11577</t>
  </si>
  <si>
    <t>K7-11578</t>
  </si>
  <si>
    <t>K7-11579</t>
  </si>
  <si>
    <t>K7-11580</t>
  </si>
  <si>
    <t>K7-11581</t>
  </si>
  <si>
    <t>K7-11582</t>
  </si>
  <si>
    <t>K7-11583</t>
  </si>
  <si>
    <t>K7-11584</t>
  </si>
  <si>
    <t>K7-11585</t>
  </si>
  <si>
    <t>K7-11586</t>
  </si>
  <si>
    <t>K7-11587</t>
  </si>
  <si>
    <t>K7-11588</t>
  </si>
  <si>
    <t>K7-11589</t>
  </si>
  <si>
    <t>K7-11590</t>
  </si>
  <si>
    <t>K7-11591</t>
  </si>
  <si>
    <t>K7-11592</t>
  </si>
  <si>
    <t>K7-11593</t>
  </si>
  <si>
    <t>K7-11594</t>
  </si>
  <si>
    <t>K7-11595</t>
  </si>
  <si>
    <t>K7-11596</t>
  </si>
  <si>
    <t>K7-11597</t>
  </si>
  <si>
    <t>K7-11598</t>
  </si>
  <si>
    <t>K7-11599</t>
  </si>
  <si>
    <t>K7-11600</t>
  </si>
  <si>
    <t>K7-11601</t>
  </si>
  <si>
    <t>K7-11602</t>
  </si>
  <si>
    <t>K7-11603</t>
  </si>
  <si>
    <t>K7-11604</t>
  </si>
  <si>
    <t>K7-11605</t>
  </si>
  <si>
    <t>K7-11606</t>
  </si>
  <si>
    <t>K7-11607</t>
  </si>
  <si>
    <t>K7-11608</t>
  </si>
  <si>
    <t>K7-11609</t>
  </si>
  <si>
    <t>K7-11610</t>
  </si>
  <si>
    <t>K7-11611</t>
  </si>
  <si>
    <t>K7-11612</t>
  </si>
  <si>
    <t>K7-11613</t>
  </si>
  <si>
    <t>K7-11614</t>
  </si>
  <si>
    <t>K7-11615</t>
  </si>
  <si>
    <t>K7-11616</t>
  </si>
  <si>
    <t>K7-11617</t>
  </si>
  <si>
    <t>K7-11618</t>
  </si>
  <si>
    <t>K7-11619</t>
  </si>
  <si>
    <t>K7-11620</t>
  </si>
  <si>
    <t>K7-11621</t>
  </si>
  <si>
    <t>K7-11622</t>
  </si>
  <si>
    <t>K7-11623</t>
  </si>
  <si>
    <t>K7-11624</t>
  </si>
  <si>
    <t>K7-11625</t>
  </si>
  <si>
    <t>K7-11626</t>
  </si>
  <si>
    <t>K7-11627</t>
  </si>
  <si>
    <t>K7-11628</t>
  </si>
  <si>
    <t>K7-11629</t>
  </si>
  <si>
    <t>K7-11630</t>
  </si>
  <si>
    <t>K7-11631</t>
  </si>
  <si>
    <t>K7-11632</t>
  </si>
  <si>
    <t>K7-11633</t>
  </si>
  <si>
    <t>K7-11634</t>
  </si>
  <si>
    <t>K7-11635</t>
  </si>
  <si>
    <t>K7-11636</t>
  </si>
  <si>
    <t>K7-11637</t>
  </si>
  <si>
    <t>K7-11638</t>
  </si>
  <si>
    <t>K7-11639</t>
  </si>
  <si>
    <t>K7-11640</t>
  </si>
  <si>
    <t>K7-11641</t>
  </si>
  <si>
    <t>K7-11642</t>
  </si>
  <si>
    <t>K7-11643</t>
  </si>
  <si>
    <t>K7-11644</t>
  </si>
  <si>
    <t>K7-11645</t>
  </si>
  <si>
    <t>K7-11646</t>
  </si>
  <si>
    <t>K7-11647</t>
  </si>
  <si>
    <t>K7-11648</t>
  </si>
  <si>
    <t>K7-11649</t>
  </si>
  <si>
    <t>K7-11650</t>
  </si>
  <si>
    <t>K7-11651</t>
  </si>
  <si>
    <t>K7-11652</t>
  </si>
  <si>
    <t>K7-11653</t>
  </si>
  <si>
    <t>K7-11654</t>
  </si>
  <si>
    <t>K7-11655</t>
  </si>
  <si>
    <t>K7-11656</t>
  </si>
  <si>
    <t>K7-11657</t>
  </si>
  <si>
    <t>K7-11658</t>
  </si>
  <si>
    <t>K7-11659</t>
  </si>
  <si>
    <t>K7-11660</t>
  </si>
  <si>
    <t>K7-11661</t>
  </si>
  <si>
    <t>K7-11662</t>
  </si>
  <si>
    <t>K7-11663</t>
  </si>
  <si>
    <t>K7-11664</t>
  </si>
  <si>
    <t>K7-11665</t>
  </si>
  <si>
    <t>K7-11666</t>
  </si>
  <si>
    <t>K7-11667</t>
  </si>
  <si>
    <t>K7-11668</t>
  </si>
  <si>
    <t>K7-11669</t>
  </si>
  <si>
    <t>K7-11670</t>
  </si>
  <si>
    <t>K7-11671</t>
  </si>
  <si>
    <t>K7-11672</t>
  </si>
  <si>
    <t>K7-11673</t>
  </si>
  <si>
    <t>K7-11674</t>
  </si>
  <si>
    <t>K7-11675</t>
  </si>
  <si>
    <t>K7-11676</t>
  </si>
  <si>
    <t>K7-11677</t>
  </si>
  <si>
    <t>K7-11678</t>
  </si>
  <si>
    <t>K7-11679</t>
  </si>
  <si>
    <t>K7-11680</t>
  </si>
  <si>
    <t>K7-11681</t>
  </si>
  <si>
    <t>K7-11682</t>
  </si>
  <si>
    <t>K7-11683</t>
  </si>
  <si>
    <t>K7-11684</t>
  </si>
  <si>
    <t>K7-11685</t>
  </si>
  <si>
    <t>K7-11686</t>
  </si>
  <si>
    <t>K7-11687</t>
  </si>
  <si>
    <t>K7-11688</t>
  </si>
  <si>
    <t>K7-11689</t>
  </si>
  <si>
    <t>K7-11690</t>
  </si>
  <si>
    <t>K7-11691</t>
  </si>
  <si>
    <t>K7-11692</t>
  </si>
  <si>
    <t>K7-11693</t>
  </si>
  <si>
    <t>K7-11694</t>
  </si>
  <si>
    <t>K7-11695</t>
  </si>
  <si>
    <t>K7-11696</t>
  </si>
  <si>
    <t>K7-11697</t>
  </si>
  <si>
    <t>K7-11698</t>
  </si>
  <si>
    <t>K7-11699</t>
  </si>
  <si>
    <t>K7-11700</t>
  </si>
  <si>
    <t>K7-11701</t>
  </si>
  <si>
    <t>K7-11702</t>
  </si>
  <si>
    <t>K7-11703</t>
  </si>
  <si>
    <t>K7-11704</t>
  </si>
  <si>
    <t>K7-11705</t>
  </si>
  <si>
    <t>K7-11706</t>
  </si>
  <si>
    <t>K7-11707</t>
  </si>
  <si>
    <t>K7-11708</t>
  </si>
  <si>
    <t>K7-11709</t>
  </si>
  <si>
    <t>K7-11710</t>
  </si>
  <si>
    <t>K7-11711</t>
  </si>
  <si>
    <t>K7-11712</t>
  </si>
  <si>
    <t>K7-11713</t>
  </si>
  <si>
    <t>K7-11714</t>
  </si>
  <si>
    <t>K7-11715</t>
  </si>
  <si>
    <t>K7-11716</t>
  </si>
  <si>
    <t>K7-11717</t>
  </si>
  <si>
    <t>K7-11718</t>
  </si>
  <si>
    <t>K7-11719</t>
  </si>
  <si>
    <t>K7-11720</t>
  </si>
  <si>
    <t>K7-11721</t>
  </si>
  <si>
    <t>K7-11722</t>
  </si>
  <si>
    <t>K7-11723</t>
  </si>
  <si>
    <t>K7-11724</t>
  </si>
  <si>
    <t>K7-11725</t>
  </si>
  <si>
    <t>K7-11726</t>
  </si>
  <si>
    <t>K7-11727</t>
  </si>
  <si>
    <t>K7-11728</t>
  </si>
  <si>
    <t>K7-11729</t>
  </si>
  <si>
    <t>K7-11730</t>
  </si>
  <si>
    <t>K7-11731</t>
  </si>
  <si>
    <t>K7-11732</t>
  </si>
  <si>
    <t>K7-11733</t>
  </si>
  <si>
    <t>K7-11734</t>
  </si>
  <si>
    <t>K7-11735</t>
  </si>
  <si>
    <t>K7-11736</t>
  </si>
  <si>
    <t>K7-11737</t>
  </si>
  <si>
    <t>K7-11738</t>
  </si>
  <si>
    <t>K7-11739</t>
  </si>
  <si>
    <t>K7-11740</t>
  </si>
  <si>
    <t>K7-11741</t>
  </si>
  <si>
    <t>K7-11742</t>
  </si>
  <si>
    <t>K7-11743</t>
  </si>
  <si>
    <t>K7-11744</t>
  </si>
  <si>
    <t>K7-11745</t>
  </si>
  <si>
    <t>K7-11746</t>
  </si>
  <si>
    <t>K7-11747</t>
  </si>
  <si>
    <t>K7-11748</t>
  </si>
  <si>
    <t>K7-11749</t>
  </si>
  <si>
    <t>K7-11750</t>
  </si>
  <si>
    <t>K7-11751</t>
  </si>
  <si>
    <t>K7-11752</t>
  </si>
  <si>
    <t>K7-11753</t>
  </si>
  <si>
    <t>K7-11754</t>
  </si>
  <si>
    <t>K7-11755</t>
  </si>
  <si>
    <t>K7-11756</t>
  </si>
  <si>
    <t>K7-11757</t>
  </si>
  <si>
    <t>K7-11758</t>
  </si>
  <si>
    <t>K7-11759</t>
  </si>
  <si>
    <t>K7-11760</t>
  </si>
  <si>
    <t>K7-11761</t>
  </si>
  <si>
    <t>K7-11762</t>
  </si>
  <si>
    <t>K7-11763</t>
  </si>
  <si>
    <t>K7-11764</t>
  </si>
  <si>
    <t>K7-11765</t>
  </si>
  <si>
    <t>K7-11766</t>
  </si>
  <si>
    <t>K7-11767</t>
  </si>
  <si>
    <t>K7-11768</t>
  </si>
  <si>
    <t>K7-11769</t>
  </si>
  <si>
    <t>K7-11770</t>
  </si>
  <si>
    <t>K7-11771</t>
  </si>
  <si>
    <t>K7-11772</t>
  </si>
  <si>
    <t>K7-11773</t>
  </si>
  <si>
    <t>K7-11774</t>
  </si>
  <si>
    <t>K7-11775</t>
  </si>
  <si>
    <t>K7-11776</t>
  </si>
  <si>
    <t>K7-11777</t>
  </si>
  <si>
    <t>K7-11778</t>
  </si>
  <si>
    <t>K7-11779</t>
  </si>
  <si>
    <t>K7-11780</t>
  </si>
  <si>
    <t>K7-11781</t>
  </si>
  <si>
    <t>K7-11782</t>
  </si>
  <si>
    <t>K7-11783</t>
  </si>
  <si>
    <t>K7-11784</t>
  </si>
  <si>
    <t>K7-11785</t>
  </si>
  <si>
    <t>K7-11786</t>
  </si>
  <si>
    <t>K7-11787</t>
  </si>
  <si>
    <t>K7-11788</t>
  </si>
  <si>
    <t>K7-11789</t>
  </si>
  <si>
    <t>K7-11790</t>
  </si>
  <si>
    <t>K7-11791</t>
  </si>
  <si>
    <t>K7-11792</t>
  </si>
  <si>
    <t>K7-11793</t>
  </si>
  <si>
    <t>K7-11794</t>
  </si>
  <si>
    <t>K7-11795</t>
  </si>
  <si>
    <t>K7-11796</t>
  </si>
  <si>
    <t>K7-11797</t>
  </si>
  <si>
    <t>K7-11798</t>
  </si>
  <si>
    <t>K7-11799</t>
  </si>
  <si>
    <t>K7-11800</t>
  </si>
  <si>
    <t>K7-11801</t>
  </si>
  <si>
    <t>K7-11802</t>
  </si>
  <si>
    <t>K7-11803</t>
  </si>
  <si>
    <t>K7-11804</t>
  </si>
  <si>
    <t>K7-11805</t>
  </si>
  <si>
    <t>K7-11806</t>
  </si>
  <si>
    <t>K7-11807</t>
  </si>
  <si>
    <t>K7-11808</t>
  </si>
  <si>
    <t>K7-11809</t>
  </si>
  <si>
    <t>K7-11810</t>
  </si>
  <si>
    <t>K7-11811</t>
  </si>
  <si>
    <t>K7-11812</t>
  </si>
  <si>
    <t>K7-11813</t>
  </si>
  <si>
    <t>K7-11814</t>
  </si>
  <si>
    <t>K7-11815</t>
  </si>
  <si>
    <t>K7-11816</t>
  </si>
  <si>
    <t>K7-11817</t>
  </si>
  <si>
    <t>K7-11818</t>
  </si>
  <si>
    <t>K7-11819</t>
  </si>
  <si>
    <t>K7-11820</t>
  </si>
  <si>
    <t>K7-11821</t>
  </si>
  <si>
    <t>K7-11822</t>
  </si>
  <si>
    <t>K7-11823</t>
  </si>
  <si>
    <t>K7-11824</t>
  </si>
  <si>
    <t>K7-11825</t>
  </si>
  <si>
    <t>K7-11826</t>
  </si>
  <si>
    <t>K7-11827</t>
  </si>
  <si>
    <t>K7-11828</t>
  </si>
  <si>
    <t>K7-11829</t>
  </si>
  <si>
    <t>K7-11830</t>
  </si>
  <si>
    <t>K7-11831</t>
  </si>
  <si>
    <t>K7-11832</t>
  </si>
  <si>
    <t>K7-11833</t>
  </si>
  <si>
    <t>K7-11834</t>
  </si>
  <si>
    <t>K7-11835</t>
  </si>
  <si>
    <t>K7-11836</t>
  </si>
  <si>
    <t>K7-11837</t>
  </si>
  <si>
    <t>K7-11838</t>
  </si>
  <si>
    <t>K7-11839</t>
  </si>
  <si>
    <t>K7-11840</t>
  </si>
  <si>
    <t>K7-11841</t>
  </si>
  <si>
    <t>K7-11842</t>
  </si>
  <si>
    <t>K7-11843</t>
  </si>
  <si>
    <t>K7-11844</t>
  </si>
  <si>
    <t>K7-11845</t>
  </si>
  <si>
    <t>K7-11846</t>
  </si>
  <si>
    <t>K7-11847</t>
  </si>
  <si>
    <t>K7-11848</t>
  </si>
  <si>
    <t>K7-11849</t>
  </si>
  <si>
    <t>K7-11850</t>
  </si>
  <si>
    <t>K7-11851</t>
  </si>
  <si>
    <t>K7-11852</t>
  </si>
  <si>
    <t>K7-11853</t>
  </si>
  <si>
    <t>K7-11854</t>
  </si>
  <si>
    <t>K7-11855</t>
  </si>
  <si>
    <t>K7-11856</t>
  </si>
  <si>
    <t>K7-11857</t>
  </si>
  <si>
    <t>K7-11858</t>
  </si>
  <si>
    <t>K7-11859</t>
  </si>
  <si>
    <t>K7-11860</t>
  </si>
  <si>
    <t>K7-11861</t>
  </si>
  <si>
    <t>K7-11862</t>
  </si>
  <si>
    <t>K7-11863</t>
  </si>
  <si>
    <t>K7-11864</t>
  </si>
  <si>
    <t>K7-11865</t>
  </si>
  <si>
    <t>K7-11866</t>
  </si>
  <si>
    <t>K7-11867</t>
  </si>
  <si>
    <t>K7-11868</t>
  </si>
  <si>
    <t>K7-11869</t>
  </si>
  <si>
    <t>K7-11870</t>
  </si>
  <si>
    <t>K7-11871</t>
  </si>
  <si>
    <t>K7-11872</t>
  </si>
  <si>
    <t>K7-11873</t>
  </si>
  <si>
    <t>K7-11874</t>
  </si>
  <si>
    <t>K7-11875</t>
  </si>
  <si>
    <t>K7-11876</t>
  </si>
  <si>
    <t>K7-11877</t>
  </si>
  <si>
    <t>K7-11878</t>
  </si>
  <si>
    <t>K7-11879</t>
  </si>
  <si>
    <t>K7-11880</t>
  </si>
  <si>
    <t>K7-11881</t>
  </si>
  <si>
    <t>K7-11882</t>
  </si>
  <si>
    <t>K7-11883</t>
  </si>
  <si>
    <t>K7-11884</t>
  </si>
  <si>
    <t>K7-11885</t>
  </si>
  <si>
    <t>K7-11886</t>
  </si>
  <si>
    <t>K7-11887</t>
  </si>
  <si>
    <t>K7-11888</t>
  </si>
  <si>
    <t>K7-11889</t>
  </si>
  <si>
    <t>K7-11890</t>
  </si>
  <si>
    <t>K7-11891</t>
  </si>
  <si>
    <t>K7-11892</t>
  </si>
  <si>
    <t>K7-11893</t>
  </si>
  <si>
    <t>K7-11894</t>
  </si>
  <si>
    <t>K7-11895</t>
  </si>
  <si>
    <t>K7-11896</t>
  </si>
  <si>
    <t>K7-11897</t>
  </si>
  <si>
    <t>K7-11898</t>
  </si>
  <si>
    <t>K7-11899</t>
  </si>
  <si>
    <t>K7-11900</t>
  </si>
  <si>
    <t>K7-11901</t>
  </si>
  <si>
    <t>K7-11902</t>
  </si>
  <si>
    <t>K7-11903</t>
  </si>
  <si>
    <t>K7-11904</t>
  </si>
  <si>
    <t>K7-11905</t>
  </si>
  <si>
    <t>K7-11906</t>
  </si>
  <si>
    <t>K7-11907</t>
  </si>
  <si>
    <t>K7-11908</t>
  </si>
  <si>
    <t>K7-11909</t>
  </si>
  <si>
    <t>K7-11910</t>
  </si>
  <si>
    <t>K7-11911</t>
  </si>
  <si>
    <t>K7-11912</t>
  </si>
  <si>
    <t>K7-11913</t>
  </si>
  <si>
    <t>K7-11914</t>
  </si>
  <si>
    <t>K7-11915</t>
  </si>
  <si>
    <t>K7-11916</t>
  </si>
  <si>
    <t>K7-11917</t>
  </si>
  <si>
    <t>K7-11918</t>
  </si>
  <si>
    <t>K7-11919</t>
  </si>
  <si>
    <t>K7-11920</t>
  </si>
  <si>
    <t>K7-11921</t>
  </si>
  <si>
    <t>K7-11922</t>
  </si>
  <si>
    <t>K7-11923</t>
  </si>
  <si>
    <t>K7-11924</t>
  </si>
  <si>
    <t>K7-11925</t>
  </si>
  <si>
    <t>K7-11926</t>
  </si>
  <si>
    <t>K7-11927</t>
  </si>
  <si>
    <t>K7-11928</t>
  </si>
  <si>
    <t>K7-11929</t>
  </si>
  <si>
    <t>K7-11930</t>
  </si>
  <si>
    <t>K7-11931</t>
  </si>
  <si>
    <t>K7-11932</t>
  </si>
  <si>
    <t>K7-11933</t>
  </si>
  <si>
    <t>K7-11934</t>
  </si>
  <si>
    <t>K7-11935</t>
  </si>
  <si>
    <t>K7-11936</t>
  </si>
  <si>
    <t>K7-11937</t>
  </si>
  <si>
    <t>K7-11938</t>
  </si>
  <si>
    <t>K7-11939</t>
  </si>
  <si>
    <t>K7-11940</t>
  </si>
  <si>
    <t>K7-11941</t>
  </si>
  <si>
    <t>K7-11942</t>
  </si>
  <si>
    <t>K7-11943</t>
  </si>
  <si>
    <t>K7-11944</t>
  </si>
  <si>
    <t>K7-11945</t>
  </si>
  <si>
    <t>K7-11946</t>
  </si>
  <si>
    <t>K7-11947</t>
  </si>
  <si>
    <t>K7-11948</t>
  </si>
  <si>
    <t>K7-11949</t>
  </si>
  <si>
    <t>K7-11950</t>
  </si>
  <si>
    <t>K7-11951</t>
  </si>
  <si>
    <t>K7-11952</t>
  </si>
  <si>
    <t>K7-11953</t>
  </si>
  <si>
    <t>K7-11954</t>
  </si>
  <si>
    <t>K7-11955</t>
  </si>
  <si>
    <t>K7-11956</t>
  </si>
  <si>
    <t>K7-11957</t>
  </si>
  <si>
    <t>K7-11958</t>
  </si>
  <si>
    <t>K7-11959</t>
  </si>
  <si>
    <t>K7-11960</t>
  </si>
  <si>
    <t>K7-11961</t>
  </si>
  <si>
    <t>K7-11962</t>
  </si>
  <si>
    <t>K7-11963</t>
  </si>
  <si>
    <t>K7-11964</t>
  </si>
  <si>
    <t>K7-11965</t>
  </si>
  <si>
    <t>K7-11966</t>
  </si>
  <si>
    <t>K7-11967</t>
  </si>
  <si>
    <t>K7-11968</t>
  </si>
  <si>
    <t>K7-11969</t>
  </si>
  <si>
    <t>K7-11970</t>
  </si>
  <si>
    <t>K7-11971</t>
  </si>
  <si>
    <t>K7-11972</t>
  </si>
  <si>
    <t>K7-11973</t>
  </si>
  <si>
    <t>K7-11974</t>
  </si>
  <si>
    <t>K7-11975</t>
  </si>
  <si>
    <t>K7-11976</t>
  </si>
  <si>
    <t>K7-11977</t>
  </si>
  <si>
    <t>K7-11978</t>
  </si>
  <si>
    <t>K7-11979</t>
  </si>
  <si>
    <t>K7-11980</t>
  </si>
  <si>
    <t>K7-11981</t>
  </si>
  <si>
    <t>K7-11982</t>
  </si>
  <si>
    <t>K7-11983</t>
  </si>
  <si>
    <t>K7-11984</t>
  </si>
  <si>
    <t>K7-11985</t>
  </si>
  <si>
    <t>K7-11986</t>
  </si>
  <si>
    <t>K7-11987</t>
  </si>
  <si>
    <t>K7-11988</t>
  </si>
  <si>
    <t>K7-11989</t>
  </si>
  <si>
    <t>K7-11990</t>
  </si>
  <si>
    <t>K7-11991</t>
  </si>
  <si>
    <t>K7-11992</t>
  </si>
  <si>
    <t>K7-11993</t>
  </si>
  <si>
    <t>K7-11994</t>
  </si>
  <si>
    <t>K7-11995</t>
  </si>
  <si>
    <t>K7-11996</t>
  </si>
  <si>
    <t>K7-11997</t>
  </si>
  <si>
    <t>K7-11998</t>
  </si>
  <si>
    <t>K7-11999</t>
  </si>
  <si>
    <t>K7-12000</t>
  </si>
  <si>
    <t>K7&amp;CO  ·  US SALES DASHBOARD  ·  2026</t>
  </si>
  <si>
    <t>Data updated: 31/12/2026</t>
  </si>
  <si>
    <t>Maquette de la page. Les zones se remplissent au fur et à mesure des étapes 5 à 7 : cartes KPI, graphiques croisés, carte par état, puis segments et chronologie.</t>
  </si>
  <si>
    <t>ZONE 2 · Quatre cartes KPI : Total Revenue - Total Orders - Quantity Sold - Average Order Value</t>
  </si>
  <si>
    <t>ZONE 4 : Revenue by Month</t>
  </si>
  <si>
    <t>ZONE 3  :  Carte choroplèthe  - Revenue by State</t>
  </si>
  <si>
    <t>ZONE 5 : Revenue by Product Category</t>
  </si>
  <si>
    <t>ZONE 6  :  Revenue by Sales Channel  +  Top 5 Products</t>
  </si>
  <si>
    <t>Examiner les colonnes</t>
  </si>
  <si>
    <t>Contrôles indispensables</t>
  </si>
  <si>
    <t>Des questions métier au dashboard</t>
  </si>
  <si>
    <t>Colonne</t>
  </si>
  <si>
    <t>Signification</t>
  </si>
  <si>
    <t>Contrôle</t>
  </si>
  <si>
    <t>Pourquoi c'est important</t>
  </si>
  <si>
    <t>Besoin du dashboard</t>
  </si>
  <si>
    <t>Élément du dashboard</t>
  </si>
  <si>
    <t>Colonnes utilisées</t>
  </si>
  <si>
    <t>Référence unique de commande</t>
  </si>
  <si>
    <t>Aucun en-tête de colonne vide</t>
  </si>
  <si>
    <t>Un TCD refuse une colonne sans nom</t>
  </si>
  <si>
    <t>Chiffre d'affaires total</t>
  </si>
  <si>
    <t>Carte KPI Total Revenue</t>
  </si>
  <si>
    <t>Date de la commande</t>
  </si>
  <si>
    <t>Aucune ligne entièrement vide</t>
  </si>
  <si>
    <t>Elle casse la plage de données</t>
  </si>
  <si>
    <t>Nombre de commandes</t>
  </si>
  <si>
    <t>Carte KPI Total Orders</t>
  </si>
  <si>
    <t>État américain de livraison</t>
  </si>
  <si>
    <t>La colonne Date est reconnue comme date</t>
  </si>
  <si>
    <t>Indispensable au groupement et à la chronologie</t>
  </si>
  <si>
    <t>Quantité vendue</t>
  </si>
  <si>
    <t>Carte KPI Total Quantity Sold</t>
  </si>
  <si>
    <t>Zone commerciale : West, South, Midwest, Northeast</t>
  </si>
  <si>
    <t>Revenue et Quantity sont des nombres</t>
  </si>
  <si>
    <t>Indispensable aux sommes</t>
  </si>
  <si>
    <t>Panier moyen</t>
  </si>
  <si>
    <t>Carte KPI Average Order Value</t>
  </si>
  <si>
    <t>Revenue et Order ID</t>
  </si>
  <si>
    <t>Online, Retail Store, Marketplace, Wholesale</t>
  </si>
  <si>
    <t>Orthographe constante des catégories</t>
  </si>
  <si>
    <t>Évite les doublons de libellés</t>
  </si>
  <si>
    <t>Tendance mensuelle</t>
  </si>
  <si>
    <t>Graphique Revenue by Month</t>
  </si>
  <si>
    <t>Date et Revenue</t>
  </si>
  <si>
    <t>Client nouveau ou fidèle</t>
  </si>
  <si>
    <t>Order ID est présent sur chaque ligne</t>
  </si>
  <si>
    <t>Indispensable au comptage des commandes</t>
  </si>
  <si>
    <t>Performance par état</t>
  </si>
  <si>
    <t>Carte choroplèthe Revenue by State</t>
  </si>
  <si>
    <t>State et Revenue</t>
  </si>
  <si>
    <t>Famille de produit</t>
  </si>
  <si>
    <t>Les noms d'état sont écrits en toutes lettres</t>
  </si>
  <si>
    <t>La carte ne reconnaît pas les abréviations</t>
  </si>
  <si>
    <t>Performance par famille</t>
  </si>
  <si>
    <t>Graphique Revenue by Product Category</t>
  </si>
  <si>
    <t>Product Category et Revenue</t>
  </si>
  <si>
    <t>Référence précise</t>
  </si>
  <si>
    <t>Contribution des canaux</t>
  </si>
  <si>
    <t>Graphique Revenue by Sales Channel</t>
  </si>
  <si>
    <t>Sales Channel et Revenue</t>
  </si>
  <si>
    <t>Commercial responsable</t>
  </si>
  <si>
    <t>Meilleurs produits</t>
  </si>
  <si>
    <t>Graphique Top 5 Products by Revenue</t>
  </si>
  <si>
    <t>Product et Revenue</t>
  </si>
  <si>
    <t>Nombre d'articles vendus</t>
  </si>
  <si>
    <t>Prix unitaire</t>
  </si>
  <si>
    <t>Remise accordée</t>
  </si>
  <si>
    <t>Montant final de la vente</t>
  </si>
  <si>
    <t>Le scénario</t>
  </si>
  <si>
    <t>K7&amp;Co vend sa marque de vêtement aux États-Unis. Chaque ligne est une commande. La direction commerciale veut un tableau de bord pour suivre la performance sans parcourir des milliers de lignes ni ouvrir dix TCD l'un après l'autre.</t>
  </si>
  <si>
    <t>Nombre de Order ID</t>
  </si>
  <si>
    <t>Somme de Quantity</t>
  </si>
  <si>
    <t>Panyer_Moyenne</t>
  </si>
  <si>
    <t>Mois_S</t>
  </si>
  <si>
    <t>Étiquettes de lignes</t>
  </si>
  <si>
    <t>août 2026</t>
  </si>
  <si>
    <t>avril 2026</t>
  </si>
  <si>
    <t>décembre 2026</t>
  </si>
  <si>
    <t>février 2026</t>
  </si>
  <si>
    <t>janvier 2026</t>
  </si>
  <si>
    <t>juillet 2026</t>
  </si>
  <si>
    <t>juin 2026</t>
  </si>
  <si>
    <t>mai 2026</t>
  </si>
  <si>
    <t>mars 2026</t>
  </si>
  <si>
    <t>novembre 2026</t>
  </si>
  <si>
    <t>octobre 2026</t>
  </si>
  <si>
    <t>septembre 2026</t>
  </si>
  <si>
    <t>Total général</t>
  </si>
  <si>
    <t>Somme de Revenue</t>
  </si>
  <si>
    <t>Table Relaie</t>
  </si>
  <si>
    <t>Revenu</t>
  </si>
  <si>
    <t>PT06</t>
  </si>
  <si>
    <t>TP05</t>
  </si>
  <si>
    <t>TP06</t>
  </si>
  <si>
    <t>TP09 TOP 5</t>
  </si>
  <si>
    <t>Proucts</t>
  </si>
  <si>
    <t>TP08 Canal</t>
  </si>
  <si>
    <t>Total Revenue</t>
  </si>
  <si>
    <t>Total Orders</t>
  </si>
  <si>
    <t>Total Quantity Sold</t>
  </si>
  <si>
    <t>Avarage Orders Value</t>
  </si>
  <si>
    <t>K7&amp;CO · US SALES DASHBOARD ·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</si>
</sst>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&quot; $&quot;"/>
    <numFmt numFmtId="165" formatCode="#,##0&quot; $&quot;"/>
    <numFmt numFmtId="166" formatCode="_-* #,##0\ _€_-;\-* #,##0\ _€_-;_-* &quot;-&quot;??\ _€_-;_-@_-"/>
  </numFmts>
  <fonts count="17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color rgb="FF1A1A1A"/>
      <name val="Arial"/>
      <family val="2"/>
    </font>
    <font>
      <sz val="22"/>
      <color rgb="FFFFFFFF"/>
      <name val="Arial Black"/>
      <family val="2"/>
    </font>
    <font>
      <sz val="9"/>
      <color rgb="FF767676"/>
      <name val="Arial"/>
      <family val="2"/>
    </font>
    <font>
      <b/>
      <sz val="11"/>
      <color rgb="FF0B2D5C"/>
      <name val="Arial"/>
      <family val="2"/>
    </font>
    <font>
      <i/>
      <sz val="9"/>
      <color rgb="FF767676"/>
      <name val="Arial"/>
      <family val="2"/>
    </font>
    <font>
      <b/>
      <sz val="12"/>
      <color rgb="FFE8871E"/>
      <name val="Arial"/>
      <family val="2"/>
    </font>
    <font>
      <b/>
      <sz val="10"/>
      <color rgb="FF1A1A1A"/>
      <name val="Arial"/>
      <family val="2"/>
    </font>
    <font>
      <b/>
      <sz val="10"/>
      <color rgb="FF0B2D5C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scheme val="minor"/>
    </font>
    <font>
      <sz val="24"/>
      <color theme="1"/>
      <name val="Aptos Narrow"/>
      <scheme val="minor"/>
    </font>
    <font>
      <sz val="36"/>
      <color theme="1"/>
      <name val="Aptos Narrow"/>
      <scheme val="minor"/>
    </font>
    <font>
      <b/>
      <sz val="48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2D5C"/>
        <bgColor rgb="FF1A1A1A"/>
      </patternFill>
    </fill>
    <fill>
      <patternFill patternType="solid">
        <fgColor rgb="FFEAF4FC"/>
        <bgColor rgb="FFF5F6F8"/>
      </patternFill>
    </fill>
    <fill>
      <patternFill patternType="solid">
        <fgColor rgb="FFF5F6F8"/>
        <bgColor rgb="FFEAF4FC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FF3E9BDB"/>
      </left>
      <right style="thin">
        <color rgb="FF3E9BDB"/>
      </right>
      <top style="thin">
        <color rgb="FF3E9BDB"/>
      </top>
      <bottom style="thin">
        <color rgb="FF3E9BDB"/>
      </bottom>
      <diagonal/>
    </border>
    <border>
      <left style="thin">
        <color rgb="FFD9DEE5"/>
      </left>
      <right style="thin">
        <color rgb="FFD9DEE5"/>
      </right>
      <top/>
      <bottom style="thin">
        <color rgb="FFD9DEE5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13" fillId="6" borderId="0" xfId="0" applyFont="1" applyFill="1"/>
    <xf numFmtId="166" fontId="12" fillId="7" borderId="0" xfId="1" applyNumberFormat="1" applyFont="1" applyFill="1"/>
    <xf numFmtId="166" fontId="12" fillId="7" borderId="0" xfId="0" applyNumberFormat="1" applyFont="1" applyFill="1"/>
    <xf numFmtId="0" fontId="0" fillId="6" borderId="0" xfId="0" applyFill="1" applyAlignment="1">
      <alignment horizontal="center"/>
    </xf>
    <xf numFmtId="0" fontId="13" fillId="6" borderId="0" xfId="0" applyFont="1" applyFill="1" applyAlignment="1">
      <alignment horizontal="center"/>
    </xf>
    <xf numFmtId="164" fontId="12" fillId="7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5" fontId="15" fillId="7" borderId="0" xfId="0" applyNumberFormat="1" applyFont="1" applyFill="1" applyAlignment="1">
      <alignment horizontal="center"/>
    </xf>
    <xf numFmtId="0" fontId="0" fillId="0" borderId="0" xfId="0" applyAlignment="1"/>
    <xf numFmtId="0" fontId="5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indent="2"/>
    </xf>
    <xf numFmtId="0" fontId="5" fillId="3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Monétaire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64" formatCode="#,##0.00&quot; $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64" formatCode="#,##0.00&quot; $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9" formatCode="dd/mm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rgb="FFD9DEE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D9DE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A1A1A"/>
          <bgColor rgb="FF0B2D5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9DEE5"/>
        </left>
        <right style="thin">
          <color rgb="FFD9DEE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1/relationships/timelineCache" Target="timelineCaches/timelineCach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par mois</a:t>
            </a:r>
          </a:p>
        </c:rich>
      </c:tx>
      <c:layout>
        <c:manualLayout>
          <c:xMode val="edge"/>
          <c:yMode val="edge"/>
          <c:x val="0.23138888888888889"/>
          <c:y val="0.13786818314377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37800488480606592"/>
          <c:w val="0.6965853018372703"/>
          <c:h val="0.3560899679206766"/>
        </c:manualLayout>
      </c:layout>
      <c:lineChart>
        <c:grouping val="standard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Feuil1!$I$2:$I$14</c:f>
              <c:strCache>
                <c:ptCount val="12"/>
                <c:pt idx="0">
                  <c:v>septembre 2026</c:v>
                </c:pt>
                <c:pt idx="1">
                  <c:v>octobre 2026</c:v>
                </c:pt>
                <c:pt idx="2">
                  <c:v>novembre 2026</c:v>
                </c:pt>
                <c:pt idx="3">
                  <c:v>mars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janvier 2026</c:v>
                </c:pt>
                <c:pt idx="8">
                  <c:v>février 2026</c:v>
                </c:pt>
                <c:pt idx="9">
                  <c:v>décembre 2026</c:v>
                </c:pt>
                <c:pt idx="10">
                  <c:v>avril 2026</c:v>
                </c:pt>
                <c:pt idx="11">
                  <c:v>août 2026</c:v>
                </c:pt>
              </c:strCache>
            </c:strRef>
          </c:cat>
          <c:val>
            <c:numRef>
              <c:f>Feuil1!$J$2:$J$14</c:f>
              <c:numCache>
                <c:formatCode>General</c:formatCode>
                <c:ptCount val="12"/>
                <c:pt idx="0">
                  <c:v>74333.25</c:v>
                </c:pt>
                <c:pt idx="1">
                  <c:v>68824.510000000038</c:v>
                </c:pt>
                <c:pt idx="2">
                  <c:v>85843.080000000016</c:v>
                </c:pt>
                <c:pt idx="3">
                  <c:v>71674.610000000059</c:v>
                </c:pt>
                <c:pt idx="4">
                  <c:v>49895.08</c:v>
                </c:pt>
                <c:pt idx="5">
                  <c:v>51131.759999999995</c:v>
                </c:pt>
                <c:pt idx="6">
                  <c:v>47550.55</c:v>
                </c:pt>
                <c:pt idx="7">
                  <c:v>30506.070000000007</c:v>
                </c:pt>
                <c:pt idx="8">
                  <c:v>40702.869999999988</c:v>
                </c:pt>
                <c:pt idx="9">
                  <c:v>54260.750000000022</c:v>
                </c:pt>
                <c:pt idx="10">
                  <c:v>75196.339999999982</c:v>
                </c:pt>
                <c:pt idx="11">
                  <c:v>61942.110000000022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7-436F-B849-B74CD8AC14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98247471"/>
        <c:axId val="1198244143"/>
      </c:lineChart>
      <c:catAx>
        <c:axId val="11982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244143"/>
        <c:crosses val="autoZero"/>
        <c:auto val="1"/>
        <c:lblAlgn val="ctr"/>
        <c:lblOffset val="100"/>
        <c:noMultiLvlLbl val="0"/>
      </c:catAx>
      <c:valAx>
        <c:axId val="119824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82474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Revenue Par Sales Canal</a:t>
            </a:r>
          </a:p>
        </c:rich>
      </c:tx>
      <c:layout>
        <c:manualLayout>
          <c:xMode val="edge"/>
          <c:yMode val="edge"/>
          <c:x val="0.28426377952755905"/>
          <c:y val="0.19342373869932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24759405074369"/>
          <c:y val="0.37800488480606592"/>
          <c:w val="0.73578937007874012"/>
          <c:h val="0.53774387576552929"/>
        </c:manualLayout>
      </c:layout>
      <c:doughnutChart>
        <c:varyColors val="1"/>
        <c:ser>
          <c:idx val="0"/>
          <c:order val="0"/>
          <c:tx>
            <c:strRef>
              <c:f>Feuil1!$E$20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8C-4AEE-AFA8-560A0B1325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8C-4AEE-AFA8-560A0B1325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8C-4AEE-AFA8-560A0B1325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8C-4AEE-AFA8-560A0B1325DD}"/>
              </c:ext>
            </c:extLst>
          </c:dPt>
          <c:cat>
            <c:strRef>
              <c:f>Feuil1!$D$21:$D$25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  <c:pt idx="3">
                  <c:v>Wholesale</c:v>
                </c:pt>
              </c:strCache>
            </c:strRef>
          </c:cat>
          <c:val>
            <c:numRef>
              <c:f>Feuil1!$E$21:$E$25</c:f>
              <c:numCache>
                <c:formatCode>General</c:formatCode>
                <c:ptCount val="4"/>
                <c:pt idx="0">
                  <c:v>126591.54999999997</c:v>
                </c:pt>
                <c:pt idx="1">
                  <c:v>292926.01999999949</c:v>
                </c:pt>
                <c:pt idx="2">
                  <c:v>220356.56999999989</c:v>
                </c:pt>
                <c:pt idx="3">
                  <c:v>71986.84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9D4-AA5C-0E54E5E83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Par Category</a:t>
            </a:r>
          </a:p>
        </c:rich>
      </c:tx>
      <c:layout>
        <c:manualLayout>
          <c:xMode val="edge"/>
          <c:yMode val="edge"/>
          <c:x val="0.33522900262467192"/>
          <c:y val="8.2312627588218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Feuil1!$D$8:$D$14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Footwear</c:v>
                </c:pt>
                <c:pt idx="4">
                  <c:v>Outerwear</c:v>
                </c:pt>
                <c:pt idx="5">
                  <c:v>Tops</c:v>
                </c:pt>
              </c:strCache>
            </c:strRef>
          </c:cat>
          <c:val>
            <c:numRef>
              <c:f>Feuil1!$E$8:$E$14</c:f>
              <c:numCache>
                <c:formatCode>General</c:formatCode>
                <c:ptCount val="6"/>
                <c:pt idx="0">
                  <c:v>30931.439999999991</c:v>
                </c:pt>
                <c:pt idx="1">
                  <c:v>105617.31000000003</c:v>
                </c:pt>
                <c:pt idx="2">
                  <c:v>98639.760000000038</c:v>
                </c:pt>
                <c:pt idx="3">
                  <c:v>155346.47</c:v>
                </c:pt>
                <c:pt idx="4">
                  <c:v>250203.27000000008</c:v>
                </c:pt>
                <c:pt idx="5">
                  <c:v>71122.730000000054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5-4214-AED5-83EE255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528031"/>
        <c:axId val="1207528447"/>
      </c:barChart>
      <c:catAx>
        <c:axId val="1207528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447"/>
        <c:crosses val="autoZero"/>
        <c:auto val="1"/>
        <c:lblAlgn val="ctr"/>
        <c:lblOffset val="100"/>
        <c:noMultiLvlLbl val="0"/>
      </c:catAx>
      <c:valAx>
        <c:axId val="12075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2800"/>
              <a:t>Revenue Par Sales Canal</a:t>
            </a:r>
          </a:p>
        </c:rich>
      </c:tx>
      <c:layout>
        <c:manualLayout>
          <c:xMode val="edge"/>
          <c:yMode val="edge"/>
          <c:x val="0.3013578751374027"/>
          <c:y val="0.15175707203266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24759405074369"/>
          <c:y val="0.37800488480606592"/>
          <c:w val="0.73578937007874012"/>
          <c:h val="0.53774387576552929"/>
        </c:manualLayout>
      </c:layout>
      <c:doughnutChart>
        <c:varyColors val="1"/>
        <c:ser>
          <c:idx val="0"/>
          <c:order val="0"/>
          <c:tx>
            <c:strRef>
              <c:f>Feuil1!$E$20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F-4217-AD73-CAFCBC306D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4F-4217-AD73-CAFCBC306D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4F-4217-AD73-CAFCBC306D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4F-4217-AD73-CAFCBC306D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Feuil1!$D$21:$D$25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  <c:pt idx="3">
                  <c:v>Wholesale</c:v>
                </c:pt>
              </c:strCache>
            </c:strRef>
          </c:cat>
          <c:val>
            <c:numRef>
              <c:f>Feuil1!$E$21:$E$25</c:f>
              <c:numCache>
                <c:formatCode>General</c:formatCode>
                <c:ptCount val="4"/>
                <c:pt idx="0">
                  <c:v>126591.54999999997</c:v>
                </c:pt>
                <c:pt idx="1">
                  <c:v>292926.01999999949</c:v>
                </c:pt>
                <c:pt idx="2">
                  <c:v>220356.56999999989</c:v>
                </c:pt>
                <c:pt idx="3">
                  <c:v>71986.84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4F-4217-AD73-CAFCBC306D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76200" dist="38100" dir="2700000" algn="tl" rotWithShape="0">
        <a:prstClr val="black">
          <a:alpha val="42000"/>
        </a:prstClr>
      </a:outerShdw>
    </a:effectLst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/>
              <a:t>Revenue Par Category</a:t>
            </a:r>
          </a:p>
        </c:rich>
      </c:tx>
      <c:layout>
        <c:manualLayout>
          <c:xMode val="edge"/>
          <c:yMode val="edge"/>
          <c:x val="0.33522900262467192"/>
          <c:y val="8.2312627588218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Feuil1!$D$8:$D$14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Footwear</c:v>
                </c:pt>
                <c:pt idx="4">
                  <c:v>Outerwear</c:v>
                </c:pt>
                <c:pt idx="5">
                  <c:v>Tops</c:v>
                </c:pt>
              </c:strCache>
            </c:strRef>
          </c:cat>
          <c:val>
            <c:numRef>
              <c:f>Feuil1!$E$8:$E$14</c:f>
              <c:numCache>
                <c:formatCode>General</c:formatCode>
                <c:ptCount val="6"/>
                <c:pt idx="0">
                  <c:v>30931.439999999991</c:v>
                </c:pt>
                <c:pt idx="1">
                  <c:v>105617.31000000003</c:v>
                </c:pt>
                <c:pt idx="2">
                  <c:v>98639.760000000038</c:v>
                </c:pt>
                <c:pt idx="3">
                  <c:v>155346.47</c:v>
                </c:pt>
                <c:pt idx="4">
                  <c:v>250203.27000000008</c:v>
                </c:pt>
                <c:pt idx="5">
                  <c:v>71122.730000000054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7-4BB4-876B-E5537D8C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528031"/>
        <c:axId val="1207528447"/>
      </c:barChart>
      <c:catAx>
        <c:axId val="1207528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447"/>
        <c:crosses val="autoZero"/>
        <c:auto val="1"/>
        <c:lblAlgn val="ctr"/>
        <c:lblOffset val="100"/>
        <c:noMultiLvlLbl val="0"/>
      </c:catAx>
      <c:valAx>
        <c:axId val="1207528447"/>
        <c:scaling>
          <c:orientation val="minMax"/>
          <c:min val="200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075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[DASHBOARD_BALKIS.xlsx]Feuil1!Tableau croisé dynamique4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4000">
                <a:solidFill>
                  <a:schemeClr val="tx1"/>
                </a:solidFill>
              </a:rPr>
              <a:t>Evaluation par mois</a:t>
            </a:r>
          </a:p>
        </c:rich>
      </c:tx>
      <c:layout>
        <c:manualLayout>
          <c:xMode val="edge"/>
          <c:yMode val="edge"/>
          <c:x val="0.23138888888888889"/>
          <c:y val="0.13786818314377366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37800488480606592"/>
          <c:w val="0.6965853018372703"/>
          <c:h val="0.3560899679206766"/>
        </c:manualLayout>
      </c:layout>
      <c:lineChart>
        <c:grouping val="standard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Feuil1!$I$2:$I$14</c:f>
              <c:strCache>
                <c:ptCount val="12"/>
                <c:pt idx="0">
                  <c:v>septembre 2026</c:v>
                </c:pt>
                <c:pt idx="1">
                  <c:v>octobre 2026</c:v>
                </c:pt>
                <c:pt idx="2">
                  <c:v>novembre 2026</c:v>
                </c:pt>
                <c:pt idx="3">
                  <c:v>mars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janvier 2026</c:v>
                </c:pt>
                <c:pt idx="8">
                  <c:v>février 2026</c:v>
                </c:pt>
                <c:pt idx="9">
                  <c:v>décembre 2026</c:v>
                </c:pt>
                <c:pt idx="10">
                  <c:v>avril 2026</c:v>
                </c:pt>
                <c:pt idx="11">
                  <c:v>août 2026</c:v>
                </c:pt>
              </c:strCache>
            </c:strRef>
          </c:cat>
          <c:val>
            <c:numRef>
              <c:f>Feuil1!$J$2:$J$14</c:f>
              <c:numCache>
                <c:formatCode>General</c:formatCode>
                <c:ptCount val="12"/>
                <c:pt idx="0">
                  <c:v>74333.25</c:v>
                </c:pt>
                <c:pt idx="1">
                  <c:v>68824.510000000038</c:v>
                </c:pt>
                <c:pt idx="2">
                  <c:v>85843.080000000016</c:v>
                </c:pt>
                <c:pt idx="3">
                  <c:v>71674.610000000059</c:v>
                </c:pt>
                <c:pt idx="4">
                  <c:v>49895.08</c:v>
                </c:pt>
                <c:pt idx="5">
                  <c:v>51131.759999999995</c:v>
                </c:pt>
                <c:pt idx="6">
                  <c:v>47550.55</c:v>
                </c:pt>
                <c:pt idx="7">
                  <c:v>30506.070000000007</c:v>
                </c:pt>
                <c:pt idx="8">
                  <c:v>40702.869999999988</c:v>
                </c:pt>
                <c:pt idx="9">
                  <c:v>54260.750000000022</c:v>
                </c:pt>
                <c:pt idx="10">
                  <c:v>75196.339999999982</c:v>
                </c:pt>
                <c:pt idx="11">
                  <c:v>61942.110000000022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1-49A5-9F8B-E329F53736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98247471"/>
        <c:axId val="1198244143"/>
      </c:lineChart>
      <c:catAx>
        <c:axId val="11982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244143"/>
        <c:crosses val="autoZero"/>
        <c:auto val="1"/>
        <c:lblAlgn val="ctr"/>
        <c:lblOffset val="100"/>
        <c:noMultiLvlLbl val="0"/>
      </c:catAx>
      <c:valAx>
        <c:axId val="119824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82474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>
          <a:outerShdw blurRad="50800" dist="88900" dir="5400000" sx="35000" sy="35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F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TOP 5 PRUDUCTS</a:t>
            </a:r>
          </a:p>
          <a:p>
            <a:pPr algn="ctr" rtl="0">
              <a:defRPr/>
            </a:pPr>
            <a:endPara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plotSurface>
          <cx:spPr>
            <a:ln w="6350">
              <a:solidFill>
                <a:schemeClr val="accent1"/>
              </a:solidFill>
            </a:ln>
          </cx:spPr>
        </cx:plotSurface>
        <cx:series layoutId="clusteredColumn" uniqueId="{8CB1E9EE-028B-4C5F-8469-48AACF1B19DE}">
          <cx:tx>
            <cx:txData>
              <cx:f>_xlchart.v1.1</cx:f>
              <cx:v>Revenue</cx:v>
            </cx:txData>
          </cx:tx>
          <cx:dataId val="0"/>
          <cx:layoutPr>
            <cx:aggregation/>
          </cx:layoutPr>
        </cx:series>
      </cx:plotAreaRegion>
      <cx:axis id="0">
        <cx:catScaling gapWidth="0.180000007"/>
        <cx:tickLabels/>
      </cx:axis>
      <cx:axis id="1">
        <cx:valScaling min="10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Top 5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4000" b="1"/>
          </a:pPr>
          <a:r>
            <a:rPr lang="fr-FR" sz="4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5 Products</a:t>
          </a:r>
        </a:p>
      </cx:txPr>
    </cx:title>
    <cx:plotArea>
      <cx:plotAreaRegion>
        <cx:plotSurface>
          <cx:spPr>
            <a:ln w="6350">
              <a:solidFill>
                <a:schemeClr val="accent1"/>
              </a:solidFill>
            </a:ln>
          </cx:spPr>
        </cx:plotSurface>
        <cx:series layoutId="clusteredColumn" uniqueId="{8CB1E9EE-028B-4C5F-8469-48AACF1B19DE}">
          <cx:tx>
            <cx:txData>
              <cx:f>_xlchart.v1.4</cx:f>
              <cx:v>Revenue</cx:v>
            </cx:txData>
          </cx:tx>
          <cx:dataId val="0"/>
          <cx:layoutPr>
            <cx:aggregation/>
          </cx:layoutPr>
        </cx:series>
      </cx:plotAreaRegion>
      <cx:axis id="0">
        <cx:catScaling gapWidth="0.18000000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fr-F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in="10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fr-F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1002030</xdr:colOff>
      <xdr:row>60</xdr:row>
      <xdr:rowOff>91440</xdr:rowOff>
    </xdr:from>
    <xdr:to>
      <xdr:col>9</xdr:col>
      <xdr:colOff>19050</xdr:colOff>
      <xdr:row>76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FD67913C-EE38-4C88-B59A-684D48175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0870" y="106070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735330</xdr:colOff>
      <xdr:row>61</xdr:row>
      <xdr:rowOff>0</xdr:rowOff>
    </xdr:from>
    <xdr:to>
      <xdr:col>3</xdr:col>
      <xdr:colOff>1449270</xdr:colOff>
      <xdr:row>77</xdr:row>
      <xdr:rowOff>75840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F3646A-F5E4-4315-9BF5-8F8F5D890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674370</xdr:colOff>
      <xdr:row>80</xdr:row>
      <xdr:rowOff>114300</xdr:rowOff>
    </xdr:from>
    <xdr:to>
      <xdr:col>3</xdr:col>
      <xdr:colOff>842010</xdr:colOff>
      <xdr:row>96</xdr:row>
      <xdr:rowOff>53340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E1B7CDC-7123-44EB-ABCA-B697FD193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1123950</xdr:colOff>
      <xdr:row>80</xdr:row>
      <xdr:rowOff>76200</xdr:rowOff>
    </xdr:from>
    <xdr:to>
      <xdr:col>9</xdr:col>
      <xdr:colOff>140970</xdr:colOff>
      <xdr:row>96</xdr:row>
      <xdr:rowOff>15240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A8928C5-0BE2-40A2-8A9F-0A64F3B8E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220980</xdr:colOff>
      <xdr:row>94</xdr:row>
      <xdr:rowOff>83820</xdr:rowOff>
    </xdr:from>
    <xdr:to>
      <xdr:col>4</xdr:col>
      <xdr:colOff>1135380</xdr:colOff>
      <xdr:row>99</xdr:row>
      <xdr:rowOff>121920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500EEC6-D4CB-40C1-B036-AA29CAB521A9}"/>
            </a:ext>
          </a:extLst>
        </xdr:cNvPr>
        <xdr:cNvSpPr/>
      </xdr:nvSpPr>
      <xdr:spPr>
        <a:xfrm>
          <a:off x="6065520" y="1655826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0.98629</cdr:x>
      <cdr:y>0.98413</cdr:y>
    </cdr:from>
    <cdr:to>
      <cdr:x>1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D14A90D-CC25-4171-8A83-8612DCE315EE}"/>
            </a:ext>
          </a:extLst>
        </cdr:cNvPr>
        <cdr:cNvSpPr txBox="1"/>
      </cdr:nvSpPr>
      <cdr:spPr>
        <a:xfrm xmlns:a="http://schemas.openxmlformats.org/drawingml/2006/main">
          <a:off x="5048250" y="2903220"/>
          <a:ext cx="68580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LID4096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10</xdr:row>
      <xdr:rowOff>30480</xdr:rowOff>
    </xdr:from>
    <xdr:to>
      <xdr:col>28</xdr:col>
      <xdr:colOff>121920</xdr:colOff>
      <xdr:row>20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1">
              <a:extLst>
                <a:ext uri="{FF2B5EF4-FFF2-40B4-BE49-F238E27FC236}">
                  <a16:creationId xmlns:a16="http://schemas.microsoft.com/office/drawing/2014/main" id="{0386FA37-3FA1-4410-8B15-673A5332B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0" y="1744980"/>
              <a:ext cx="6598920" cy="1699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10</xdr:row>
      <xdr:rowOff>133350</xdr:rowOff>
    </xdr:from>
    <xdr:to>
      <xdr:col>4</xdr:col>
      <xdr:colOff>838200</xdr:colOff>
      <xdr:row>22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E8704F85-6E2F-4151-932F-30447EDA89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0" y="1847850"/>
              <a:ext cx="4495800" cy="2019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502920</xdr:colOff>
      <xdr:row>10</xdr:row>
      <xdr:rowOff>167640</xdr:rowOff>
    </xdr:from>
    <xdr:to>
      <xdr:col>10</xdr:col>
      <xdr:colOff>457200</xdr:colOff>
      <xdr:row>23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ales Channel">
              <a:extLst>
                <a:ext uri="{FF2B5EF4-FFF2-40B4-BE49-F238E27FC236}">
                  <a16:creationId xmlns:a16="http://schemas.microsoft.com/office/drawing/2014/main" id="{1C18F09B-E40A-41F8-81CE-E1D695CE2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5020" y="1882140"/>
              <a:ext cx="5326380" cy="2080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213360</xdr:colOff>
      <xdr:row>10</xdr:row>
      <xdr:rowOff>91440</xdr:rowOff>
    </xdr:from>
    <xdr:to>
      <xdr:col>15</xdr:col>
      <xdr:colOff>381000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ustomer Type">
              <a:extLst>
                <a:ext uri="{FF2B5EF4-FFF2-40B4-BE49-F238E27FC236}">
                  <a16:creationId xmlns:a16="http://schemas.microsoft.com/office/drawing/2014/main" id="{C571796D-E294-4FAC-8817-BEEE7865E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14810" y="1805940"/>
              <a:ext cx="3596640" cy="1447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716280</xdr:colOff>
      <xdr:row>10</xdr:row>
      <xdr:rowOff>106681</xdr:rowOff>
    </xdr:from>
    <xdr:to>
      <xdr:col>19</xdr:col>
      <xdr:colOff>624840</xdr:colOff>
      <xdr:row>22</xdr:row>
      <xdr:rowOff>15241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 Category">
              <a:extLst>
                <a:ext uri="{FF2B5EF4-FFF2-40B4-BE49-F238E27FC236}">
                  <a16:creationId xmlns:a16="http://schemas.microsoft.com/office/drawing/2014/main" id="{8A20147E-2D83-4750-BB49-7E9CFA309A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6730" y="1821181"/>
              <a:ext cx="4309110" cy="196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15</xdr:col>
      <xdr:colOff>1809750</xdr:colOff>
      <xdr:row>43</xdr:row>
      <xdr:rowOff>152400</xdr:rowOff>
    </xdr:from>
    <xdr:to>
      <xdr:col>30</xdr:col>
      <xdr:colOff>819150</xdr:colOff>
      <xdr:row>75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86F8C5-27EC-4EF9-9BE4-3EF67E90307E}"/>
            </a:ext>
          </a:extLst>
        </xdr:cNvPr>
        <xdr:cNvSpPr/>
      </xdr:nvSpPr>
      <xdr:spPr>
        <a:xfrm>
          <a:off x="16840200" y="9867900"/>
          <a:ext cx="13315950" cy="5429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</xdr:col>
      <xdr:colOff>323850</xdr:colOff>
      <xdr:row>47</xdr:row>
      <xdr:rowOff>95250</xdr:rowOff>
    </xdr:from>
    <xdr:to>
      <xdr:col>9</xdr:col>
      <xdr:colOff>419100</xdr:colOff>
      <xdr:row>78</xdr:row>
      <xdr:rowOff>133350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64787E5-14A7-4012-8926-BB4A2C4F6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89</xdr:row>
      <xdr:rowOff>0</xdr:rowOff>
    </xdr:from>
    <xdr:to>
      <xdr:col>10</xdr:col>
      <xdr:colOff>114300</xdr:colOff>
      <xdr:row>115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8DD3989D-3AB6-46A8-B694-5C624999AF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6880" y="17899380"/>
              <a:ext cx="9121140" cy="4594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990600</xdr:colOff>
      <xdr:row>85</xdr:row>
      <xdr:rowOff>38100</xdr:rowOff>
    </xdr:from>
    <xdr:to>
      <xdr:col>27</xdr:col>
      <xdr:colOff>800100</xdr:colOff>
      <xdr:row>118</xdr:row>
      <xdr:rowOff>152400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B77FEC8E-4884-44E4-955F-9A578447D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247650</xdr:colOff>
      <xdr:row>47</xdr:row>
      <xdr:rowOff>152400</xdr:rowOff>
    </xdr:from>
    <xdr:to>
      <xdr:col>30</xdr:col>
      <xdr:colOff>781050</xdr:colOff>
      <xdr:row>78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7C973C80-C2E8-4523-A6FD-1413D3A07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0.98629</cdr:x>
      <cdr:y>0.98413</cdr:y>
    </cdr:from>
    <cdr:to>
      <cdr:x>1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D14A90D-CC25-4171-8A83-8612DCE315EE}"/>
            </a:ext>
          </a:extLst>
        </cdr:cNvPr>
        <cdr:cNvSpPr txBox="1"/>
      </cdr:nvSpPr>
      <cdr:spPr>
        <a:xfrm xmlns:a="http://schemas.openxmlformats.org/drawingml/2006/main">
          <a:off x="5048250" y="2903220"/>
          <a:ext cx="68580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LID4096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barak" refreshedDate="46302.417730208334" createdVersion="7" refreshedVersion="7" minRefreshableVersion="3" recordCount="2000" xr:uid="{F442C730-AA28-4D52-8CA7-13E9B719493A}">
  <cacheSource type="worksheet">
    <worksheetSource name="Tableau2"/>
  </cacheSource>
  <cacheFields count="14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/>
    </cacheField>
    <cacheField name="State" numFmtId="0">
      <sharedItems/>
    </cacheField>
    <cacheField name="Region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Salesperson" numFmtId="0">
      <sharedItems/>
    </cacheField>
    <cacheField name="Quantity" numFmtId="3">
      <sharedItems containsSemiMixedTypes="0" containsString="0" containsNumber="1" containsInteger="1" minValue="1" maxValue="18"/>
    </cacheField>
    <cacheField name="Unit Price" numFmtId="164">
      <sharedItems containsSemiMixedTypes="0" containsString="0" containsNumber="1" minValue="23.94" maxValue="318.56"/>
    </cacheField>
    <cacheField name="Discount" numFmtId="9">
      <sharedItems containsSemiMixedTypes="0" containsString="0" containsNumber="1" minValue="0" maxValue="0.3"/>
    </cacheField>
    <cacheField name="Revenue" numFmtId="164">
      <sharedItems containsSemiMixedTypes="0" containsString="0" containsNumber="1" minValue="19.329999999999998" maxValue="3687.36"/>
    </cacheField>
    <cacheField name="CA" numFmtId="0">
      <sharedItems containsSemiMixedTypes="0" containsString="0" containsNumber="1" minValue="24.08" maxValue="3891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barak" refreshedDate="46302.460045949076" createdVersion="7" refreshedVersion="7" minRefreshableVersion="3" recordCount="2000" xr:uid="{E48590BB-C155-40E5-85C2-7B77F02153CA}">
  <cacheSource type="worksheet">
    <worksheetSource ref="A1:P2001" sheet="Sales_data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 count="364">
        <d v="2026-12-28T00:00:00"/>
        <d v="2026-03-21T00:00:00"/>
        <d v="2026-12-21T00:00:00"/>
        <d v="2026-03-06T00:00:00"/>
        <d v="2026-10-11T00:00:00"/>
        <d v="2026-09-14T00:00:00"/>
        <d v="2026-08-06T00:00:00"/>
        <d v="2026-11-14T00:00:00"/>
        <d v="2026-04-21T00:00:00"/>
        <d v="2026-01-16T00:00:00"/>
        <d v="2026-11-23T00:00:00"/>
        <d v="2026-02-12T00:00:00"/>
        <d v="2026-12-22T00:00:00"/>
        <d v="2026-08-25T00:00:00"/>
        <d v="2026-11-24T00:00:00"/>
        <d v="2026-06-29T00:00:00"/>
        <d v="2026-09-15T00:00:00"/>
        <d v="2026-02-10T00:00:00"/>
        <d v="2026-05-12T00:00:00"/>
        <d v="2026-03-15T00:00:00"/>
        <d v="2026-11-05T00:00:00"/>
        <d v="2026-06-11T00:00:00"/>
        <d v="2026-09-26T00:00:00"/>
        <d v="2026-01-11T00:00:00"/>
        <d v="2026-01-09T00:00:00"/>
        <d v="2026-08-14T00:00:00"/>
        <d v="2026-02-17T00:00:00"/>
        <d v="2026-10-23T00:00:00"/>
        <d v="2026-12-02T00:00:00"/>
        <d v="2026-07-30T00:00:00"/>
        <d v="2026-09-07T00:00:00"/>
        <d v="2026-03-26T00:00:00"/>
        <d v="2026-06-18T00:00:00"/>
        <d v="2026-06-05T00:00:00"/>
        <d v="2026-08-28T00:00:00"/>
        <d v="2026-07-15T00:00:00"/>
        <d v="2026-10-10T00:00:00"/>
        <d v="2026-05-16T00:00:00"/>
        <d v="2026-09-29T00:00:00"/>
        <d v="2026-11-13T00:00:00"/>
        <d v="2026-02-05T00:00:00"/>
        <d v="2026-08-03T00:00:00"/>
        <d v="2026-06-19T00:00:00"/>
        <d v="2026-11-02T00:00:00"/>
        <d v="2026-04-15T00:00:00"/>
        <d v="2026-04-08T00:00:00"/>
        <d v="2026-08-30T00:00:00"/>
        <d v="2026-10-01T00:00:00"/>
        <d v="2026-01-19T00:00:00"/>
        <d v="2026-08-08T00:00:00"/>
        <d v="2026-07-11T00:00:00"/>
        <d v="2026-09-09T00:00:00"/>
        <d v="2026-02-13T00:00:00"/>
        <d v="2026-12-13T00:00:00"/>
        <d v="2026-03-12T00:00:00"/>
        <d v="2026-07-14T00:00:00"/>
        <d v="2026-03-25T00:00:00"/>
        <d v="2026-03-19T00:00:00"/>
        <d v="2026-01-03T00:00:00"/>
        <d v="2026-07-12T00:00:00"/>
        <d v="2026-05-03T00:00:00"/>
        <d v="2026-01-02T00:00:00"/>
        <d v="2026-12-11T00:00:00"/>
        <d v="2026-09-23T00:00:00"/>
        <d v="2026-02-16T00:00:00"/>
        <d v="2026-08-22T00:00:00"/>
        <d v="2026-06-28T00:00:00"/>
        <d v="2026-10-19T00:00:00"/>
        <d v="2026-09-22T00:00:00"/>
        <d v="2026-03-16T00:00:00"/>
        <d v="2026-02-22T00:00:00"/>
        <d v="2026-01-05T00:00:00"/>
        <d v="2026-02-14T00:00:00"/>
        <d v="2026-05-17T00:00:00"/>
        <d v="2026-11-27T00:00:00"/>
        <d v="2026-02-28T00:00:00"/>
        <d v="2026-08-02T00:00:00"/>
        <d v="2026-06-04T00:00:00"/>
        <d v="2026-10-02T00:00:00"/>
        <d v="2026-07-04T00:00:00"/>
        <d v="2026-10-18T00:00:00"/>
        <d v="2026-10-08T00:00:00"/>
        <d v="2026-04-04T00:00:00"/>
        <d v="2026-06-02T00:00:00"/>
        <d v="2026-05-30T00:00:00"/>
        <d v="2026-02-25T00:00:00"/>
        <d v="2026-12-04T00:00:00"/>
        <d v="2026-07-21T00:00:00"/>
        <d v="2026-04-17T00:00:00"/>
        <d v="2026-11-06T00:00:00"/>
        <d v="2026-09-05T00:00:00"/>
        <d v="2026-08-29T00:00:00"/>
        <d v="2026-09-21T00:00:00"/>
        <d v="2026-10-24T00:00:00"/>
        <d v="2026-04-09T00:00:00"/>
        <d v="2026-09-10T00:00:00"/>
        <d v="2026-09-12T00:00:00"/>
        <d v="2026-02-08T00:00:00"/>
        <d v="2026-10-26T00:00:00"/>
        <d v="2026-07-06T00:00:00"/>
        <d v="2026-11-09T00:00:00"/>
        <d v="2026-07-16T00:00:00"/>
        <d v="2026-04-18T00:00:00"/>
        <d v="2026-09-01T00:00:00"/>
        <d v="2026-08-05T00:00:00"/>
        <d v="2026-07-10T00:00:00"/>
        <d v="2026-05-27T00:00:00"/>
        <d v="2026-02-03T00:00:00"/>
        <d v="2026-04-10T00:00:00"/>
        <d v="2026-12-29T00:00:00"/>
        <d v="2026-03-02T00:00:00"/>
        <d v="2026-07-02T00:00:00"/>
        <d v="2026-10-14T00:00:00"/>
        <d v="2026-02-09T00:00:00"/>
        <d v="2026-02-07T00:00:00"/>
        <d v="2026-08-09T00:00:00"/>
        <d v="2026-06-20T00:00:00"/>
        <d v="2026-03-29T00:00:00"/>
        <d v="2026-11-10T00:00:00"/>
        <d v="2026-06-24T00:00:00"/>
        <d v="2026-03-10T00:00:00"/>
        <d v="2026-05-08T00:00:00"/>
        <d v="2026-07-01T00:00:00"/>
        <d v="2026-06-23T00:00:00"/>
        <d v="2026-05-18T00:00:00"/>
        <d v="2026-04-03T00:00:00"/>
        <d v="2026-01-22T00:00:00"/>
        <d v="2026-03-23T00:00:00"/>
        <d v="2026-01-20T00:00:00"/>
        <d v="2026-05-21T00:00:00"/>
        <d v="2026-06-22T00:00:00"/>
        <d v="2026-01-14T00:00:00"/>
        <d v="2026-01-30T00:00:00"/>
        <d v="2026-03-14T00:00:00"/>
        <d v="2026-03-28T00:00:00"/>
        <d v="2026-08-18T00:00:00"/>
        <d v="2026-12-15T00:00:00"/>
        <d v="2026-05-20T00:00:00"/>
        <d v="2026-03-01T00:00:00"/>
        <d v="2026-01-15T00:00:00"/>
        <d v="2026-10-15T00:00:00"/>
        <d v="2026-01-12T00:00:00"/>
        <d v="2026-06-27T00:00:00"/>
        <d v="2026-05-04T00:00:00"/>
        <d v="2026-07-24T00:00:00"/>
        <d v="2026-09-13T00:00:00"/>
        <d v="2026-04-13T00:00:00"/>
        <d v="2026-08-16T00:00:00"/>
        <d v="2026-12-08T00:00:00"/>
        <d v="2026-10-16T00:00:00"/>
        <d v="2026-12-30T00:00:00"/>
        <d v="2026-07-29T00:00:00"/>
        <d v="2026-02-15T00:00:00"/>
        <d v="2026-08-11T00:00:00"/>
        <d v="2026-10-12T00:00:00"/>
        <d v="2026-05-05T00:00:00"/>
        <d v="2026-01-21T00:00:00"/>
        <d v="2026-04-06T00:00:00"/>
        <d v="2026-02-06T00:00:00"/>
        <d v="2026-05-19T00:00:00"/>
        <d v="2026-01-08T00:00:00"/>
        <d v="2026-03-13T00:00:00"/>
        <d v="2026-05-15T00:00:00"/>
        <d v="2026-05-28T00:00:00"/>
        <d v="2026-06-01T00:00:00"/>
        <d v="2026-03-24T00:00:00"/>
        <d v="2026-02-02T00:00:00"/>
        <d v="2026-04-19T00:00:00"/>
        <d v="2026-06-07T00:00:00"/>
        <d v="2026-04-28T00:00:00"/>
        <d v="2026-12-16T00:00:00"/>
        <d v="2026-06-14T00:00:00"/>
        <d v="2026-02-01T00:00:00"/>
        <d v="2026-05-09T00:00:00"/>
        <d v="2026-02-21T00:00:00"/>
        <d v="2026-07-20T00:00:00"/>
        <d v="2026-11-21T00:00:00"/>
        <d v="2026-04-22T00:00:00"/>
        <d v="2026-10-20T00:00:00"/>
        <d v="2026-11-28T00:00:00"/>
        <d v="2026-06-03T00:00:00"/>
        <d v="2026-08-20T00:00:00"/>
        <d v="2026-04-01T00:00:00"/>
        <d v="2026-08-24T00:00:00"/>
        <d v="2026-05-07T00:00:00"/>
        <d v="2026-07-27T00:00:00"/>
        <d v="2026-01-10T00:00:00"/>
        <d v="2026-09-08T00:00:00"/>
        <d v="2026-09-18T00:00:00"/>
        <d v="2026-07-25T00:00:00"/>
        <d v="2026-04-14T00:00:00"/>
        <d v="2026-11-12T00:00:00"/>
        <d v="2026-06-12T00:00:00"/>
        <d v="2026-06-13T00:00:00"/>
        <d v="2026-07-03T00:00:00"/>
        <d v="2026-09-30T00:00:00"/>
        <d v="2026-12-14T00:00:00"/>
        <d v="2026-01-31T00:00:00"/>
        <d v="2026-10-03T00:00:00"/>
        <d v="2026-03-17T00:00:00"/>
        <d v="2026-12-07T00:00:00"/>
        <d v="2026-04-07T00:00:00"/>
        <d v="2026-03-07T00:00:00"/>
        <d v="2026-12-06T00:00:00"/>
        <d v="2026-01-25T00:00:00"/>
        <d v="2026-10-30T00:00:00"/>
        <d v="2026-12-01T00:00:00"/>
        <d v="2026-03-18T00:00:00"/>
        <d v="2026-06-26T00:00:00"/>
        <d v="2026-12-25T00:00:00"/>
        <d v="2026-12-10T00:00:00"/>
        <d v="2026-09-16T00:00:00"/>
        <d v="2026-05-11T00:00:00"/>
        <d v="2026-05-22T00:00:00"/>
        <d v="2026-07-05T00:00:00"/>
        <d v="2026-09-03T00:00:00"/>
        <d v="2026-01-07T00:00:00"/>
        <d v="2026-05-24T00:00:00"/>
        <d v="2026-08-04T00:00:00"/>
        <d v="2026-07-08T00:00:00"/>
        <d v="2026-08-31T00:00:00"/>
        <d v="2026-04-11T00:00:00"/>
        <d v="2026-11-15T00:00:00"/>
        <d v="2026-03-09T00:00:00"/>
        <d v="2026-12-20T00:00:00"/>
        <d v="2026-01-18T00:00:00"/>
        <d v="2026-09-04T00:00:00"/>
        <d v="2026-05-26T00:00:00"/>
        <d v="2026-11-29T00:00:00"/>
        <d v="2026-06-06T00:00:00"/>
        <d v="2026-05-23T00:00:00"/>
        <d v="2026-09-28T00:00:00"/>
        <d v="2026-12-23T00:00:00"/>
        <d v="2026-06-15T00:00:00"/>
        <d v="2026-10-31T00:00:00"/>
        <d v="2026-07-17T00:00:00"/>
        <d v="2026-08-17T00:00:00"/>
        <d v="2026-08-13T00:00:00"/>
        <d v="2026-09-06T00:00:00"/>
        <d v="2026-10-28T00:00:00"/>
        <d v="2026-05-06T00:00:00"/>
        <d v="2026-08-21T00:00:00"/>
        <d v="2026-09-27T00:00:00"/>
        <d v="2026-05-29T00:00:00"/>
        <d v="2026-08-10T00:00:00"/>
        <d v="2026-03-20T00:00:00"/>
        <d v="2026-03-31T00:00:00"/>
        <d v="2026-10-21T00:00:00"/>
        <d v="2026-03-08T00:00:00"/>
        <d v="2026-01-29T00:00:00"/>
        <d v="2026-07-19T00:00:00"/>
        <d v="2026-03-04T00:00:00"/>
        <d v="2026-11-07T00:00:00"/>
        <d v="2026-07-09T00:00:00"/>
        <d v="2026-02-11T00:00:00"/>
        <d v="2026-11-11T00:00:00"/>
        <d v="2026-10-09T00:00:00"/>
        <d v="2026-12-18T00:00:00"/>
        <d v="2026-01-24T00:00:00"/>
        <d v="2026-06-09T00:00:00"/>
        <d v="2026-08-15T00:00:00"/>
        <d v="2026-07-13T00:00:00"/>
        <d v="2026-02-24T00:00:00"/>
        <d v="2026-08-19T00:00:00"/>
        <d v="2026-11-08T00:00:00"/>
        <d v="2026-06-17T00:00:00"/>
        <d v="2026-03-03T00:00:00"/>
        <d v="2026-01-06T00:00:00"/>
        <d v="2026-03-11T00:00:00"/>
        <d v="2026-04-29T00:00:00"/>
        <d v="2026-02-26T00:00:00"/>
        <d v="2026-10-25T00:00:00"/>
        <d v="2026-05-10T00:00:00"/>
        <d v="2026-05-02T00:00:00"/>
        <d v="2026-01-26T00:00:00"/>
        <d v="2026-11-17T00:00:00"/>
        <d v="2026-04-30T00:00:00"/>
        <d v="2026-07-28T00:00:00"/>
        <d v="2026-09-20T00:00:00"/>
        <d v="2026-11-16T00:00:00"/>
        <d v="2026-08-12T00:00:00"/>
        <d v="2026-01-01T00:00:00"/>
        <d v="2026-10-06T00:00:00"/>
        <d v="2026-12-26T00:00:00"/>
        <d v="2026-03-22T00:00:00"/>
        <d v="2026-11-25T00:00:00"/>
        <d v="2026-11-01T00:00:00"/>
        <d v="2026-10-22T00:00:00"/>
        <d v="2026-10-04T00:00:00"/>
        <d v="2026-03-27T00:00:00"/>
        <d v="2026-02-19T00:00:00"/>
        <d v="2026-04-12T00:00:00"/>
        <d v="2026-12-12T00:00:00"/>
        <d v="2026-10-29T00:00:00"/>
        <d v="2026-01-27T00:00:00"/>
        <d v="2026-07-22T00:00:00"/>
        <d v="2026-04-26T00:00:00"/>
        <d v="2026-12-24T00:00:00"/>
        <d v="2026-03-30T00:00:00"/>
        <d v="2026-11-22T00:00:00"/>
        <d v="2026-09-25T00:00:00"/>
        <d v="2026-03-05T00:00:00"/>
        <d v="2026-10-27T00:00:00"/>
        <d v="2026-09-11T00:00:00"/>
        <d v="2026-10-13T00:00:00"/>
        <d v="2026-04-20T00:00:00"/>
        <d v="2026-10-07T00:00:00"/>
        <d v="2026-04-27T00:00:00"/>
        <d v="2026-07-26T00:00:00"/>
        <d v="2026-11-26T00:00:00"/>
        <d v="2026-05-14T00:00:00"/>
        <d v="2026-05-01T00:00:00"/>
        <d v="2026-10-05T00:00:00"/>
        <d v="2026-02-20T00:00:00"/>
        <d v="2026-06-21T00:00:00"/>
        <d v="2026-04-16T00:00:00"/>
        <d v="2026-04-02T00:00:00"/>
        <d v="2026-05-25T00:00:00"/>
        <d v="2026-04-25T00:00:00"/>
        <d v="2026-12-19T00:00:00"/>
        <d v="2026-04-24T00:00:00"/>
        <d v="2026-11-19T00:00:00"/>
        <d v="2026-04-23T00:00:00"/>
        <d v="2026-09-17T00:00:00"/>
        <d v="2026-06-30T00:00:00"/>
        <d v="2026-11-30T00:00:00"/>
        <d v="2026-07-31T00:00:00"/>
        <d v="2026-02-23T00:00:00"/>
        <d v="2026-06-08T00:00:00"/>
        <d v="2026-08-27T00:00:00"/>
        <d v="2026-07-23T00:00:00"/>
        <d v="2026-08-23T00:00:00"/>
        <d v="2026-05-31T00:00:00"/>
        <d v="2026-09-24T00:00:00"/>
        <d v="2026-12-03T00:00:00"/>
        <d v="2026-10-17T00:00:00"/>
        <d v="2026-01-17T00:00:00"/>
        <d v="2026-06-25T00:00:00"/>
        <d v="2026-11-18T00:00:00"/>
        <d v="2026-02-18T00:00:00"/>
        <d v="2026-01-04T00:00:00"/>
        <d v="2026-12-31T00:00:00"/>
        <d v="2026-11-20T00:00:00"/>
        <d v="2026-07-18T00:00:00"/>
        <d v="2026-02-04T00:00:00"/>
        <d v="2026-04-05T00:00:00"/>
        <d v="2026-05-13T00:00:00"/>
        <d v="2026-02-27T00:00:00"/>
        <d v="2026-12-09T00:00:00"/>
        <d v="2026-06-16T00:00:00"/>
        <d v="2026-12-05T00:00:00"/>
        <d v="2026-01-28T00:00:00"/>
        <d v="2026-08-07T00:00:00"/>
        <d v="2026-09-19T00:00:00"/>
        <d v="2026-09-02T00:00:00"/>
        <d v="2026-06-10T00:00:00"/>
        <d v="2026-01-23T00:00:00"/>
        <d v="2026-12-27T00:00:00"/>
        <d v="2026-11-04T00:00:00"/>
        <d v="2026-08-26T00:00:00"/>
        <d v="2026-01-13T00:00:00"/>
        <d v="2026-11-03T00:00:00"/>
        <d v="2026-07-07T00:00:00"/>
        <d v="2026-08-01T00:00:00"/>
      </sharedItems>
    </cacheField>
    <cacheField name="State" numFmtId="0">
      <sharedItems count="30">
        <s v="Texas"/>
        <s v="New York"/>
        <s v="Arizona"/>
        <s v="North Carolina"/>
        <s v="Ohio"/>
        <s v="Florida"/>
        <s v="Utah"/>
        <s v="California"/>
        <s v="New Jersey"/>
        <s v="Washington"/>
        <s v="Missouri"/>
        <s v="Michigan"/>
        <s v="Minnesota"/>
        <s v="Virginia"/>
        <s v="Colorado"/>
        <s v="Pennsylvania"/>
        <s v="Georgia"/>
        <s v="Alabama"/>
        <s v="Wisconsin"/>
        <s v="Massachusetts"/>
        <s v="Illinois"/>
        <s v="Maryland"/>
        <s v="South Carolina"/>
        <s v="Tennessee"/>
        <s v="Nevada"/>
        <s v="Indiana"/>
        <s v="Oregon"/>
        <s v="Idaho"/>
        <s v="Louisiana"/>
        <s v="Connecticut"/>
      </sharedItems>
    </cacheField>
    <cacheField name="Region" numFmtId="0">
      <sharedItems count="4">
        <s v="South"/>
        <s v="Northeast"/>
        <s v="West"/>
        <s v="Midwest"/>
      </sharedItems>
    </cacheField>
    <cacheField name="Sales Channel" numFmtId="0">
      <sharedItems count="4">
        <s v="Online"/>
        <s v="Retail Store"/>
        <s v="Wholesale"/>
        <s v="Marketplace"/>
      </sharedItems>
    </cacheField>
    <cacheField name="Customer Type" numFmtId="0">
      <sharedItems count="2">
        <s v="Returning"/>
        <s v="New"/>
      </sharedItems>
    </cacheField>
    <cacheField name="Product Category" numFmtId="0">
      <sharedItems count="6">
        <s v="Tops"/>
        <s v="Outerwear"/>
        <s v="Accessories"/>
        <s v="Dresses"/>
        <s v="Bottoms"/>
        <s v="Footwear"/>
      </sharedItems>
    </cacheField>
    <cacheField name="Product" numFmtId="0">
      <sharedItems count="22">
        <s v="Striped Polo"/>
        <s v="Denim Trucker"/>
        <s v="Knit Beanie"/>
        <s v="Quilted Jacket"/>
        <s v="Linen Shirt Dress"/>
        <s v="Canvas Tote"/>
        <s v="Tailored Short"/>
        <s v="Suede Loafer"/>
        <s v="Hooded Parka"/>
        <s v="Canvas Sneaker"/>
        <s v="Wrap Dress"/>
        <s v="Cargo Pant"/>
        <s v="Wool Overcoat"/>
        <s v="Straight Jeans"/>
        <s v="Slim Chino"/>
        <s v="Midi Slip Dress"/>
        <s v="Silk Scarf"/>
        <s v="Leather Boot"/>
        <s v="Classic Tee"/>
        <s v="Leather Belt"/>
        <s v="Oxford Shirt"/>
        <s v="Henley Long Sleeve"/>
      </sharedItems>
    </cacheField>
    <cacheField name="Salesperson" numFmtId="0">
      <sharedItems/>
    </cacheField>
    <cacheField name="Quantity" numFmtId="3">
      <sharedItems containsSemiMixedTypes="0" containsString="0" containsNumber="1" containsInteger="1" minValue="1" maxValue="18"/>
    </cacheField>
    <cacheField name="Unit Price" numFmtId="164">
      <sharedItems containsSemiMixedTypes="0" containsString="0" containsNumber="1" minValue="23.94" maxValue="318.56"/>
    </cacheField>
    <cacheField name="Discount" numFmtId="9">
      <sharedItems containsSemiMixedTypes="0" containsString="0" containsNumber="1" minValue="0" maxValue="0.3"/>
    </cacheField>
    <cacheField name="Revenue" numFmtId="164">
      <sharedItems containsSemiMixedTypes="0" containsString="0" containsNumber="1" minValue="19.329999999999998" maxValue="3687.36"/>
    </cacheField>
    <cacheField name="Panyer_Moyenne" numFmtId="0">
      <sharedItems containsString="0" containsBlank="1" containsNumber="1" minValue="355.93048999999934" maxValue="711860.9799999987"/>
    </cacheField>
    <cacheField name="2000" numFmtId="0">
      <sharedItems containsNonDate="0" containsString="0" containsBlank="1"/>
    </cacheField>
    <cacheField name="Mois_S" numFmtId="0">
      <sharedItems count="12">
        <s v="décembre 2026"/>
        <s v="mars 2026"/>
        <s v="octobre 2026"/>
        <s v="septembre 2026"/>
        <s v="août 2026"/>
        <s v="novembre 2026"/>
        <s v="avril 2026"/>
        <s v="janvier 2026"/>
        <s v="février 2026"/>
        <s v="juin 2026"/>
        <s v="mai 2026"/>
        <s v="juillet 2026"/>
      </sharedItems>
    </cacheField>
  </cacheFields>
  <extLst>
    <ext xmlns:x14="http://schemas.microsoft.com/office/spreadsheetml/2009/9/main" uri="{725AE2AE-9491-48be-B2B4-4EB974FC3084}">
      <x14:pivotCacheDefinition pivotCacheId="15635865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K7-10001"/>
    <d v="2026-12-28T00:00:00"/>
    <s v="Texas"/>
    <s v="South"/>
    <s v="Online"/>
    <s v="Returning"/>
    <s v="Tops"/>
    <s v="Striped Polo"/>
    <s v="Grace Okafor"/>
    <n v="5"/>
    <n v="53.79"/>
    <n v="0.2"/>
    <n v="215.16"/>
    <n v="268.95"/>
  </r>
  <r>
    <s v="K7-10002"/>
    <d v="2026-03-21T00:00:00"/>
    <s v="New York"/>
    <s v="Northeast"/>
    <s v="Online"/>
    <s v="Returning"/>
    <s v="Outerwear"/>
    <s v="Denim Trucker"/>
    <s v="Elena Vargas"/>
    <n v="4"/>
    <n v="135.87"/>
    <n v="0"/>
    <n v="543.48"/>
    <n v="543.48"/>
  </r>
  <r>
    <s v="K7-10003"/>
    <d v="2026-12-21T00:00:00"/>
    <s v="New York"/>
    <s v="Northeast"/>
    <s v="Online"/>
    <s v="New"/>
    <s v="Accessories"/>
    <s v="Knit Beanie"/>
    <s v="Grace Okafor"/>
    <n v="2"/>
    <n v="24.98"/>
    <n v="0"/>
    <n v="49.96"/>
    <n v="49.96"/>
  </r>
  <r>
    <s v="K7-10004"/>
    <d v="2026-03-06T00:00:00"/>
    <s v="Arizona"/>
    <s v="West"/>
    <s v="Retail Store"/>
    <s v="New"/>
    <s v="Outerwear"/>
    <s v="Quilted Jacket"/>
    <s v="Marcus Reed"/>
    <n v="2"/>
    <n v="176.2"/>
    <n v="0.1"/>
    <n v="317.16000000000003"/>
    <n v="352.4"/>
  </r>
  <r>
    <s v="K7-10005"/>
    <d v="2026-10-11T00:00:00"/>
    <s v="New York"/>
    <s v="Northeast"/>
    <s v="Wholesale"/>
    <s v="Returning"/>
    <s v="Dresses"/>
    <s v="Linen Shirt Dress"/>
    <s v="Ava Brooks"/>
    <n v="4"/>
    <n v="131.31"/>
    <n v="0.05"/>
    <n v="498.98"/>
    <n v="525.24"/>
  </r>
  <r>
    <s v="K7-10006"/>
    <d v="2026-09-14T00:00:00"/>
    <s v="New York"/>
    <s v="Northeast"/>
    <s v="Marketplace"/>
    <s v="New"/>
    <s v="Accessories"/>
    <s v="Canvas Tote"/>
    <s v="Jonah Wright"/>
    <n v="6"/>
    <n v="38.43"/>
    <n v="0"/>
    <n v="230.58"/>
    <n v="230.57999999999998"/>
  </r>
  <r>
    <s v="K7-10007"/>
    <d v="2026-08-06T00:00:00"/>
    <s v="North Carolina"/>
    <s v="South"/>
    <s v="Retail Store"/>
    <s v="Returning"/>
    <s v="Bottoms"/>
    <s v="Tailored Short"/>
    <s v="Noor Haddad"/>
    <n v="1"/>
    <n v="53.92"/>
    <n v="0"/>
    <n v="53.92"/>
    <n v="53.92"/>
  </r>
  <r>
    <s v="K7-10008"/>
    <d v="2026-11-14T00:00:00"/>
    <s v="Ohio"/>
    <s v="Midwest"/>
    <s v="Online"/>
    <s v="Returning"/>
    <s v="Footwear"/>
    <s v="Suede Loafer"/>
    <s v="Noor Haddad"/>
    <n v="5"/>
    <n v="162.35"/>
    <n v="0"/>
    <n v="811.75"/>
    <n v="811.75"/>
  </r>
  <r>
    <s v="K7-10009"/>
    <d v="2026-04-21T00:00:00"/>
    <s v="Florida"/>
    <s v="South"/>
    <s v="Online"/>
    <s v="Returning"/>
    <s v="Dresses"/>
    <s v="Linen Shirt Dress"/>
    <s v="Priya Nair"/>
    <n v="4"/>
    <n v="137.59"/>
    <n v="0"/>
    <n v="550.36"/>
    <n v="550.36"/>
  </r>
  <r>
    <s v="K7-10010"/>
    <d v="2026-01-16T00:00:00"/>
    <s v="Utah"/>
    <s v="West"/>
    <s v="Online"/>
    <s v="Returning"/>
    <s v="Outerwear"/>
    <s v="Hooded Parka"/>
    <s v="Noor Haddad"/>
    <n v="2"/>
    <n v="228.33"/>
    <n v="0.05"/>
    <n v="433.83"/>
    <n v="456.66"/>
  </r>
  <r>
    <s v="K7-10011"/>
    <d v="2026-11-23T00:00:00"/>
    <s v="California"/>
    <s v="West"/>
    <s v="Online"/>
    <s v="Returning"/>
    <s v="Footwear"/>
    <s v="Canvas Sneaker"/>
    <s v="Noor Haddad"/>
    <n v="2"/>
    <n v="83.9"/>
    <n v="0"/>
    <n v="167.8"/>
    <n v="167.8"/>
  </r>
  <r>
    <s v="K7-10012"/>
    <d v="2026-02-12T00:00:00"/>
    <s v="New Jersey"/>
    <s v="Northeast"/>
    <s v="Online"/>
    <s v="New"/>
    <s v="Accessories"/>
    <s v="Canvas Tote"/>
    <s v="Priya Nair"/>
    <n v="3"/>
    <n v="38.67"/>
    <n v="0"/>
    <n v="116.01"/>
    <n v="116.01"/>
  </r>
  <r>
    <s v="K7-10013"/>
    <d v="2026-12-22T00:00:00"/>
    <s v="Texas"/>
    <s v="South"/>
    <s v="Retail Store"/>
    <s v="New"/>
    <s v="Outerwear"/>
    <s v="Quilted Jacket"/>
    <s v="Noor Haddad"/>
    <n v="2"/>
    <n v="168.02"/>
    <n v="0"/>
    <n v="336.04"/>
    <n v="336.04"/>
  </r>
  <r>
    <s v="K7-10014"/>
    <d v="2026-08-25T00:00:00"/>
    <s v="New York"/>
    <s v="Northeast"/>
    <s v="Marketplace"/>
    <s v="New"/>
    <s v="Tops"/>
    <s v="Striped Polo"/>
    <s v="Elena Vargas"/>
    <n v="6"/>
    <n v="53.01"/>
    <n v="0.15"/>
    <n v="270.35000000000002"/>
    <n v="318.06"/>
  </r>
  <r>
    <s v="K7-10015"/>
    <d v="2026-11-24T00:00:00"/>
    <s v="Texas"/>
    <s v="South"/>
    <s v="Online"/>
    <s v="New"/>
    <s v="Bottoms"/>
    <s v="Tailored Short"/>
    <s v="Priya Nair"/>
    <n v="8"/>
    <n v="55.24"/>
    <n v="0.1"/>
    <n v="397.73"/>
    <n v="441.92"/>
  </r>
  <r>
    <s v="K7-10016"/>
    <d v="2026-12-28T00:00:00"/>
    <s v="New York"/>
    <s v="Northeast"/>
    <s v="Marketplace"/>
    <s v="Returning"/>
    <s v="Dresses"/>
    <s v="Wrap Dress"/>
    <s v="Elena Vargas"/>
    <n v="7"/>
    <n v="116.1"/>
    <n v="0.2"/>
    <n v="650.16"/>
    <n v="812.69999999999993"/>
  </r>
  <r>
    <s v="K7-10017"/>
    <d v="2026-06-29T00:00:00"/>
    <s v="Texas"/>
    <s v="South"/>
    <s v="Online"/>
    <s v="Returning"/>
    <s v="Outerwear"/>
    <s v="Denim Trucker"/>
    <s v="Noor Haddad"/>
    <n v="1"/>
    <n v="119.52"/>
    <n v="0"/>
    <n v="119.52"/>
    <n v="119.52"/>
  </r>
  <r>
    <s v="K7-10018"/>
    <d v="2026-09-15T00:00:00"/>
    <s v="Arizona"/>
    <s v="West"/>
    <s v="Online"/>
    <s v="Returning"/>
    <s v="Tops"/>
    <s v="Striped Polo"/>
    <s v="Noor Haddad"/>
    <n v="6"/>
    <n v="54.38"/>
    <n v="0.05"/>
    <n v="309.97000000000003"/>
    <n v="326.28000000000003"/>
  </r>
  <r>
    <s v="K7-10019"/>
    <d v="2026-02-10T00:00:00"/>
    <s v="Arizona"/>
    <s v="West"/>
    <s v="Online"/>
    <s v="New"/>
    <s v="Accessories"/>
    <s v="Knit Beanie"/>
    <s v="Dylan Foster"/>
    <n v="1"/>
    <n v="24.9"/>
    <n v="0"/>
    <n v="24.9"/>
    <n v="24.9"/>
  </r>
  <r>
    <s v="K7-10020"/>
    <d v="2026-05-12T00:00:00"/>
    <s v="Arizona"/>
    <s v="West"/>
    <s v="Retail Store"/>
    <s v="Returning"/>
    <s v="Bottoms"/>
    <s v="Cargo Pant"/>
    <s v="Marcus Reed"/>
    <n v="4"/>
    <n v="85.16"/>
    <n v="0.15"/>
    <n v="289.54000000000002"/>
    <n v="340.64"/>
  </r>
  <r>
    <s v="K7-10021"/>
    <d v="2026-03-15T00:00:00"/>
    <s v="Washington"/>
    <s v="West"/>
    <s v="Marketplace"/>
    <s v="New"/>
    <s v="Outerwear"/>
    <s v="Quilted Jacket"/>
    <s v="Ava Brooks"/>
    <n v="4"/>
    <n v="171.54"/>
    <n v="0.15"/>
    <n v="583.24"/>
    <n v="686.16"/>
  </r>
  <r>
    <s v="K7-10022"/>
    <d v="2026-11-05T00:00:00"/>
    <s v="Texas"/>
    <s v="South"/>
    <s v="Online"/>
    <s v="New"/>
    <s v="Outerwear"/>
    <s v="Hooded Parka"/>
    <s v="Grace Okafor"/>
    <n v="4"/>
    <n v="232.36"/>
    <n v="0"/>
    <n v="929.44"/>
    <n v="929.44"/>
  </r>
  <r>
    <s v="K7-10023"/>
    <d v="2026-06-11T00:00:00"/>
    <s v="New York"/>
    <s v="Northeast"/>
    <s v="Online"/>
    <s v="New"/>
    <s v="Outerwear"/>
    <s v="Wool Overcoat"/>
    <s v="Grace Okafor"/>
    <n v="3"/>
    <n v="283.29000000000002"/>
    <n v="0.1"/>
    <n v="764.88"/>
    <n v="849.87000000000012"/>
  </r>
  <r>
    <s v="K7-10024"/>
    <d v="2026-09-26T00:00:00"/>
    <s v="New Jersey"/>
    <s v="Northeast"/>
    <s v="Marketplace"/>
    <s v="Returning"/>
    <s v="Bottoms"/>
    <s v="Straight Jeans"/>
    <s v="Marcus Reed"/>
    <n v="8"/>
    <n v="92.3"/>
    <n v="0.05"/>
    <n v="701.48"/>
    <n v="738.4"/>
  </r>
  <r>
    <s v="K7-10025"/>
    <d v="2026-01-11T00:00:00"/>
    <s v="Missouri"/>
    <s v="Midwest"/>
    <s v="Retail Store"/>
    <s v="Returning"/>
    <s v="Outerwear"/>
    <s v="Denim Trucker"/>
    <s v="Noor Haddad"/>
    <n v="1"/>
    <n v="130.94"/>
    <n v="0.15"/>
    <n v="111.3"/>
    <n v="130.94"/>
  </r>
  <r>
    <s v="K7-10026"/>
    <d v="2026-01-09T00:00:00"/>
    <s v="Florida"/>
    <s v="South"/>
    <s v="Retail Store"/>
    <s v="New"/>
    <s v="Bottoms"/>
    <s v="Slim Chino"/>
    <s v="Noor Haddad"/>
    <n v="4"/>
    <n v="81.86"/>
    <n v="0.2"/>
    <n v="261.95"/>
    <n v="327.44"/>
  </r>
  <r>
    <s v="K7-10027"/>
    <d v="2026-08-14T00:00:00"/>
    <s v="Michigan"/>
    <s v="Midwest"/>
    <s v="Retail Store"/>
    <s v="New"/>
    <s v="Tops"/>
    <s v="Striped Polo"/>
    <s v="Marcus Reed"/>
    <n v="1"/>
    <n v="55.3"/>
    <n v="0"/>
    <n v="55.3"/>
    <n v="55.3"/>
  </r>
  <r>
    <s v="K7-10028"/>
    <d v="2026-02-17T00:00:00"/>
    <s v="Minnesota"/>
    <s v="Midwest"/>
    <s v="Retail Store"/>
    <s v="Returning"/>
    <s v="Footwear"/>
    <s v="Canvas Sneaker"/>
    <s v="Noor Haddad"/>
    <n v="1"/>
    <n v="84.36"/>
    <n v="0"/>
    <n v="84.36"/>
    <n v="84.36"/>
  </r>
  <r>
    <s v="K7-10029"/>
    <d v="2026-10-23T00:00:00"/>
    <s v="Virginia"/>
    <s v="South"/>
    <s v="Retail Store"/>
    <s v="New"/>
    <s v="Dresses"/>
    <s v="Midi Slip Dress"/>
    <s v="Elena Vargas"/>
    <n v="3"/>
    <n v="102.78"/>
    <n v="0"/>
    <n v="308.33999999999997"/>
    <n v="308.34000000000003"/>
  </r>
  <r>
    <s v="K7-10030"/>
    <d v="2026-12-02T00:00:00"/>
    <s v="Florida"/>
    <s v="South"/>
    <s v="Marketplace"/>
    <s v="New"/>
    <s v="Bottoms"/>
    <s v="Cargo Pant"/>
    <s v="Grace Okafor"/>
    <n v="3"/>
    <n v="79.73"/>
    <n v="0"/>
    <n v="239.19"/>
    <n v="239.19"/>
  </r>
  <r>
    <s v="K7-10031"/>
    <d v="2026-07-30T00:00:00"/>
    <s v="Missouri"/>
    <s v="Midwest"/>
    <s v="Online"/>
    <s v="New"/>
    <s v="Outerwear"/>
    <s v="Quilted Jacket"/>
    <s v="Noor Haddad"/>
    <n v="1"/>
    <n v="157.97999999999999"/>
    <n v="0.2"/>
    <n v="126.38"/>
    <n v="157.97999999999999"/>
  </r>
  <r>
    <s v="K7-10032"/>
    <d v="2026-09-26T00:00:00"/>
    <s v="Washington"/>
    <s v="West"/>
    <s v="Retail Store"/>
    <s v="New"/>
    <s v="Accessories"/>
    <s v="Silk Scarf"/>
    <s v="Ava Brooks"/>
    <n v="3"/>
    <n v="66.25"/>
    <n v="0"/>
    <n v="198.75"/>
    <n v="198.75"/>
  </r>
  <r>
    <s v="K7-10033"/>
    <d v="2026-09-07T00:00:00"/>
    <s v="Colorado"/>
    <s v="West"/>
    <s v="Online"/>
    <s v="Returning"/>
    <s v="Footwear"/>
    <s v="Leather Boot"/>
    <s v="Jonah Wright"/>
    <n v="3"/>
    <n v="224.5"/>
    <n v="0"/>
    <n v="673.5"/>
    <n v="673.5"/>
  </r>
  <r>
    <s v="K7-10034"/>
    <d v="2026-03-26T00:00:00"/>
    <s v="Virginia"/>
    <s v="South"/>
    <s v="Retail Store"/>
    <s v="New"/>
    <s v="Accessories"/>
    <s v="Silk Scarf"/>
    <s v="Grace Okafor"/>
    <n v="10"/>
    <n v="62.89"/>
    <n v="0.1"/>
    <n v="566.01"/>
    <n v="628.9"/>
  </r>
  <r>
    <s v="K7-10035"/>
    <d v="2026-06-18T00:00:00"/>
    <s v="Colorado"/>
    <s v="West"/>
    <s v="Online"/>
    <s v="Returning"/>
    <s v="Bottoms"/>
    <s v="Straight Jeans"/>
    <s v="Grace Okafor"/>
    <n v="3"/>
    <n v="91.87"/>
    <n v="0"/>
    <n v="275.61"/>
    <n v="275.61"/>
  </r>
  <r>
    <s v="K7-10036"/>
    <d v="2026-06-05T00:00:00"/>
    <s v="Pennsylvania"/>
    <s v="Northeast"/>
    <s v="Online"/>
    <s v="New"/>
    <s v="Bottoms"/>
    <s v="Tailored Short"/>
    <s v="Grace Okafor"/>
    <n v="9"/>
    <n v="57.31"/>
    <n v="0.1"/>
    <n v="464.21"/>
    <n v="515.79"/>
  </r>
  <r>
    <s v="K7-10037"/>
    <d v="2026-08-28T00:00:00"/>
    <s v="New York"/>
    <s v="Northeast"/>
    <s v="Retail Store"/>
    <s v="New"/>
    <s v="Outerwear"/>
    <s v="Denim Trucker"/>
    <s v="Dylan Foster"/>
    <n v="5"/>
    <n v="137.80000000000001"/>
    <n v="0.15"/>
    <n v="585.65"/>
    <n v="689"/>
  </r>
  <r>
    <s v="K7-10038"/>
    <d v="2026-07-15T00:00:00"/>
    <s v="North Carolina"/>
    <s v="South"/>
    <s v="Retail Store"/>
    <s v="Returning"/>
    <s v="Outerwear"/>
    <s v="Wool Overcoat"/>
    <s v="Ava Brooks"/>
    <n v="1"/>
    <n v="281.94"/>
    <n v="0.15"/>
    <n v="239.65"/>
    <n v="281.94"/>
  </r>
  <r>
    <s v="K7-10039"/>
    <d v="2026-10-10T00:00:00"/>
    <s v="New Jersey"/>
    <s v="Northeast"/>
    <s v="Retail Store"/>
    <s v="Returning"/>
    <s v="Outerwear"/>
    <s v="Quilted Jacket"/>
    <s v="Elena Vargas"/>
    <n v="1"/>
    <n v="169.64"/>
    <n v="0"/>
    <n v="169.64"/>
    <n v="169.64"/>
  </r>
  <r>
    <s v="K7-10040"/>
    <d v="2026-05-16T00:00:00"/>
    <s v="New Jersey"/>
    <s v="Northeast"/>
    <s v="Marketplace"/>
    <s v="Returning"/>
    <s v="Tops"/>
    <s v="Striped Polo"/>
    <s v="Priya Nair"/>
    <n v="11"/>
    <n v="51.96"/>
    <n v="0.1"/>
    <n v="514.4"/>
    <n v="571.56000000000006"/>
  </r>
  <r>
    <s v="K7-10041"/>
    <d v="2026-09-29T00:00:00"/>
    <s v="New York"/>
    <s v="Northeast"/>
    <s v="Retail Store"/>
    <s v="Returning"/>
    <s v="Bottoms"/>
    <s v="Slim Chino"/>
    <s v="Elena Vargas"/>
    <n v="2"/>
    <n v="75.540000000000006"/>
    <n v="0.3"/>
    <n v="105.76"/>
    <n v="151.08000000000001"/>
  </r>
  <r>
    <s v="K7-10042"/>
    <d v="2026-11-13T00:00:00"/>
    <s v="Arizona"/>
    <s v="West"/>
    <s v="Online"/>
    <s v="New"/>
    <s v="Dresses"/>
    <s v="Wrap Dress"/>
    <s v="Priya Nair"/>
    <n v="4"/>
    <n v="117.62"/>
    <n v="0.15"/>
    <n v="399.91"/>
    <n v="470.48"/>
  </r>
  <r>
    <s v="K7-10043"/>
    <d v="2026-10-10T00:00:00"/>
    <s v="New Jersey"/>
    <s v="Northeast"/>
    <s v="Online"/>
    <s v="Returning"/>
    <s v="Dresses"/>
    <s v="Linen Shirt Dress"/>
    <s v="Dylan Foster"/>
    <n v="2"/>
    <n v="137.72999999999999"/>
    <n v="0"/>
    <n v="275.45999999999998"/>
    <n v="275.45999999999998"/>
  </r>
  <r>
    <s v="K7-10044"/>
    <d v="2026-02-05T00:00:00"/>
    <s v="North Carolina"/>
    <s v="South"/>
    <s v="Retail Store"/>
    <s v="Returning"/>
    <s v="Bottoms"/>
    <s v="Tailored Short"/>
    <s v="Marcus Reed"/>
    <n v="1"/>
    <n v="61.77"/>
    <n v="0.05"/>
    <n v="58.68"/>
    <n v="61.77"/>
  </r>
  <r>
    <s v="K7-10045"/>
    <d v="2026-08-03T00:00:00"/>
    <s v="Georgia"/>
    <s v="South"/>
    <s v="Marketplace"/>
    <s v="Returning"/>
    <s v="Accessories"/>
    <s v="Knit Beanie"/>
    <s v="Jonah Wright"/>
    <n v="4"/>
    <n v="27.93"/>
    <n v="0.05"/>
    <n v="106.13"/>
    <n v="111.72"/>
  </r>
  <r>
    <s v="K7-10046"/>
    <d v="2026-11-24T00:00:00"/>
    <s v="New Jersey"/>
    <s v="Northeast"/>
    <s v="Wholesale"/>
    <s v="New"/>
    <s v="Dresses"/>
    <s v="Midi Slip Dress"/>
    <s v="Marcus Reed"/>
    <n v="1"/>
    <n v="105.71"/>
    <n v="0.15"/>
    <n v="89.85"/>
    <n v="105.71"/>
  </r>
  <r>
    <s v="K7-10047"/>
    <d v="2026-03-06T00:00:00"/>
    <s v="Alabama"/>
    <s v="South"/>
    <s v="Wholesale"/>
    <s v="Returning"/>
    <s v="Outerwear"/>
    <s v="Denim Trucker"/>
    <s v="Jonah Wright"/>
    <n v="3"/>
    <n v="127.52"/>
    <n v="0"/>
    <n v="382.56"/>
    <n v="382.56"/>
  </r>
  <r>
    <s v="K7-10048"/>
    <d v="2026-06-19T00:00:00"/>
    <s v="Missouri"/>
    <s v="Midwest"/>
    <s v="Retail Store"/>
    <s v="New"/>
    <s v="Outerwear"/>
    <s v="Denim Trucker"/>
    <s v="Elena Vargas"/>
    <n v="1"/>
    <n v="129.55000000000001"/>
    <n v="0"/>
    <n v="129.55000000000001"/>
    <n v="129.55000000000001"/>
  </r>
  <r>
    <s v="K7-10049"/>
    <d v="2026-11-02T00:00:00"/>
    <s v="Texas"/>
    <s v="South"/>
    <s v="Online"/>
    <s v="New"/>
    <s v="Outerwear"/>
    <s v="Wool Overcoat"/>
    <s v="Ava Brooks"/>
    <n v="6"/>
    <n v="310.39999999999998"/>
    <n v="0"/>
    <n v="1862.4"/>
    <n v="1862.3999999999999"/>
  </r>
  <r>
    <s v="K7-10050"/>
    <d v="2026-04-15T00:00:00"/>
    <s v="Wisconsin"/>
    <s v="Midwest"/>
    <s v="Retail Store"/>
    <s v="Returning"/>
    <s v="Footwear"/>
    <s v="Leather Boot"/>
    <s v="Jonah Wright"/>
    <n v="1"/>
    <n v="202.77"/>
    <n v="0"/>
    <n v="202.77"/>
    <n v="202.77"/>
  </r>
  <r>
    <s v="K7-10051"/>
    <d v="2026-04-08T00:00:00"/>
    <s v="Massachusetts"/>
    <s v="Northeast"/>
    <s v="Retail Store"/>
    <s v="Returning"/>
    <s v="Accessories"/>
    <s v="Silk Scarf"/>
    <s v="Elena Vargas"/>
    <n v="3"/>
    <n v="58.23"/>
    <n v="0"/>
    <n v="174.69"/>
    <n v="174.69"/>
  </r>
  <r>
    <s v="K7-10052"/>
    <d v="2026-08-30T00:00:00"/>
    <s v="New York"/>
    <s v="Northeast"/>
    <s v="Online"/>
    <s v="New"/>
    <s v="Accessories"/>
    <s v="Canvas Tote"/>
    <s v="Elena Vargas"/>
    <n v="5"/>
    <n v="36.369999999999997"/>
    <n v="0"/>
    <n v="181.85"/>
    <n v="181.85"/>
  </r>
  <r>
    <s v="K7-10053"/>
    <d v="2026-10-01T00:00:00"/>
    <s v="Colorado"/>
    <s v="West"/>
    <s v="Wholesale"/>
    <s v="New"/>
    <s v="Tops"/>
    <s v="Striped Polo"/>
    <s v="Grace Okafor"/>
    <n v="2"/>
    <n v="50.93"/>
    <n v="0"/>
    <n v="101.86"/>
    <n v="101.86"/>
  </r>
  <r>
    <s v="K7-10054"/>
    <d v="2026-01-19T00:00:00"/>
    <s v="California"/>
    <s v="West"/>
    <s v="Marketplace"/>
    <s v="Returning"/>
    <s v="Outerwear"/>
    <s v="Wool Overcoat"/>
    <s v="Jonah Wright"/>
    <n v="1"/>
    <n v="316.77"/>
    <n v="0"/>
    <n v="316.77"/>
    <n v="316.77"/>
  </r>
  <r>
    <s v="K7-10055"/>
    <d v="2026-08-08T00:00:00"/>
    <s v="Illinois"/>
    <s v="Midwest"/>
    <s v="Online"/>
    <s v="Returning"/>
    <s v="Accessories"/>
    <s v="Silk Scarf"/>
    <s v="Elena Vargas"/>
    <n v="2"/>
    <n v="63.06"/>
    <n v="0.15"/>
    <n v="107.2"/>
    <n v="126.12"/>
  </r>
  <r>
    <s v="K7-10056"/>
    <d v="2026-07-11T00:00:00"/>
    <s v="Pennsylvania"/>
    <s v="Northeast"/>
    <s v="Marketplace"/>
    <s v="Returning"/>
    <s v="Outerwear"/>
    <s v="Hooded Parka"/>
    <s v="Ava Brooks"/>
    <n v="5"/>
    <n v="236.7"/>
    <n v="0"/>
    <n v="1183.5"/>
    <n v="1183.5"/>
  </r>
  <r>
    <s v="K7-10057"/>
    <d v="2026-09-09T00:00:00"/>
    <s v="California"/>
    <s v="West"/>
    <s v="Online"/>
    <s v="Returning"/>
    <s v="Accessories"/>
    <s v="Knit Beanie"/>
    <s v="Noor Haddad"/>
    <n v="3"/>
    <n v="27"/>
    <n v="0"/>
    <n v="81"/>
    <n v="81"/>
  </r>
  <r>
    <s v="K7-10058"/>
    <d v="2026-02-13T00:00:00"/>
    <s v="Maryland"/>
    <s v="South"/>
    <s v="Retail Store"/>
    <s v="Returning"/>
    <s v="Bottoms"/>
    <s v="Tailored Short"/>
    <s v="Noor Haddad"/>
    <n v="5"/>
    <n v="57.42"/>
    <n v="0.3"/>
    <n v="200.97"/>
    <n v="287.10000000000002"/>
  </r>
  <r>
    <s v="K7-10059"/>
    <d v="2026-12-13T00:00:00"/>
    <s v="Minnesota"/>
    <s v="Midwest"/>
    <s v="Wholesale"/>
    <s v="Returning"/>
    <s v="Tops"/>
    <s v="Classic Tee"/>
    <s v="Grace Okafor"/>
    <n v="5"/>
    <n v="31.91"/>
    <n v="0"/>
    <n v="159.55000000000001"/>
    <n v="159.55000000000001"/>
  </r>
  <r>
    <s v="K7-10060"/>
    <d v="2026-03-12T00:00:00"/>
    <s v="Texas"/>
    <s v="South"/>
    <s v="Online"/>
    <s v="Returning"/>
    <s v="Outerwear"/>
    <s v="Hooded Parka"/>
    <s v="Jonah Wright"/>
    <n v="3"/>
    <n v="256.77"/>
    <n v="0"/>
    <n v="770.31"/>
    <n v="770.31"/>
  </r>
  <r>
    <s v="K7-10061"/>
    <d v="2026-11-02T00:00:00"/>
    <s v="New York"/>
    <s v="Northeast"/>
    <s v="Marketplace"/>
    <s v="Returning"/>
    <s v="Accessories"/>
    <s v="Knit Beanie"/>
    <s v="Noor Haddad"/>
    <n v="1"/>
    <n v="26.27"/>
    <n v="0.05"/>
    <n v="24.96"/>
    <n v="26.27"/>
  </r>
  <r>
    <s v="K7-10062"/>
    <d v="2026-07-14T00:00:00"/>
    <s v="Florida"/>
    <s v="South"/>
    <s v="Online"/>
    <s v="Returning"/>
    <s v="Accessories"/>
    <s v="Leather Belt"/>
    <s v="Grace Okafor"/>
    <n v="7"/>
    <n v="45.62"/>
    <n v="0"/>
    <n v="319.33999999999997"/>
    <n v="319.33999999999997"/>
  </r>
  <r>
    <s v="K7-10063"/>
    <d v="2026-10-01T00:00:00"/>
    <s v="Georgia"/>
    <s v="South"/>
    <s v="Online"/>
    <s v="Returning"/>
    <s v="Outerwear"/>
    <s v="Denim Trucker"/>
    <s v="Marcus Reed"/>
    <n v="1"/>
    <n v="132.80000000000001"/>
    <n v="0"/>
    <n v="132.80000000000001"/>
    <n v="132.80000000000001"/>
  </r>
  <r>
    <s v="K7-10064"/>
    <d v="2026-03-25T00:00:00"/>
    <s v="Missouri"/>
    <s v="Midwest"/>
    <s v="Online"/>
    <s v="New"/>
    <s v="Tops"/>
    <s v="Oxford Shirt"/>
    <s v="Dylan Foster"/>
    <n v="5"/>
    <n v="69.36"/>
    <n v="0.1"/>
    <n v="312.12"/>
    <n v="346.8"/>
  </r>
  <r>
    <s v="K7-10065"/>
    <d v="2026-03-19T00:00:00"/>
    <s v="Wisconsin"/>
    <s v="Midwest"/>
    <s v="Online"/>
    <s v="Returning"/>
    <s v="Tops"/>
    <s v="Classic Tee"/>
    <s v="Grace Okafor"/>
    <n v="3"/>
    <n v="30.82"/>
    <n v="0.15"/>
    <n v="78.59"/>
    <n v="92.460000000000008"/>
  </r>
  <r>
    <s v="K7-10066"/>
    <d v="2026-01-03T00:00:00"/>
    <s v="Virginia"/>
    <s v="South"/>
    <s v="Retail Store"/>
    <s v="New"/>
    <s v="Tops"/>
    <s v="Oxford Shirt"/>
    <s v="Elena Vargas"/>
    <n v="1"/>
    <n v="66.87"/>
    <n v="0"/>
    <n v="66.87"/>
    <n v="66.87"/>
  </r>
  <r>
    <s v="K7-10067"/>
    <d v="2026-07-12T00:00:00"/>
    <s v="Illinois"/>
    <s v="Midwest"/>
    <s v="Retail Store"/>
    <s v="Returning"/>
    <s v="Bottoms"/>
    <s v="Cargo Pant"/>
    <s v="Priya Nair"/>
    <n v="1"/>
    <n v="90.62"/>
    <n v="0"/>
    <n v="90.62"/>
    <n v="90.62"/>
  </r>
  <r>
    <s v="K7-10068"/>
    <d v="2026-05-03T00:00:00"/>
    <s v="California"/>
    <s v="West"/>
    <s v="Wholesale"/>
    <s v="New"/>
    <s v="Accessories"/>
    <s v="Knit Beanie"/>
    <s v="Priya Nair"/>
    <n v="3"/>
    <n v="25.75"/>
    <n v="0"/>
    <n v="77.25"/>
    <n v="77.25"/>
  </r>
  <r>
    <s v="K7-10069"/>
    <d v="2026-01-02T00:00:00"/>
    <s v="New York"/>
    <s v="Northeast"/>
    <s v="Online"/>
    <s v="New"/>
    <s v="Dresses"/>
    <s v="Wrap Dress"/>
    <s v="Jonah Wright"/>
    <n v="1"/>
    <n v="119.12"/>
    <n v="0"/>
    <n v="119.12"/>
    <n v="119.12"/>
  </r>
  <r>
    <s v="K7-10070"/>
    <d v="2026-12-11T00:00:00"/>
    <s v="Ohio"/>
    <s v="Midwest"/>
    <s v="Retail Store"/>
    <s v="New"/>
    <s v="Footwear"/>
    <s v="Suede Loafer"/>
    <s v="Noor Haddad"/>
    <n v="2"/>
    <n v="153.79"/>
    <n v="0"/>
    <n v="307.58"/>
    <n v="307.58"/>
  </r>
  <r>
    <s v="K7-10071"/>
    <d v="2026-09-23T00:00:00"/>
    <s v="South Carolina"/>
    <s v="South"/>
    <s v="Marketplace"/>
    <s v="New"/>
    <s v="Dresses"/>
    <s v="Linen Shirt Dress"/>
    <s v="Jonah Wright"/>
    <n v="4"/>
    <n v="131.56"/>
    <n v="0"/>
    <n v="526.24"/>
    <n v="526.24"/>
  </r>
  <r>
    <s v="K7-10072"/>
    <d v="2026-02-05T00:00:00"/>
    <s v="Virginia"/>
    <s v="South"/>
    <s v="Online"/>
    <s v="New"/>
    <s v="Footwear"/>
    <s v="Leather Boot"/>
    <s v="Noor Haddad"/>
    <n v="2"/>
    <n v="219.82"/>
    <n v="0"/>
    <n v="439.64"/>
    <n v="439.64"/>
  </r>
  <r>
    <s v="K7-10073"/>
    <d v="2026-02-16T00:00:00"/>
    <s v="Florida"/>
    <s v="South"/>
    <s v="Marketplace"/>
    <s v="Returning"/>
    <s v="Footwear"/>
    <s v="Leather Boot"/>
    <s v="Jonah Wright"/>
    <n v="1"/>
    <n v="219.4"/>
    <n v="0"/>
    <n v="219.4"/>
    <n v="219.4"/>
  </r>
  <r>
    <s v="K7-10074"/>
    <d v="2026-08-22T00:00:00"/>
    <s v="South Carolina"/>
    <s v="South"/>
    <s v="Online"/>
    <s v="Returning"/>
    <s v="Bottoms"/>
    <s v="Straight Jeans"/>
    <s v="Grace Okafor"/>
    <n v="1"/>
    <n v="88.74"/>
    <n v="0"/>
    <n v="88.74"/>
    <n v="88.74"/>
  </r>
  <r>
    <s v="K7-10075"/>
    <d v="2026-06-28T00:00:00"/>
    <s v="Tennessee"/>
    <s v="South"/>
    <s v="Retail Store"/>
    <s v="New"/>
    <s v="Tops"/>
    <s v="Classic Tee"/>
    <s v="Ava Brooks"/>
    <n v="2"/>
    <n v="30.59"/>
    <n v="0.1"/>
    <n v="55.06"/>
    <n v="61.18"/>
  </r>
  <r>
    <s v="K7-10076"/>
    <d v="2026-10-19T00:00:00"/>
    <s v="New York"/>
    <s v="Northeast"/>
    <s v="Retail Store"/>
    <s v="New"/>
    <s v="Tops"/>
    <s v="Henley Long Sleeve"/>
    <s v="Priya Nair"/>
    <n v="8"/>
    <n v="46.85"/>
    <n v="0.2"/>
    <n v="299.83999999999997"/>
    <n v="374.8"/>
  </r>
  <r>
    <s v="K7-10077"/>
    <d v="2026-09-22T00:00:00"/>
    <s v="Nevada"/>
    <s v="West"/>
    <s v="Online"/>
    <s v="Returning"/>
    <s v="Tops"/>
    <s v="Henley Long Sleeve"/>
    <s v="Noor Haddad"/>
    <n v="4"/>
    <n v="44.71"/>
    <n v="0"/>
    <n v="178.84"/>
    <n v="178.84"/>
  </r>
  <r>
    <s v="K7-10078"/>
    <d v="2026-03-16T00:00:00"/>
    <s v="Michigan"/>
    <s v="Midwest"/>
    <s v="Online"/>
    <s v="Returning"/>
    <s v="Outerwear"/>
    <s v="Denim Trucker"/>
    <s v="Elena Vargas"/>
    <n v="2"/>
    <n v="130.62"/>
    <n v="0"/>
    <n v="261.24"/>
    <n v="261.24"/>
  </r>
  <r>
    <s v="K7-10079"/>
    <d v="2026-02-22T00:00:00"/>
    <s v="New York"/>
    <s v="Northeast"/>
    <s v="Online"/>
    <s v="Returning"/>
    <s v="Outerwear"/>
    <s v="Hooded Parka"/>
    <s v="Marcus Reed"/>
    <n v="1"/>
    <n v="237.79"/>
    <n v="0.1"/>
    <n v="214.01"/>
    <n v="237.79"/>
  </r>
  <r>
    <s v="K7-10080"/>
    <d v="2026-01-05T00:00:00"/>
    <s v="Indiana"/>
    <s v="Midwest"/>
    <s v="Online"/>
    <s v="Returning"/>
    <s v="Bottoms"/>
    <s v="Straight Jeans"/>
    <s v="Grace Okafor"/>
    <n v="1"/>
    <n v="97.02"/>
    <n v="0"/>
    <n v="97.02"/>
    <n v="97.02"/>
  </r>
  <r>
    <s v="K7-10081"/>
    <d v="2026-12-11T00:00:00"/>
    <s v="North Carolina"/>
    <s v="South"/>
    <s v="Marketplace"/>
    <s v="Returning"/>
    <s v="Bottoms"/>
    <s v="Slim Chino"/>
    <s v="Dylan Foster"/>
    <n v="6"/>
    <n v="71.569999999999993"/>
    <n v="0"/>
    <n v="429.42"/>
    <n v="429.41999999999996"/>
  </r>
  <r>
    <s v="K7-10082"/>
    <d v="2026-09-07T00:00:00"/>
    <s v="Colorado"/>
    <s v="West"/>
    <s v="Retail Store"/>
    <s v="Returning"/>
    <s v="Accessories"/>
    <s v="Silk Scarf"/>
    <s v="Grace Okafor"/>
    <n v="8"/>
    <n v="58.99"/>
    <n v="0"/>
    <n v="471.92"/>
    <n v="471.92"/>
  </r>
  <r>
    <s v="K7-10083"/>
    <d v="2026-02-14T00:00:00"/>
    <s v="Illinois"/>
    <s v="Midwest"/>
    <s v="Online"/>
    <s v="Returning"/>
    <s v="Tops"/>
    <s v="Henley Long Sleeve"/>
    <s v="Grace Okafor"/>
    <n v="1"/>
    <n v="46.98"/>
    <n v="0"/>
    <n v="46.98"/>
    <n v="46.98"/>
  </r>
  <r>
    <s v="K7-10084"/>
    <d v="2026-05-17T00:00:00"/>
    <s v="Oregon"/>
    <s v="West"/>
    <s v="Retail Store"/>
    <s v="Returning"/>
    <s v="Outerwear"/>
    <s v="Wool Overcoat"/>
    <s v="Priya Nair"/>
    <n v="8"/>
    <n v="301.87"/>
    <n v="0"/>
    <n v="2414.96"/>
    <n v="2414.96"/>
  </r>
  <r>
    <s v="K7-10085"/>
    <d v="2026-01-02T00:00:00"/>
    <s v="Idaho"/>
    <s v="West"/>
    <s v="Marketplace"/>
    <s v="New"/>
    <s v="Bottoms"/>
    <s v="Tailored Short"/>
    <s v="Noor Haddad"/>
    <n v="3"/>
    <n v="58.82"/>
    <n v="0.1"/>
    <n v="158.81"/>
    <n v="176.46"/>
  </r>
  <r>
    <s v="K7-10086"/>
    <d v="2026-11-27T00:00:00"/>
    <s v="Washington"/>
    <s v="West"/>
    <s v="Retail Store"/>
    <s v="Returning"/>
    <s v="Dresses"/>
    <s v="Linen Shirt Dress"/>
    <s v="Dylan Foster"/>
    <n v="1"/>
    <n v="140.41"/>
    <n v="0"/>
    <n v="140.41"/>
    <n v="140.41"/>
  </r>
  <r>
    <s v="K7-10087"/>
    <d v="2026-02-28T00:00:00"/>
    <s v="Ohio"/>
    <s v="Midwest"/>
    <s v="Wholesale"/>
    <s v="New"/>
    <s v="Tops"/>
    <s v="Classic Tee"/>
    <s v="Elena Vargas"/>
    <n v="1"/>
    <n v="33.1"/>
    <n v="0.05"/>
    <n v="31.45"/>
    <n v="33.1"/>
  </r>
  <r>
    <s v="K7-10088"/>
    <d v="2026-08-02T00:00:00"/>
    <s v="Indiana"/>
    <s v="Midwest"/>
    <s v="Retail Store"/>
    <s v="Returning"/>
    <s v="Tops"/>
    <s v="Oxford Shirt"/>
    <s v="Jonah Wright"/>
    <n v="5"/>
    <n v="64.099999999999994"/>
    <n v="0.05"/>
    <n v="304.47000000000003"/>
    <n v="320.5"/>
  </r>
  <r>
    <s v="K7-10089"/>
    <d v="2026-06-04T00:00:00"/>
    <s v="Ohio"/>
    <s v="Midwest"/>
    <s v="Online"/>
    <s v="Returning"/>
    <s v="Outerwear"/>
    <s v="Denim Trucker"/>
    <s v="Dylan Foster"/>
    <n v="1"/>
    <n v="136.1"/>
    <n v="0"/>
    <n v="136.1"/>
    <n v="136.1"/>
  </r>
  <r>
    <s v="K7-10090"/>
    <d v="2026-10-02T00:00:00"/>
    <s v="Texas"/>
    <s v="South"/>
    <s v="Online"/>
    <s v="New"/>
    <s v="Footwear"/>
    <s v="Leather Boot"/>
    <s v="Noor Haddad"/>
    <n v="1"/>
    <n v="218.55"/>
    <n v="0"/>
    <n v="218.55"/>
    <n v="218.55"/>
  </r>
  <r>
    <s v="K7-10091"/>
    <d v="2026-07-04T00:00:00"/>
    <s v="Louisiana"/>
    <s v="South"/>
    <s v="Online"/>
    <s v="New"/>
    <s v="Bottoms"/>
    <s v="Straight Jeans"/>
    <s v="Noor Haddad"/>
    <n v="2"/>
    <n v="87.64"/>
    <n v="0"/>
    <n v="175.28"/>
    <n v="175.28"/>
  </r>
  <r>
    <s v="K7-10092"/>
    <d v="2026-10-18T00:00:00"/>
    <s v="Florida"/>
    <s v="South"/>
    <s v="Online"/>
    <s v="New"/>
    <s v="Accessories"/>
    <s v="Leather Belt"/>
    <s v="Ava Brooks"/>
    <n v="10"/>
    <n v="44.93"/>
    <n v="0.15"/>
    <n v="381.9"/>
    <n v="449.3"/>
  </r>
  <r>
    <s v="K7-10093"/>
    <d v="2026-10-08T00:00:00"/>
    <s v="Alabama"/>
    <s v="South"/>
    <s v="Retail Store"/>
    <s v="Returning"/>
    <s v="Dresses"/>
    <s v="Linen Shirt Dress"/>
    <s v="Jonah Wright"/>
    <n v="2"/>
    <n v="137.32"/>
    <n v="0"/>
    <n v="274.64"/>
    <n v="274.64"/>
  </r>
  <r>
    <s v="K7-10094"/>
    <d v="2026-05-03T00:00:00"/>
    <s v="Georgia"/>
    <s v="South"/>
    <s v="Marketplace"/>
    <s v="Returning"/>
    <s v="Bottoms"/>
    <s v="Tailored Short"/>
    <s v="Priya Nair"/>
    <n v="8"/>
    <n v="56.54"/>
    <n v="0"/>
    <n v="452.32"/>
    <n v="452.32"/>
  </r>
  <r>
    <s v="K7-10095"/>
    <d v="2026-04-04T00:00:00"/>
    <s v="Virginia"/>
    <s v="South"/>
    <s v="Wholesale"/>
    <s v="Returning"/>
    <s v="Bottoms"/>
    <s v="Slim Chino"/>
    <s v="Elena Vargas"/>
    <n v="1"/>
    <n v="73.430000000000007"/>
    <n v="0.1"/>
    <n v="66.09"/>
    <n v="73.430000000000007"/>
  </r>
  <r>
    <s v="K7-10096"/>
    <d v="2026-06-02T00:00:00"/>
    <s v="Massachusetts"/>
    <s v="Northeast"/>
    <s v="Online"/>
    <s v="New"/>
    <s v="Dresses"/>
    <s v="Wrap Dress"/>
    <s v="Noor Haddad"/>
    <n v="13"/>
    <n v="120.77"/>
    <n v="0.15"/>
    <n v="1334.51"/>
    <n v="1570.01"/>
  </r>
  <r>
    <s v="K7-10097"/>
    <d v="2026-05-30T00:00:00"/>
    <s v="Colorado"/>
    <s v="West"/>
    <s v="Retail Store"/>
    <s v="New"/>
    <s v="Outerwear"/>
    <s v="Hooded Parka"/>
    <s v="Noor Haddad"/>
    <n v="1"/>
    <n v="240.99"/>
    <n v="0"/>
    <n v="240.99"/>
    <n v="240.99"/>
  </r>
  <r>
    <s v="K7-10098"/>
    <d v="2026-02-25T00:00:00"/>
    <s v="Illinois"/>
    <s v="Midwest"/>
    <s v="Retail Store"/>
    <s v="New"/>
    <s v="Bottoms"/>
    <s v="Tailored Short"/>
    <s v="Noor Haddad"/>
    <n v="1"/>
    <n v="59.54"/>
    <n v="0.1"/>
    <n v="53.59"/>
    <n v="59.54"/>
  </r>
  <r>
    <s v="K7-10099"/>
    <d v="2026-12-04T00:00:00"/>
    <s v="Tennessee"/>
    <s v="South"/>
    <s v="Marketplace"/>
    <s v="Returning"/>
    <s v="Footwear"/>
    <s v="Canvas Sneaker"/>
    <s v="Elena Vargas"/>
    <n v="3"/>
    <n v="85.36"/>
    <n v="0.15"/>
    <n v="217.67"/>
    <n v="256.08"/>
  </r>
  <r>
    <s v="K7-10100"/>
    <d v="2026-07-21T00:00:00"/>
    <s v="Pennsylvania"/>
    <s v="Northeast"/>
    <s v="Retail Store"/>
    <s v="Returning"/>
    <s v="Outerwear"/>
    <s v="Hooded Parka"/>
    <s v="Noor Haddad"/>
    <n v="1"/>
    <n v="252.78"/>
    <n v="0"/>
    <n v="252.78"/>
    <n v="252.78"/>
  </r>
  <r>
    <s v="K7-10101"/>
    <d v="2026-02-10T00:00:00"/>
    <s v="Ohio"/>
    <s v="Midwest"/>
    <s v="Retail Store"/>
    <s v="Returning"/>
    <s v="Footwear"/>
    <s v="Canvas Sneaker"/>
    <s v="Priya Nair"/>
    <n v="1"/>
    <n v="88.44"/>
    <n v="0.15"/>
    <n v="75.17"/>
    <n v="88.44"/>
  </r>
  <r>
    <s v="K7-10102"/>
    <d v="2026-04-17T00:00:00"/>
    <s v="Oregon"/>
    <s v="West"/>
    <s v="Online"/>
    <s v="New"/>
    <s v="Accessories"/>
    <s v="Canvas Tote"/>
    <s v="Marcus Reed"/>
    <n v="3"/>
    <n v="35.979999999999997"/>
    <n v="0"/>
    <n v="107.94"/>
    <n v="107.94"/>
  </r>
  <r>
    <s v="K7-10103"/>
    <d v="2026-11-06T00:00:00"/>
    <s v="Ohio"/>
    <s v="Midwest"/>
    <s v="Online"/>
    <s v="New"/>
    <s v="Tops"/>
    <s v="Striped Polo"/>
    <s v="Jonah Wright"/>
    <n v="5"/>
    <n v="52.54"/>
    <n v="0"/>
    <n v="262.7"/>
    <n v="262.7"/>
  </r>
  <r>
    <s v="K7-10104"/>
    <d v="2026-06-29T00:00:00"/>
    <s v="Virginia"/>
    <s v="South"/>
    <s v="Online"/>
    <s v="Returning"/>
    <s v="Tops"/>
    <s v="Henley Long Sleeve"/>
    <s v="Elena Vargas"/>
    <n v="2"/>
    <n v="44.81"/>
    <n v="0.05"/>
    <n v="85.14"/>
    <n v="89.62"/>
  </r>
  <r>
    <s v="K7-10105"/>
    <d v="2026-09-05T00:00:00"/>
    <s v="North Carolina"/>
    <s v="South"/>
    <s v="Marketplace"/>
    <s v="Returning"/>
    <s v="Accessories"/>
    <s v="Knit Beanie"/>
    <s v="Jonah Wright"/>
    <n v="2"/>
    <n v="26.09"/>
    <n v="0"/>
    <n v="52.18"/>
    <n v="52.18"/>
  </r>
  <r>
    <s v="K7-10106"/>
    <d v="2026-08-29T00:00:00"/>
    <s v="Florida"/>
    <s v="South"/>
    <s v="Marketplace"/>
    <s v="Returning"/>
    <s v="Bottoms"/>
    <s v="Tailored Short"/>
    <s v="Dylan Foster"/>
    <n v="10"/>
    <n v="55.43"/>
    <n v="0"/>
    <n v="554.29999999999995"/>
    <n v="554.29999999999995"/>
  </r>
  <r>
    <s v="K7-10107"/>
    <d v="2026-09-21T00:00:00"/>
    <s v="Georgia"/>
    <s v="South"/>
    <s v="Wholesale"/>
    <s v="New"/>
    <s v="Tops"/>
    <s v="Striped Polo"/>
    <s v="Priya Nair"/>
    <n v="2"/>
    <n v="50.28"/>
    <n v="0"/>
    <n v="100.56"/>
    <n v="100.56"/>
  </r>
  <r>
    <s v="K7-10108"/>
    <d v="2026-10-24T00:00:00"/>
    <s v="Texas"/>
    <s v="South"/>
    <s v="Online"/>
    <s v="New"/>
    <s v="Outerwear"/>
    <s v="Wool Overcoat"/>
    <s v="Grace Okafor"/>
    <n v="1"/>
    <n v="286.2"/>
    <n v="0.1"/>
    <n v="257.58"/>
    <n v="286.2"/>
  </r>
  <r>
    <s v="K7-10109"/>
    <d v="2026-08-08T00:00:00"/>
    <s v="Maryland"/>
    <s v="South"/>
    <s v="Retail Store"/>
    <s v="Returning"/>
    <s v="Accessories"/>
    <s v="Leather Belt"/>
    <s v="Priya Nair"/>
    <n v="1"/>
    <n v="47.3"/>
    <n v="0.2"/>
    <n v="37.840000000000003"/>
    <n v="47.3"/>
  </r>
  <r>
    <s v="K7-10110"/>
    <d v="2026-04-09T00:00:00"/>
    <s v="Alabama"/>
    <s v="South"/>
    <s v="Marketplace"/>
    <s v="New"/>
    <s v="Bottoms"/>
    <s v="Slim Chino"/>
    <s v="Dylan Foster"/>
    <n v="11"/>
    <n v="76.069999999999993"/>
    <n v="0"/>
    <n v="836.77"/>
    <n v="836.77"/>
  </r>
  <r>
    <s v="K7-10111"/>
    <d v="2026-09-10T00:00:00"/>
    <s v="California"/>
    <s v="West"/>
    <s v="Marketplace"/>
    <s v="Returning"/>
    <s v="Footwear"/>
    <s v="Canvas Sneaker"/>
    <s v="Jonah Wright"/>
    <n v="2"/>
    <n v="83.97"/>
    <n v="0"/>
    <n v="167.94"/>
    <n v="167.94"/>
  </r>
  <r>
    <s v="K7-10112"/>
    <d v="2026-09-12T00:00:00"/>
    <s v="Illinois"/>
    <s v="Midwest"/>
    <s v="Online"/>
    <s v="New"/>
    <s v="Outerwear"/>
    <s v="Wool Overcoat"/>
    <s v="Dylan Foster"/>
    <n v="4"/>
    <n v="278.98"/>
    <n v="0"/>
    <n v="1115.92"/>
    <n v="1115.92"/>
  </r>
  <r>
    <s v="K7-10113"/>
    <d v="2026-02-08T00:00:00"/>
    <s v="California"/>
    <s v="West"/>
    <s v="Marketplace"/>
    <s v="Returning"/>
    <s v="Footwear"/>
    <s v="Canvas Sneaker"/>
    <s v="Elena Vargas"/>
    <n v="3"/>
    <n v="85.16"/>
    <n v="0"/>
    <n v="255.48"/>
    <n v="255.48"/>
  </r>
  <r>
    <s v="K7-10114"/>
    <d v="2026-10-26T00:00:00"/>
    <s v="Utah"/>
    <s v="West"/>
    <s v="Online"/>
    <s v="New"/>
    <s v="Tops"/>
    <s v="Oxford Shirt"/>
    <s v="Grace Okafor"/>
    <n v="1"/>
    <n v="71.33"/>
    <n v="0"/>
    <n v="71.33"/>
    <n v="71.33"/>
  </r>
  <r>
    <s v="K7-10115"/>
    <d v="2026-07-06T00:00:00"/>
    <s v="Florida"/>
    <s v="South"/>
    <s v="Retail Store"/>
    <s v="Returning"/>
    <s v="Outerwear"/>
    <s v="Hooded Parka"/>
    <s v="Grace Okafor"/>
    <n v="1"/>
    <n v="251.87"/>
    <n v="0.2"/>
    <n v="201.5"/>
    <n v="251.87"/>
  </r>
  <r>
    <s v="K7-10116"/>
    <d v="2026-02-05T00:00:00"/>
    <s v="California"/>
    <s v="West"/>
    <s v="Retail Store"/>
    <s v="Returning"/>
    <s v="Tops"/>
    <s v="Classic Tee"/>
    <s v="Grace Okafor"/>
    <n v="6"/>
    <n v="30.37"/>
    <n v="0"/>
    <n v="182.22"/>
    <n v="182.22"/>
  </r>
  <r>
    <s v="K7-10117"/>
    <d v="2026-11-09T00:00:00"/>
    <s v="California"/>
    <s v="West"/>
    <s v="Retail Store"/>
    <s v="New"/>
    <s v="Footwear"/>
    <s v="Canvas Sneaker"/>
    <s v="Ava Brooks"/>
    <n v="6"/>
    <n v="88.05"/>
    <n v="0"/>
    <n v="528.29999999999995"/>
    <n v="528.29999999999995"/>
  </r>
  <r>
    <s v="K7-10118"/>
    <d v="2026-07-16T00:00:00"/>
    <s v="California"/>
    <s v="West"/>
    <s v="Online"/>
    <s v="New"/>
    <s v="Dresses"/>
    <s v="Linen Shirt Dress"/>
    <s v="Noor Haddad"/>
    <n v="2"/>
    <n v="140.65"/>
    <n v="0"/>
    <n v="281.3"/>
    <n v="281.3"/>
  </r>
  <r>
    <s v="K7-10119"/>
    <d v="2026-07-14T00:00:00"/>
    <s v="Nevada"/>
    <s v="West"/>
    <s v="Wholesale"/>
    <s v="New"/>
    <s v="Dresses"/>
    <s v="Midi Slip Dress"/>
    <s v="Dylan Foster"/>
    <n v="3"/>
    <n v="104.09"/>
    <n v="0.2"/>
    <n v="249.82"/>
    <n v="312.27"/>
  </r>
  <r>
    <s v="K7-10120"/>
    <d v="2026-04-18T00:00:00"/>
    <s v="Georgia"/>
    <s v="South"/>
    <s v="Online"/>
    <s v="New"/>
    <s v="Bottoms"/>
    <s v="Slim Chino"/>
    <s v="Elena Vargas"/>
    <n v="6"/>
    <n v="73.400000000000006"/>
    <n v="0"/>
    <n v="440.4"/>
    <n v="440.40000000000003"/>
  </r>
  <r>
    <s v="K7-10121"/>
    <d v="2026-09-01T00:00:00"/>
    <s v="California"/>
    <s v="West"/>
    <s v="Retail Store"/>
    <s v="Returning"/>
    <s v="Outerwear"/>
    <s v="Wool Overcoat"/>
    <s v="Jonah Wright"/>
    <n v="2"/>
    <n v="290.52999999999997"/>
    <n v="0.1"/>
    <n v="522.95000000000005"/>
    <n v="581.05999999999995"/>
  </r>
  <r>
    <s v="K7-10122"/>
    <d v="2026-08-05T00:00:00"/>
    <s v="Ohio"/>
    <s v="Midwest"/>
    <s v="Retail Store"/>
    <s v="New"/>
    <s v="Accessories"/>
    <s v="Canvas Tote"/>
    <s v="Noor Haddad"/>
    <n v="2"/>
    <n v="40.090000000000003"/>
    <n v="0"/>
    <n v="80.180000000000007"/>
    <n v="80.180000000000007"/>
  </r>
  <r>
    <s v="K7-10123"/>
    <d v="2026-07-10T00:00:00"/>
    <s v="New Jersey"/>
    <s v="Northeast"/>
    <s v="Retail Store"/>
    <s v="Returning"/>
    <s v="Outerwear"/>
    <s v="Wool Overcoat"/>
    <s v="Jonah Wright"/>
    <n v="1"/>
    <n v="302.19"/>
    <n v="0"/>
    <n v="302.19"/>
    <n v="302.19"/>
  </r>
  <r>
    <s v="K7-10124"/>
    <d v="2026-12-02T00:00:00"/>
    <s v="Maryland"/>
    <s v="South"/>
    <s v="Online"/>
    <s v="Returning"/>
    <s v="Tops"/>
    <s v="Classic Tee"/>
    <s v="Ava Brooks"/>
    <n v="2"/>
    <n v="30.61"/>
    <n v="0.1"/>
    <n v="55.1"/>
    <n v="61.22"/>
  </r>
  <r>
    <s v="K7-10125"/>
    <d v="2026-03-26T00:00:00"/>
    <s v="Tennessee"/>
    <s v="South"/>
    <s v="Retail Store"/>
    <s v="New"/>
    <s v="Outerwear"/>
    <s v="Denim Trucker"/>
    <s v="Marcus Reed"/>
    <n v="5"/>
    <n v="135.37"/>
    <n v="0.1"/>
    <n v="609.16999999999996"/>
    <n v="676.85"/>
  </r>
  <r>
    <s v="K7-10126"/>
    <d v="2026-08-02T00:00:00"/>
    <s v="Virginia"/>
    <s v="South"/>
    <s v="Marketplace"/>
    <s v="Returning"/>
    <s v="Outerwear"/>
    <s v="Denim Trucker"/>
    <s v="Dylan Foster"/>
    <n v="6"/>
    <n v="137.91999999999999"/>
    <n v="0.3"/>
    <n v="579.26"/>
    <n v="827.52"/>
  </r>
  <r>
    <s v="K7-10127"/>
    <d v="2026-06-29T00:00:00"/>
    <s v="Oregon"/>
    <s v="West"/>
    <s v="Retail Store"/>
    <s v="Returning"/>
    <s v="Dresses"/>
    <s v="Midi Slip Dress"/>
    <s v="Grace Okafor"/>
    <n v="2"/>
    <n v="99.78"/>
    <n v="0"/>
    <n v="199.56"/>
    <n v="199.56"/>
  </r>
  <r>
    <s v="K7-10128"/>
    <d v="2026-05-27T00:00:00"/>
    <s v="New Jersey"/>
    <s v="Northeast"/>
    <s v="Online"/>
    <s v="New"/>
    <s v="Outerwear"/>
    <s v="Quilted Jacket"/>
    <s v="Dylan Foster"/>
    <n v="2"/>
    <n v="170.75"/>
    <n v="0"/>
    <n v="341.5"/>
    <n v="341.5"/>
  </r>
  <r>
    <s v="K7-10129"/>
    <d v="2026-02-03T00:00:00"/>
    <s v="Texas"/>
    <s v="South"/>
    <s v="Retail Store"/>
    <s v="Returning"/>
    <s v="Outerwear"/>
    <s v="Quilted Jacket"/>
    <s v="Marcus Reed"/>
    <n v="1"/>
    <n v="178.46"/>
    <n v="0.3"/>
    <n v="124.92"/>
    <n v="178.46"/>
  </r>
  <r>
    <s v="K7-10130"/>
    <d v="2026-04-10T00:00:00"/>
    <s v="Wisconsin"/>
    <s v="Midwest"/>
    <s v="Marketplace"/>
    <s v="Returning"/>
    <s v="Bottoms"/>
    <s v="Cargo Pant"/>
    <s v="Grace Okafor"/>
    <n v="6"/>
    <n v="89.06"/>
    <n v="0.1"/>
    <n v="480.92"/>
    <n v="534.36"/>
  </r>
  <r>
    <s v="K7-10131"/>
    <d v="2026-12-29T00:00:00"/>
    <s v="Michigan"/>
    <s v="Midwest"/>
    <s v="Online"/>
    <s v="Returning"/>
    <s v="Outerwear"/>
    <s v="Denim Trucker"/>
    <s v="Marcus Reed"/>
    <n v="1"/>
    <n v="125.08"/>
    <n v="0"/>
    <n v="125.08"/>
    <n v="125.08"/>
  </r>
  <r>
    <s v="K7-10132"/>
    <d v="2026-03-02T00:00:00"/>
    <s v="Pennsylvania"/>
    <s v="Northeast"/>
    <s v="Marketplace"/>
    <s v="New"/>
    <s v="Outerwear"/>
    <s v="Hooded Parka"/>
    <s v="Priya Nair"/>
    <n v="1"/>
    <n v="229.19"/>
    <n v="0"/>
    <n v="229.19"/>
    <n v="229.19"/>
  </r>
  <r>
    <s v="K7-10133"/>
    <d v="2026-07-02T00:00:00"/>
    <s v="California"/>
    <s v="West"/>
    <s v="Online"/>
    <s v="Returning"/>
    <s v="Bottoms"/>
    <s v="Slim Chino"/>
    <s v="Noor Haddad"/>
    <n v="3"/>
    <n v="80.86"/>
    <n v="0"/>
    <n v="242.58"/>
    <n v="242.57999999999998"/>
  </r>
  <r>
    <s v="K7-10134"/>
    <d v="2026-12-02T00:00:00"/>
    <s v="Illinois"/>
    <s v="Midwest"/>
    <s v="Online"/>
    <s v="New"/>
    <s v="Tops"/>
    <s v="Oxford Shirt"/>
    <s v="Marcus Reed"/>
    <n v="1"/>
    <n v="69.13"/>
    <n v="0"/>
    <n v="69.13"/>
    <n v="69.13"/>
  </r>
  <r>
    <s v="K7-10135"/>
    <d v="2026-06-29T00:00:00"/>
    <s v="Georgia"/>
    <s v="South"/>
    <s v="Online"/>
    <s v="New"/>
    <s v="Outerwear"/>
    <s v="Wool Overcoat"/>
    <s v="Dylan Foster"/>
    <n v="4"/>
    <n v="281.83"/>
    <n v="0.05"/>
    <n v="1070.95"/>
    <n v="1127.32"/>
  </r>
  <r>
    <s v="K7-10136"/>
    <d v="2026-10-14T00:00:00"/>
    <s v="New Jersey"/>
    <s v="Northeast"/>
    <s v="Online"/>
    <s v="Returning"/>
    <s v="Footwear"/>
    <s v="Leather Boot"/>
    <s v="Priya Nair"/>
    <n v="3"/>
    <n v="205.81"/>
    <n v="0"/>
    <n v="617.42999999999995"/>
    <n v="617.43000000000006"/>
  </r>
  <r>
    <s v="K7-10137"/>
    <d v="2026-02-09T00:00:00"/>
    <s v="Texas"/>
    <s v="South"/>
    <s v="Retail Store"/>
    <s v="Returning"/>
    <s v="Accessories"/>
    <s v="Knit Beanie"/>
    <s v="Elena Vargas"/>
    <n v="2"/>
    <n v="24.69"/>
    <n v="0"/>
    <n v="49.38"/>
    <n v="49.38"/>
  </r>
  <r>
    <s v="K7-10138"/>
    <d v="2026-10-23T00:00:00"/>
    <s v="Florida"/>
    <s v="South"/>
    <s v="Wholesale"/>
    <s v="Returning"/>
    <s v="Footwear"/>
    <s v="Suede Loafer"/>
    <s v="Marcus Reed"/>
    <n v="1"/>
    <n v="156.43"/>
    <n v="0"/>
    <n v="156.43"/>
    <n v="156.43"/>
  </r>
  <r>
    <s v="K7-10139"/>
    <d v="2026-02-07T00:00:00"/>
    <s v="North Carolina"/>
    <s v="South"/>
    <s v="Online"/>
    <s v="New"/>
    <s v="Bottoms"/>
    <s v="Tailored Short"/>
    <s v="Grace Okafor"/>
    <n v="1"/>
    <n v="56.7"/>
    <n v="0"/>
    <n v="56.7"/>
    <n v="56.7"/>
  </r>
  <r>
    <s v="K7-10140"/>
    <d v="2026-08-09T00:00:00"/>
    <s v="Pennsylvania"/>
    <s v="Northeast"/>
    <s v="Retail Store"/>
    <s v="Returning"/>
    <s v="Dresses"/>
    <s v="Midi Slip Dress"/>
    <s v="Jonah Wright"/>
    <n v="3"/>
    <n v="95.74"/>
    <n v="0.15"/>
    <n v="244.14"/>
    <n v="287.21999999999997"/>
  </r>
  <r>
    <s v="K7-10141"/>
    <d v="2026-06-20T00:00:00"/>
    <s v="Illinois"/>
    <s v="Midwest"/>
    <s v="Online"/>
    <s v="Returning"/>
    <s v="Dresses"/>
    <s v="Linen Shirt Dress"/>
    <s v="Jonah Wright"/>
    <n v="1"/>
    <n v="126.58"/>
    <n v="0"/>
    <n v="126.58"/>
    <n v="126.58"/>
  </r>
  <r>
    <s v="K7-10142"/>
    <d v="2026-07-30T00:00:00"/>
    <s v="Michigan"/>
    <s v="Midwest"/>
    <s v="Online"/>
    <s v="New"/>
    <s v="Bottoms"/>
    <s v="Tailored Short"/>
    <s v="Dylan Foster"/>
    <n v="5"/>
    <n v="59.24"/>
    <n v="0.05"/>
    <n v="281.39"/>
    <n v="296.2"/>
  </r>
  <r>
    <s v="K7-10143"/>
    <d v="2026-10-01T00:00:00"/>
    <s v="Ohio"/>
    <s v="Midwest"/>
    <s v="Online"/>
    <s v="New"/>
    <s v="Bottoms"/>
    <s v="Cargo Pant"/>
    <s v="Noor Haddad"/>
    <n v="2"/>
    <n v="81.19"/>
    <n v="0"/>
    <n v="162.38"/>
    <n v="162.38"/>
  </r>
  <r>
    <s v="K7-10144"/>
    <d v="2026-03-29T00:00:00"/>
    <s v="Michigan"/>
    <s v="Midwest"/>
    <s v="Marketplace"/>
    <s v="Returning"/>
    <s v="Bottoms"/>
    <s v="Slim Chino"/>
    <s v="Ava Brooks"/>
    <n v="2"/>
    <n v="75.23"/>
    <n v="0"/>
    <n v="150.46"/>
    <n v="150.46"/>
  </r>
  <r>
    <s v="K7-10145"/>
    <d v="2026-11-10T00:00:00"/>
    <s v="California"/>
    <s v="West"/>
    <s v="Wholesale"/>
    <s v="Returning"/>
    <s v="Bottoms"/>
    <s v="Slim Chino"/>
    <s v="Jonah Wright"/>
    <n v="4"/>
    <n v="70.81"/>
    <n v="0.05"/>
    <n v="269.08"/>
    <n v="283.24"/>
  </r>
  <r>
    <s v="K7-10146"/>
    <d v="2026-06-24T00:00:00"/>
    <s v="Florida"/>
    <s v="South"/>
    <s v="Wholesale"/>
    <s v="New"/>
    <s v="Tops"/>
    <s v="Classic Tee"/>
    <s v="Jonah Wright"/>
    <n v="1"/>
    <n v="33.979999999999997"/>
    <n v="0.1"/>
    <n v="30.58"/>
    <n v="33.979999999999997"/>
  </r>
  <r>
    <s v="K7-10147"/>
    <d v="2026-11-27T00:00:00"/>
    <s v="Louisiana"/>
    <s v="South"/>
    <s v="Retail Store"/>
    <s v="New"/>
    <s v="Outerwear"/>
    <s v="Hooded Parka"/>
    <s v="Dylan Foster"/>
    <n v="2"/>
    <n v="220.99"/>
    <n v="0"/>
    <n v="441.98"/>
    <n v="441.98"/>
  </r>
  <r>
    <s v="K7-10148"/>
    <d v="2026-03-10T00:00:00"/>
    <s v="Missouri"/>
    <s v="Midwest"/>
    <s v="Wholesale"/>
    <s v="Returning"/>
    <s v="Outerwear"/>
    <s v="Wool Overcoat"/>
    <s v="Jonah Wright"/>
    <n v="4"/>
    <n v="278.97000000000003"/>
    <n v="0.05"/>
    <n v="1060.0899999999999"/>
    <n v="1115.8800000000001"/>
  </r>
  <r>
    <s v="K7-10149"/>
    <d v="2026-04-08T00:00:00"/>
    <s v="Missouri"/>
    <s v="Midwest"/>
    <s v="Marketplace"/>
    <s v="Returning"/>
    <s v="Dresses"/>
    <s v="Wrap Dress"/>
    <s v="Elena Vargas"/>
    <n v="1"/>
    <n v="109.25"/>
    <n v="0"/>
    <n v="109.25"/>
    <n v="109.25"/>
  </r>
  <r>
    <s v="K7-10150"/>
    <d v="2026-08-05T00:00:00"/>
    <s v="Ohio"/>
    <s v="Midwest"/>
    <s v="Online"/>
    <s v="New"/>
    <s v="Outerwear"/>
    <s v="Quilted Jacket"/>
    <s v="Marcus Reed"/>
    <n v="6"/>
    <n v="166.56"/>
    <n v="0"/>
    <n v="999.36"/>
    <n v="999.36"/>
  </r>
  <r>
    <s v="K7-10151"/>
    <d v="2026-05-08T00:00:00"/>
    <s v="Florida"/>
    <s v="South"/>
    <s v="Online"/>
    <s v="New"/>
    <s v="Bottoms"/>
    <s v="Tailored Short"/>
    <s v="Grace Okafor"/>
    <n v="5"/>
    <n v="61.53"/>
    <n v="0.2"/>
    <n v="246.12"/>
    <n v="307.64999999999998"/>
  </r>
  <r>
    <s v="K7-10152"/>
    <d v="2026-11-06T00:00:00"/>
    <s v="Colorado"/>
    <s v="West"/>
    <s v="Online"/>
    <s v="New"/>
    <s v="Tops"/>
    <s v="Henley Long Sleeve"/>
    <s v="Elena Vargas"/>
    <n v="5"/>
    <n v="47.74"/>
    <n v="0.15"/>
    <n v="202.9"/>
    <n v="238.70000000000002"/>
  </r>
  <r>
    <s v="K7-10153"/>
    <d v="2026-03-21T00:00:00"/>
    <s v="Georgia"/>
    <s v="South"/>
    <s v="Retail Store"/>
    <s v="Returning"/>
    <s v="Accessories"/>
    <s v="Knit Beanie"/>
    <s v="Dylan Foster"/>
    <n v="1"/>
    <n v="27.56"/>
    <n v="0.2"/>
    <n v="22.05"/>
    <n v="27.56"/>
  </r>
  <r>
    <s v="K7-10154"/>
    <d v="2026-07-01T00:00:00"/>
    <s v="California"/>
    <s v="West"/>
    <s v="Wholesale"/>
    <s v="Returning"/>
    <s v="Tops"/>
    <s v="Henley Long Sleeve"/>
    <s v="Dylan Foster"/>
    <n v="9"/>
    <n v="47.61"/>
    <n v="0"/>
    <n v="428.49"/>
    <n v="428.49"/>
  </r>
  <r>
    <s v="K7-10155"/>
    <d v="2026-06-23T00:00:00"/>
    <s v="Florida"/>
    <s v="South"/>
    <s v="Online"/>
    <s v="New"/>
    <s v="Accessories"/>
    <s v="Knit Beanie"/>
    <s v="Grace Okafor"/>
    <n v="2"/>
    <n v="24.51"/>
    <n v="0"/>
    <n v="49.02"/>
    <n v="49.02"/>
  </r>
  <r>
    <s v="K7-10156"/>
    <d v="2026-04-21T00:00:00"/>
    <s v="Georgia"/>
    <s v="South"/>
    <s v="Marketplace"/>
    <s v="New"/>
    <s v="Footwear"/>
    <s v="Canvas Sneaker"/>
    <s v="Priya Nair"/>
    <n v="1"/>
    <n v="82.46"/>
    <n v="0"/>
    <n v="82.46"/>
    <n v="82.46"/>
  </r>
  <r>
    <s v="K7-10157"/>
    <d v="2026-05-18T00:00:00"/>
    <s v="Minnesota"/>
    <s v="Midwest"/>
    <s v="Online"/>
    <s v="Returning"/>
    <s v="Bottoms"/>
    <s v="Tailored Short"/>
    <s v="Marcus Reed"/>
    <n v="2"/>
    <n v="60.2"/>
    <n v="0"/>
    <n v="120.4"/>
    <n v="120.4"/>
  </r>
  <r>
    <s v="K7-10158"/>
    <d v="2026-04-03T00:00:00"/>
    <s v="Virginia"/>
    <s v="South"/>
    <s v="Online"/>
    <s v="Returning"/>
    <s v="Bottoms"/>
    <s v="Slim Chino"/>
    <s v="Grace Okafor"/>
    <n v="1"/>
    <n v="72.36"/>
    <n v="0"/>
    <n v="72.36"/>
    <n v="72.36"/>
  </r>
  <r>
    <s v="K7-10159"/>
    <d v="2026-09-29T00:00:00"/>
    <s v="Georgia"/>
    <s v="South"/>
    <s v="Retail Store"/>
    <s v="New"/>
    <s v="Dresses"/>
    <s v="Linen Shirt Dress"/>
    <s v="Jonah Wright"/>
    <n v="1"/>
    <n v="125.55"/>
    <n v="0.05"/>
    <n v="119.27"/>
    <n v="125.55"/>
  </r>
  <r>
    <s v="K7-10160"/>
    <d v="2026-01-22T00:00:00"/>
    <s v="Indiana"/>
    <s v="Midwest"/>
    <s v="Retail Store"/>
    <s v="Returning"/>
    <s v="Outerwear"/>
    <s v="Wool Overcoat"/>
    <s v="Priya Nair"/>
    <n v="1"/>
    <n v="284.72000000000003"/>
    <n v="0"/>
    <n v="284.72000000000003"/>
    <n v="284.72000000000003"/>
  </r>
  <r>
    <s v="K7-10161"/>
    <d v="2026-03-23T00:00:00"/>
    <s v="New Jersey"/>
    <s v="Northeast"/>
    <s v="Retail Store"/>
    <s v="New"/>
    <s v="Bottoms"/>
    <s v="Straight Jeans"/>
    <s v="Marcus Reed"/>
    <n v="3"/>
    <n v="86.57"/>
    <n v="0"/>
    <n v="259.70999999999998"/>
    <n v="259.70999999999998"/>
  </r>
  <r>
    <s v="K7-10162"/>
    <d v="2026-07-14T00:00:00"/>
    <s v="New York"/>
    <s v="Northeast"/>
    <s v="Retail Store"/>
    <s v="Returning"/>
    <s v="Footwear"/>
    <s v="Canvas Sneaker"/>
    <s v="Noor Haddad"/>
    <n v="1"/>
    <n v="85.4"/>
    <n v="0.05"/>
    <n v="81.13"/>
    <n v="85.4"/>
  </r>
  <r>
    <s v="K7-10163"/>
    <d v="2026-01-20T00:00:00"/>
    <s v="Virginia"/>
    <s v="South"/>
    <s v="Marketplace"/>
    <s v="Returning"/>
    <s v="Bottoms"/>
    <s v="Slim Chino"/>
    <s v="Priya Nair"/>
    <n v="3"/>
    <n v="70.540000000000006"/>
    <n v="0.05"/>
    <n v="201.04"/>
    <n v="211.62"/>
  </r>
  <r>
    <s v="K7-10164"/>
    <d v="2026-05-21T00:00:00"/>
    <s v="Missouri"/>
    <s v="Midwest"/>
    <s v="Retail Store"/>
    <s v="New"/>
    <s v="Dresses"/>
    <s v="Midi Slip Dress"/>
    <s v="Jonah Wright"/>
    <n v="3"/>
    <n v="96.05"/>
    <n v="0"/>
    <n v="288.14999999999998"/>
    <n v="288.14999999999998"/>
  </r>
  <r>
    <s v="K7-10165"/>
    <d v="2026-10-26T00:00:00"/>
    <s v="Florida"/>
    <s v="South"/>
    <s v="Marketplace"/>
    <s v="Returning"/>
    <s v="Footwear"/>
    <s v="Canvas Sneaker"/>
    <s v="Jonah Wright"/>
    <n v="2"/>
    <n v="82.57"/>
    <n v="0"/>
    <n v="165.14"/>
    <n v="165.14"/>
  </r>
  <r>
    <s v="K7-10166"/>
    <d v="2026-10-10T00:00:00"/>
    <s v="Florida"/>
    <s v="South"/>
    <s v="Online"/>
    <s v="Returning"/>
    <s v="Outerwear"/>
    <s v="Quilted Jacket"/>
    <s v="Priya Nair"/>
    <n v="5"/>
    <n v="178.25"/>
    <n v="0"/>
    <n v="891.25"/>
    <n v="891.25"/>
  </r>
  <r>
    <s v="K7-10167"/>
    <d v="2026-11-13T00:00:00"/>
    <s v="Florida"/>
    <s v="South"/>
    <s v="Marketplace"/>
    <s v="Returning"/>
    <s v="Tops"/>
    <s v="Striped Polo"/>
    <s v="Jonah Wright"/>
    <n v="2"/>
    <n v="53.95"/>
    <n v="0"/>
    <n v="107.9"/>
    <n v="107.9"/>
  </r>
  <r>
    <s v="K7-10168"/>
    <d v="2026-03-12T00:00:00"/>
    <s v="Idaho"/>
    <s v="West"/>
    <s v="Online"/>
    <s v="New"/>
    <s v="Outerwear"/>
    <s v="Denim Trucker"/>
    <s v="Jonah Wright"/>
    <n v="1"/>
    <n v="137.93"/>
    <n v="0"/>
    <n v="137.93"/>
    <n v="137.93"/>
  </r>
  <r>
    <s v="K7-10169"/>
    <d v="2026-06-22T00:00:00"/>
    <s v="Arizona"/>
    <s v="West"/>
    <s v="Retail Store"/>
    <s v="Returning"/>
    <s v="Accessories"/>
    <s v="Canvas Tote"/>
    <s v="Priya Nair"/>
    <n v="4"/>
    <n v="36.049999999999997"/>
    <n v="0.05"/>
    <n v="136.99"/>
    <n v="144.19999999999999"/>
  </r>
  <r>
    <s v="K7-10170"/>
    <d v="2026-01-14T00:00:00"/>
    <s v="Texas"/>
    <s v="South"/>
    <s v="Online"/>
    <s v="Returning"/>
    <s v="Footwear"/>
    <s v="Suede Loafer"/>
    <s v="Elena Vargas"/>
    <n v="1"/>
    <n v="166.75"/>
    <n v="0"/>
    <n v="166.75"/>
    <n v="166.75"/>
  </r>
  <r>
    <s v="K7-10171"/>
    <d v="2026-01-30T00:00:00"/>
    <s v="New Jersey"/>
    <s v="Northeast"/>
    <s v="Retail Store"/>
    <s v="New"/>
    <s v="Tops"/>
    <s v="Henley Long Sleeve"/>
    <s v="Ava Brooks"/>
    <n v="1"/>
    <n v="44.43"/>
    <n v="0"/>
    <n v="44.43"/>
    <n v="44.43"/>
  </r>
  <r>
    <s v="K7-10172"/>
    <d v="2026-09-10T00:00:00"/>
    <s v="Illinois"/>
    <s v="Midwest"/>
    <s v="Retail Store"/>
    <s v="New"/>
    <s v="Outerwear"/>
    <s v="Hooded Parka"/>
    <s v="Dylan Foster"/>
    <n v="1"/>
    <n v="226.31"/>
    <n v="0"/>
    <n v="226.31"/>
    <n v="226.31"/>
  </r>
  <r>
    <s v="K7-10173"/>
    <d v="2026-03-14T00:00:00"/>
    <s v="North Carolina"/>
    <s v="South"/>
    <s v="Online"/>
    <s v="Returning"/>
    <s v="Bottoms"/>
    <s v="Slim Chino"/>
    <s v="Marcus Reed"/>
    <n v="2"/>
    <n v="73.55"/>
    <n v="0"/>
    <n v="147.1"/>
    <n v="147.1"/>
  </r>
  <r>
    <s v="K7-10174"/>
    <d v="2026-03-28T00:00:00"/>
    <s v="Tennessee"/>
    <s v="South"/>
    <s v="Online"/>
    <s v="Returning"/>
    <s v="Bottoms"/>
    <s v="Cargo Pant"/>
    <s v="Jonah Wright"/>
    <n v="2"/>
    <n v="79.44"/>
    <n v="0"/>
    <n v="158.88"/>
    <n v="158.88"/>
  </r>
  <r>
    <s v="K7-10175"/>
    <d v="2026-08-08T00:00:00"/>
    <s v="Texas"/>
    <s v="South"/>
    <s v="Wholesale"/>
    <s v="New"/>
    <s v="Accessories"/>
    <s v="Silk Scarf"/>
    <s v="Grace Okafor"/>
    <n v="10"/>
    <n v="61.49"/>
    <n v="0"/>
    <n v="614.9"/>
    <n v="614.9"/>
  </r>
  <r>
    <s v="K7-10176"/>
    <d v="2026-08-18T00:00:00"/>
    <s v="Alabama"/>
    <s v="South"/>
    <s v="Online"/>
    <s v="New"/>
    <s v="Tops"/>
    <s v="Classic Tee"/>
    <s v="Noor Haddad"/>
    <n v="8"/>
    <n v="32.28"/>
    <n v="0"/>
    <n v="258.24"/>
    <n v="258.24"/>
  </r>
  <r>
    <s v="K7-10177"/>
    <d v="2026-12-15T00:00:00"/>
    <s v="Virginia"/>
    <s v="South"/>
    <s v="Wholesale"/>
    <s v="New"/>
    <s v="Bottoms"/>
    <s v="Slim Chino"/>
    <s v="Grace Okafor"/>
    <n v="5"/>
    <n v="78.86"/>
    <n v="0"/>
    <n v="394.3"/>
    <n v="394.3"/>
  </r>
  <r>
    <s v="K7-10178"/>
    <d v="2026-05-20T00:00:00"/>
    <s v="Louisiana"/>
    <s v="South"/>
    <s v="Online"/>
    <s v="Returning"/>
    <s v="Outerwear"/>
    <s v="Wool Overcoat"/>
    <s v="Marcus Reed"/>
    <n v="3"/>
    <n v="308.88"/>
    <n v="0"/>
    <n v="926.64"/>
    <n v="926.64"/>
  </r>
  <r>
    <s v="K7-10179"/>
    <d v="2026-03-01T00:00:00"/>
    <s v="New York"/>
    <s v="Northeast"/>
    <s v="Online"/>
    <s v="Returning"/>
    <s v="Footwear"/>
    <s v="Leather Boot"/>
    <s v="Grace Okafor"/>
    <n v="2"/>
    <n v="211.19"/>
    <n v="0"/>
    <n v="422.38"/>
    <n v="422.38"/>
  </r>
  <r>
    <s v="K7-10180"/>
    <d v="2026-11-24T00:00:00"/>
    <s v="North Carolina"/>
    <s v="South"/>
    <s v="Wholesale"/>
    <s v="Returning"/>
    <s v="Tops"/>
    <s v="Henley Long Sleeve"/>
    <s v="Elena Vargas"/>
    <n v="1"/>
    <n v="43.89"/>
    <n v="0"/>
    <n v="43.89"/>
    <n v="43.89"/>
  </r>
  <r>
    <s v="K7-10181"/>
    <d v="2026-11-05T00:00:00"/>
    <s v="Ohio"/>
    <s v="Midwest"/>
    <s v="Wholesale"/>
    <s v="Returning"/>
    <s v="Bottoms"/>
    <s v="Tailored Short"/>
    <s v="Priya Nair"/>
    <n v="4"/>
    <n v="59.85"/>
    <n v="0"/>
    <n v="239.4"/>
    <n v="239.4"/>
  </r>
  <r>
    <s v="K7-10182"/>
    <d v="2026-01-15T00:00:00"/>
    <s v="Texas"/>
    <s v="South"/>
    <s v="Retail Store"/>
    <s v="Returning"/>
    <s v="Footwear"/>
    <s v="Suede Loafer"/>
    <s v="Grace Okafor"/>
    <n v="1"/>
    <n v="146.72999999999999"/>
    <n v="0.1"/>
    <n v="132.06"/>
    <n v="146.72999999999999"/>
  </r>
  <r>
    <s v="K7-10183"/>
    <d v="2026-10-15T00:00:00"/>
    <s v="Ohio"/>
    <s v="Midwest"/>
    <s v="Online"/>
    <s v="New"/>
    <s v="Footwear"/>
    <s v="Suede Loafer"/>
    <s v="Marcus Reed"/>
    <n v="5"/>
    <n v="162.57"/>
    <n v="0"/>
    <n v="812.85"/>
    <n v="812.84999999999991"/>
  </r>
  <r>
    <s v="K7-10184"/>
    <d v="2026-01-12T00:00:00"/>
    <s v="Maryland"/>
    <s v="South"/>
    <s v="Online"/>
    <s v="Returning"/>
    <s v="Dresses"/>
    <s v="Wrap Dress"/>
    <s v="Grace Okafor"/>
    <n v="3"/>
    <n v="114.58"/>
    <n v="0"/>
    <n v="343.74"/>
    <n v="343.74"/>
  </r>
  <r>
    <s v="K7-10185"/>
    <d v="2026-08-09T00:00:00"/>
    <s v="Washington"/>
    <s v="West"/>
    <s v="Online"/>
    <s v="Returning"/>
    <s v="Accessories"/>
    <s v="Leather Belt"/>
    <s v="Dylan Foster"/>
    <n v="2"/>
    <n v="47.06"/>
    <n v="0.05"/>
    <n v="89.41"/>
    <n v="94.12"/>
  </r>
  <r>
    <s v="K7-10186"/>
    <d v="2026-06-27T00:00:00"/>
    <s v="Ohio"/>
    <s v="Midwest"/>
    <s v="Wholesale"/>
    <s v="Returning"/>
    <s v="Bottoms"/>
    <s v="Slim Chino"/>
    <s v="Priya Nair"/>
    <n v="1"/>
    <n v="73.97"/>
    <n v="0"/>
    <n v="73.97"/>
    <n v="73.97"/>
  </r>
  <r>
    <s v="K7-10187"/>
    <d v="2026-04-17T00:00:00"/>
    <s v="Texas"/>
    <s v="South"/>
    <s v="Marketplace"/>
    <s v="Returning"/>
    <s v="Tops"/>
    <s v="Striped Polo"/>
    <s v="Ava Brooks"/>
    <n v="2"/>
    <n v="57.98"/>
    <n v="0.15"/>
    <n v="98.57"/>
    <n v="115.96"/>
  </r>
  <r>
    <s v="K7-10188"/>
    <d v="2026-05-04T00:00:00"/>
    <s v="Florida"/>
    <s v="South"/>
    <s v="Wholesale"/>
    <s v="Returning"/>
    <s v="Bottoms"/>
    <s v="Cargo Pant"/>
    <s v="Marcus Reed"/>
    <n v="1"/>
    <n v="84.98"/>
    <n v="0"/>
    <n v="84.98"/>
    <n v="84.98"/>
  </r>
  <r>
    <s v="K7-10189"/>
    <d v="2026-07-24T00:00:00"/>
    <s v="Texas"/>
    <s v="South"/>
    <s v="Online"/>
    <s v="Returning"/>
    <s v="Dresses"/>
    <s v="Wrap Dress"/>
    <s v="Priya Nair"/>
    <n v="4"/>
    <n v="115.46"/>
    <n v="0.05"/>
    <n v="438.75"/>
    <n v="461.84"/>
  </r>
  <r>
    <s v="K7-10190"/>
    <d v="2026-02-17T00:00:00"/>
    <s v="New York"/>
    <s v="Northeast"/>
    <s v="Online"/>
    <s v="New"/>
    <s v="Dresses"/>
    <s v="Midi Slip Dress"/>
    <s v="Dylan Foster"/>
    <n v="1"/>
    <n v="103.43"/>
    <n v="0.05"/>
    <n v="98.26"/>
    <n v="103.43"/>
  </r>
  <r>
    <s v="K7-10191"/>
    <d v="2026-11-24T00:00:00"/>
    <s v="Tennessee"/>
    <s v="South"/>
    <s v="Online"/>
    <s v="New"/>
    <s v="Bottoms"/>
    <s v="Slim Chino"/>
    <s v="Noor Haddad"/>
    <n v="2"/>
    <n v="78.36"/>
    <n v="0"/>
    <n v="156.72"/>
    <n v="156.72"/>
  </r>
  <r>
    <s v="K7-10192"/>
    <d v="2026-05-04T00:00:00"/>
    <s v="Ohio"/>
    <s v="Midwest"/>
    <s v="Online"/>
    <s v="Returning"/>
    <s v="Outerwear"/>
    <s v="Quilted Jacket"/>
    <s v="Priya Nair"/>
    <n v="1"/>
    <n v="165.07"/>
    <n v="0"/>
    <n v="165.07"/>
    <n v="165.07"/>
  </r>
  <r>
    <s v="K7-10193"/>
    <d v="2026-01-14T00:00:00"/>
    <s v="New Jersey"/>
    <s v="Northeast"/>
    <s v="Retail Store"/>
    <s v="New"/>
    <s v="Dresses"/>
    <s v="Midi Slip Dress"/>
    <s v="Marcus Reed"/>
    <n v="3"/>
    <n v="98.6"/>
    <n v="0"/>
    <n v="295.8"/>
    <n v="295.79999999999995"/>
  </r>
  <r>
    <s v="K7-10194"/>
    <d v="2026-09-13T00:00:00"/>
    <s v="Massachusetts"/>
    <s v="Northeast"/>
    <s v="Marketplace"/>
    <s v="Returning"/>
    <s v="Accessories"/>
    <s v="Silk Scarf"/>
    <s v="Grace Okafor"/>
    <n v="1"/>
    <n v="65.62"/>
    <n v="0"/>
    <n v="65.62"/>
    <n v="65.62"/>
  </r>
  <r>
    <s v="K7-10195"/>
    <d v="2026-04-13T00:00:00"/>
    <s v="Pennsylvania"/>
    <s v="Northeast"/>
    <s v="Online"/>
    <s v="Returning"/>
    <s v="Bottoms"/>
    <s v="Straight Jeans"/>
    <s v="Marcus Reed"/>
    <n v="1"/>
    <n v="94.1"/>
    <n v="0"/>
    <n v="94.1"/>
    <n v="94.1"/>
  </r>
  <r>
    <s v="K7-10196"/>
    <d v="2026-01-14T00:00:00"/>
    <s v="Virginia"/>
    <s v="South"/>
    <s v="Retail Store"/>
    <s v="New"/>
    <s v="Bottoms"/>
    <s v="Straight Jeans"/>
    <s v="Grace Okafor"/>
    <n v="1"/>
    <n v="89.45"/>
    <n v="0"/>
    <n v="89.45"/>
    <n v="89.45"/>
  </r>
  <r>
    <s v="K7-10197"/>
    <d v="2026-08-16T00:00:00"/>
    <s v="California"/>
    <s v="West"/>
    <s v="Online"/>
    <s v="New"/>
    <s v="Footwear"/>
    <s v="Canvas Sneaker"/>
    <s v="Priya Nair"/>
    <n v="1"/>
    <n v="82.71"/>
    <n v="0"/>
    <n v="82.71"/>
    <n v="82.71"/>
  </r>
  <r>
    <s v="K7-10198"/>
    <d v="2026-04-03T00:00:00"/>
    <s v="North Carolina"/>
    <s v="South"/>
    <s v="Online"/>
    <s v="Returning"/>
    <s v="Dresses"/>
    <s v="Wrap Dress"/>
    <s v="Marcus Reed"/>
    <n v="5"/>
    <n v="113.93"/>
    <n v="0"/>
    <n v="569.65"/>
    <n v="569.65000000000009"/>
  </r>
  <r>
    <s v="K7-10199"/>
    <d v="2026-09-09T00:00:00"/>
    <s v="Ohio"/>
    <s v="Midwest"/>
    <s v="Online"/>
    <s v="Returning"/>
    <s v="Outerwear"/>
    <s v="Quilted Jacket"/>
    <s v="Priya Nair"/>
    <n v="3"/>
    <n v="162.58000000000001"/>
    <n v="0"/>
    <n v="487.74"/>
    <n v="487.74"/>
  </r>
  <r>
    <s v="K7-10200"/>
    <d v="2026-12-08T00:00:00"/>
    <s v="New York"/>
    <s v="Northeast"/>
    <s v="Online"/>
    <s v="New"/>
    <s v="Outerwear"/>
    <s v="Quilted Jacket"/>
    <s v="Dylan Foster"/>
    <n v="3"/>
    <n v="179.3"/>
    <n v="0.1"/>
    <n v="484.11"/>
    <n v="537.90000000000009"/>
  </r>
  <r>
    <s v="K7-10201"/>
    <d v="2026-10-16T00:00:00"/>
    <s v="Minnesota"/>
    <s v="Midwest"/>
    <s v="Marketplace"/>
    <s v="Returning"/>
    <s v="Accessories"/>
    <s v="Silk Scarf"/>
    <s v="Dylan Foster"/>
    <n v="1"/>
    <n v="64.17"/>
    <n v="0"/>
    <n v="64.17"/>
    <n v="64.17"/>
  </r>
  <r>
    <s v="K7-10202"/>
    <d v="2026-02-16T00:00:00"/>
    <s v="North Carolina"/>
    <s v="South"/>
    <s v="Online"/>
    <s v="Returning"/>
    <s v="Footwear"/>
    <s v="Suede Loafer"/>
    <s v="Ava Brooks"/>
    <n v="8"/>
    <n v="153.12"/>
    <n v="0"/>
    <n v="1224.96"/>
    <n v="1224.96"/>
  </r>
  <r>
    <s v="K7-10203"/>
    <d v="2026-05-03T00:00:00"/>
    <s v="Alabama"/>
    <s v="South"/>
    <s v="Marketplace"/>
    <s v="Returning"/>
    <s v="Bottoms"/>
    <s v="Cargo Pant"/>
    <s v="Jonah Wright"/>
    <n v="1"/>
    <n v="80.16"/>
    <n v="0"/>
    <n v="80.16"/>
    <n v="80.16"/>
  </r>
  <r>
    <s v="K7-10204"/>
    <d v="2026-06-29T00:00:00"/>
    <s v="Michigan"/>
    <s v="Midwest"/>
    <s v="Online"/>
    <s v="New"/>
    <s v="Bottoms"/>
    <s v="Cargo Pant"/>
    <s v="Jonah Wright"/>
    <n v="1"/>
    <n v="90.65"/>
    <n v="0"/>
    <n v="90.65"/>
    <n v="90.65"/>
  </r>
  <r>
    <s v="K7-10205"/>
    <d v="2026-11-06T00:00:00"/>
    <s v="Missouri"/>
    <s v="Midwest"/>
    <s v="Retail Store"/>
    <s v="New"/>
    <s v="Accessories"/>
    <s v="Leather Belt"/>
    <s v="Dylan Foster"/>
    <n v="1"/>
    <n v="49.07"/>
    <n v="0.1"/>
    <n v="44.16"/>
    <n v="49.07"/>
  </r>
  <r>
    <s v="K7-10206"/>
    <d v="2026-12-30T00:00:00"/>
    <s v="California"/>
    <s v="West"/>
    <s v="Wholesale"/>
    <s v="Returning"/>
    <s v="Footwear"/>
    <s v="Leather Boot"/>
    <s v="Grace Okafor"/>
    <n v="1"/>
    <n v="211.06"/>
    <n v="0"/>
    <n v="211.06"/>
    <n v="211.06"/>
  </r>
  <r>
    <s v="K7-10207"/>
    <d v="2026-07-29T00:00:00"/>
    <s v="Missouri"/>
    <s v="Midwest"/>
    <s v="Online"/>
    <s v="Returning"/>
    <s v="Tops"/>
    <s v="Classic Tee"/>
    <s v="Noor Haddad"/>
    <n v="2"/>
    <n v="29.96"/>
    <n v="0.05"/>
    <n v="56.92"/>
    <n v="59.92"/>
  </r>
  <r>
    <s v="K7-10208"/>
    <d v="2026-02-15T00:00:00"/>
    <s v="New York"/>
    <s v="Northeast"/>
    <s v="Online"/>
    <s v="Returning"/>
    <s v="Bottoms"/>
    <s v="Tailored Short"/>
    <s v="Ava Brooks"/>
    <n v="8"/>
    <n v="57.16"/>
    <n v="0"/>
    <n v="457.28"/>
    <n v="457.28"/>
  </r>
  <r>
    <s v="K7-10209"/>
    <d v="2026-08-11T00:00:00"/>
    <s v="Arizona"/>
    <s v="West"/>
    <s v="Retail Store"/>
    <s v="New"/>
    <s v="Tops"/>
    <s v="Henley Long Sleeve"/>
    <s v="Noor Haddad"/>
    <n v="4"/>
    <n v="42.36"/>
    <n v="0"/>
    <n v="169.44"/>
    <n v="169.44"/>
  </r>
  <r>
    <s v="K7-10210"/>
    <d v="2026-10-12T00:00:00"/>
    <s v="Tennessee"/>
    <s v="South"/>
    <s v="Wholesale"/>
    <s v="New"/>
    <s v="Tops"/>
    <s v="Striped Polo"/>
    <s v="Priya Nair"/>
    <n v="1"/>
    <n v="57.26"/>
    <n v="0.15"/>
    <n v="48.67"/>
    <n v="57.26"/>
  </r>
  <r>
    <s v="K7-10211"/>
    <d v="2026-05-05T00:00:00"/>
    <s v="Oregon"/>
    <s v="West"/>
    <s v="Online"/>
    <s v="New"/>
    <s v="Tops"/>
    <s v="Classic Tee"/>
    <s v="Elena Vargas"/>
    <n v="3"/>
    <n v="30.39"/>
    <n v="0.15"/>
    <n v="77.489999999999995"/>
    <n v="91.17"/>
  </r>
  <r>
    <s v="K7-10212"/>
    <d v="2026-01-21T00:00:00"/>
    <s v="Pennsylvania"/>
    <s v="Northeast"/>
    <s v="Online"/>
    <s v="Returning"/>
    <s v="Outerwear"/>
    <s v="Wool Overcoat"/>
    <s v="Grace Okafor"/>
    <n v="1"/>
    <n v="272.39999999999998"/>
    <n v="0"/>
    <n v="272.39999999999998"/>
    <n v="272.39999999999998"/>
  </r>
  <r>
    <s v="K7-10213"/>
    <d v="2026-04-06T00:00:00"/>
    <s v="Virginia"/>
    <s v="South"/>
    <s v="Retail Store"/>
    <s v="Returning"/>
    <s v="Footwear"/>
    <s v="Leather Boot"/>
    <s v="Dylan Foster"/>
    <n v="3"/>
    <n v="209.96"/>
    <n v="0"/>
    <n v="629.88"/>
    <n v="629.88"/>
  </r>
  <r>
    <s v="K7-10214"/>
    <d v="2026-07-21T00:00:00"/>
    <s v="Minnesota"/>
    <s v="Midwest"/>
    <s v="Marketplace"/>
    <s v="New"/>
    <s v="Accessories"/>
    <s v="Knit Beanie"/>
    <s v="Elena Vargas"/>
    <n v="2"/>
    <n v="26.6"/>
    <n v="0.3"/>
    <n v="37.24"/>
    <n v="53.2"/>
  </r>
  <r>
    <s v="K7-10215"/>
    <d v="2026-02-06T00:00:00"/>
    <s v="Illinois"/>
    <s v="Midwest"/>
    <s v="Online"/>
    <s v="New"/>
    <s v="Outerwear"/>
    <s v="Hooded Parka"/>
    <s v="Ava Brooks"/>
    <n v="2"/>
    <n v="227.11"/>
    <n v="0.1"/>
    <n v="408.8"/>
    <n v="454.22"/>
  </r>
  <r>
    <s v="K7-10216"/>
    <d v="2026-05-19T00:00:00"/>
    <s v="Texas"/>
    <s v="South"/>
    <s v="Online"/>
    <s v="New"/>
    <s v="Bottoms"/>
    <s v="Tailored Short"/>
    <s v="Noor Haddad"/>
    <n v="1"/>
    <n v="55.18"/>
    <n v="0"/>
    <n v="55.18"/>
    <n v="55.18"/>
  </r>
  <r>
    <s v="K7-10217"/>
    <d v="2026-09-10T00:00:00"/>
    <s v="Pennsylvania"/>
    <s v="Northeast"/>
    <s v="Retail Store"/>
    <s v="Returning"/>
    <s v="Accessories"/>
    <s v="Canvas Tote"/>
    <s v="Priya Nair"/>
    <n v="1"/>
    <n v="37.380000000000003"/>
    <n v="0"/>
    <n v="37.380000000000003"/>
    <n v="37.380000000000003"/>
  </r>
  <r>
    <s v="K7-10218"/>
    <d v="2026-01-08T00:00:00"/>
    <s v="Arizona"/>
    <s v="West"/>
    <s v="Retail Store"/>
    <s v="New"/>
    <s v="Dresses"/>
    <s v="Midi Slip Dress"/>
    <s v="Jonah Wright"/>
    <n v="1"/>
    <n v="102.71"/>
    <n v="0"/>
    <n v="102.71"/>
    <n v="102.71"/>
  </r>
  <r>
    <s v="K7-10219"/>
    <d v="2026-03-13T00:00:00"/>
    <s v="Georgia"/>
    <s v="South"/>
    <s v="Online"/>
    <s v="Returning"/>
    <s v="Dresses"/>
    <s v="Midi Slip Dress"/>
    <s v="Ava Brooks"/>
    <n v="4"/>
    <n v="103.43"/>
    <n v="0"/>
    <n v="413.72"/>
    <n v="413.72"/>
  </r>
  <r>
    <s v="K7-10220"/>
    <d v="2026-07-29T00:00:00"/>
    <s v="Minnesota"/>
    <s v="Midwest"/>
    <s v="Online"/>
    <s v="Returning"/>
    <s v="Tops"/>
    <s v="Classic Tee"/>
    <s v="Noor Haddad"/>
    <n v="1"/>
    <n v="33.409999999999997"/>
    <n v="0"/>
    <n v="33.409999999999997"/>
    <n v="33.409999999999997"/>
  </r>
  <r>
    <s v="K7-10221"/>
    <d v="2026-05-15T00:00:00"/>
    <s v="New Jersey"/>
    <s v="Northeast"/>
    <s v="Retail Store"/>
    <s v="Returning"/>
    <s v="Accessories"/>
    <s v="Leather Belt"/>
    <s v="Ava Brooks"/>
    <n v="2"/>
    <n v="49.02"/>
    <n v="0"/>
    <n v="98.04"/>
    <n v="98.04"/>
  </r>
  <r>
    <s v="K7-10222"/>
    <d v="2026-05-28T00:00:00"/>
    <s v="Washington"/>
    <s v="West"/>
    <s v="Wholesale"/>
    <s v="New"/>
    <s v="Dresses"/>
    <s v="Wrap Dress"/>
    <s v="Dylan Foster"/>
    <n v="2"/>
    <n v="118.25"/>
    <n v="0.15"/>
    <n v="201.03"/>
    <n v="236.5"/>
  </r>
  <r>
    <s v="K7-10223"/>
    <d v="2026-10-26T00:00:00"/>
    <s v="Michigan"/>
    <s v="Midwest"/>
    <s v="Online"/>
    <s v="Returning"/>
    <s v="Bottoms"/>
    <s v="Straight Jeans"/>
    <s v="Ava Brooks"/>
    <n v="4"/>
    <n v="88.94"/>
    <n v="0.2"/>
    <n v="284.61"/>
    <n v="355.76"/>
  </r>
  <r>
    <s v="K7-10224"/>
    <d v="2026-04-06T00:00:00"/>
    <s v="New York"/>
    <s v="Northeast"/>
    <s v="Online"/>
    <s v="New"/>
    <s v="Dresses"/>
    <s v="Midi Slip Dress"/>
    <s v="Ava Brooks"/>
    <n v="3"/>
    <n v="101.14"/>
    <n v="0.05"/>
    <n v="288.25"/>
    <n v="303.42"/>
  </r>
  <r>
    <s v="K7-10225"/>
    <d v="2026-04-10T00:00:00"/>
    <s v="New York"/>
    <s v="Northeast"/>
    <s v="Retail Store"/>
    <s v="Returning"/>
    <s v="Bottoms"/>
    <s v="Tailored Short"/>
    <s v="Priya Nair"/>
    <n v="11"/>
    <n v="56.08"/>
    <n v="0.2"/>
    <n v="493.5"/>
    <n v="616.88"/>
  </r>
  <r>
    <s v="K7-10226"/>
    <d v="2026-06-01T00:00:00"/>
    <s v="Florida"/>
    <s v="South"/>
    <s v="Retail Store"/>
    <s v="Returning"/>
    <s v="Tops"/>
    <s v="Oxford Shirt"/>
    <s v="Ava Brooks"/>
    <n v="5"/>
    <n v="69.67"/>
    <n v="0"/>
    <n v="348.35"/>
    <n v="348.35"/>
  </r>
  <r>
    <s v="K7-10227"/>
    <d v="2026-06-20T00:00:00"/>
    <s v="Washington"/>
    <s v="West"/>
    <s v="Marketplace"/>
    <s v="New"/>
    <s v="Bottoms"/>
    <s v="Cargo Pant"/>
    <s v="Priya Nair"/>
    <n v="3"/>
    <n v="80.48"/>
    <n v="0"/>
    <n v="241.44"/>
    <n v="241.44"/>
  </r>
  <r>
    <s v="K7-10228"/>
    <d v="2026-11-09T00:00:00"/>
    <s v="Tennessee"/>
    <s v="South"/>
    <s v="Online"/>
    <s v="Returning"/>
    <s v="Dresses"/>
    <s v="Midi Slip Dress"/>
    <s v="Priya Nair"/>
    <n v="4"/>
    <n v="97.9"/>
    <n v="0.2"/>
    <n v="313.27999999999997"/>
    <n v="391.6"/>
  </r>
  <r>
    <s v="K7-10229"/>
    <d v="2026-03-24T00:00:00"/>
    <s v="Virginia"/>
    <s v="South"/>
    <s v="Wholesale"/>
    <s v="Returning"/>
    <s v="Bottoms"/>
    <s v="Slim Chino"/>
    <s v="Noor Haddad"/>
    <n v="2"/>
    <n v="78.739999999999995"/>
    <n v="0"/>
    <n v="157.47999999999999"/>
    <n v="157.47999999999999"/>
  </r>
  <r>
    <s v="K7-10230"/>
    <d v="2026-05-19T00:00:00"/>
    <s v="Illinois"/>
    <s v="Midwest"/>
    <s v="Online"/>
    <s v="Returning"/>
    <s v="Outerwear"/>
    <s v="Quilted Jacket"/>
    <s v="Grace Okafor"/>
    <n v="2"/>
    <n v="158.12"/>
    <n v="0"/>
    <n v="316.24"/>
    <n v="316.24"/>
  </r>
  <r>
    <s v="K7-10231"/>
    <d v="2026-02-02T00:00:00"/>
    <s v="Texas"/>
    <s v="South"/>
    <s v="Online"/>
    <s v="New"/>
    <s v="Footwear"/>
    <s v="Suede Loafer"/>
    <s v="Elena Vargas"/>
    <n v="3"/>
    <n v="160.27000000000001"/>
    <n v="0.05"/>
    <n v="456.77"/>
    <n v="480.81000000000006"/>
  </r>
  <r>
    <s v="K7-10232"/>
    <d v="2026-01-19T00:00:00"/>
    <s v="Pennsylvania"/>
    <s v="Northeast"/>
    <s v="Marketplace"/>
    <s v="New"/>
    <s v="Bottoms"/>
    <s v="Straight Jeans"/>
    <s v="Marcus Reed"/>
    <n v="1"/>
    <n v="88.9"/>
    <n v="0.1"/>
    <n v="80.010000000000005"/>
    <n v="88.9"/>
  </r>
  <r>
    <s v="K7-10233"/>
    <d v="2026-01-08T00:00:00"/>
    <s v="California"/>
    <s v="West"/>
    <s v="Wholesale"/>
    <s v="New"/>
    <s v="Tops"/>
    <s v="Oxford Shirt"/>
    <s v="Marcus Reed"/>
    <n v="1"/>
    <n v="66.66"/>
    <n v="0.1"/>
    <n v="59.99"/>
    <n v="66.66"/>
  </r>
  <r>
    <s v="K7-10234"/>
    <d v="2026-04-09T00:00:00"/>
    <s v="New York"/>
    <s v="Northeast"/>
    <s v="Retail Store"/>
    <s v="New"/>
    <s v="Dresses"/>
    <s v="Wrap Dress"/>
    <s v="Elena Vargas"/>
    <n v="2"/>
    <n v="121.55"/>
    <n v="0.05"/>
    <n v="230.94"/>
    <n v="243.1"/>
  </r>
  <r>
    <s v="K7-10235"/>
    <d v="2026-04-19T00:00:00"/>
    <s v="Florida"/>
    <s v="South"/>
    <s v="Marketplace"/>
    <s v="New"/>
    <s v="Footwear"/>
    <s v="Leather Boot"/>
    <s v="Jonah Wright"/>
    <n v="5"/>
    <n v="229.51"/>
    <n v="0.3"/>
    <n v="803.28"/>
    <n v="1147.55"/>
  </r>
  <r>
    <s v="K7-10236"/>
    <d v="2026-08-22T00:00:00"/>
    <s v="New York"/>
    <s v="Northeast"/>
    <s v="Retail Store"/>
    <s v="Returning"/>
    <s v="Outerwear"/>
    <s v="Wool Overcoat"/>
    <s v="Dylan Foster"/>
    <n v="3"/>
    <n v="276.04000000000002"/>
    <n v="0"/>
    <n v="828.12"/>
    <n v="828.12000000000012"/>
  </r>
  <r>
    <s v="K7-10237"/>
    <d v="2026-06-22T00:00:00"/>
    <s v="Texas"/>
    <s v="South"/>
    <s v="Marketplace"/>
    <s v="Returning"/>
    <s v="Footwear"/>
    <s v="Canvas Sneaker"/>
    <s v="Jonah Wright"/>
    <n v="7"/>
    <n v="87.72"/>
    <n v="0"/>
    <n v="614.04"/>
    <n v="614.04"/>
  </r>
  <r>
    <s v="K7-10238"/>
    <d v="2026-10-08T00:00:00"/>
    <s v="Tennessee"/>
    <s v="South"/>
    <s v="Retail Store"/>
    <s v="Returning"/>
    <s v="Outerwear"/>
    <s v="Denim Trucker"/>
    <s v="Elena Vargas"/>
    <n v="2"/>
    <n v="123.93"/>
    <n v="0"/>
    <n v="247.86"/>
    <n v="247.86"/>
  </r>
  <r>
    <s v="K7-10239"/>
    <d v="2026-06-07T00:00:00"/>
    <s v="Texas"/>
    <s v="South"/>
    <s v="Retail Store"/>
    <s v="Returning"/>
    <s v="Tops"/>
    <s v="Oxford Shirt"/>
    <s v="Elena Vargas"/>
    <n v="1"/>
    <n v="70.38"/>
    <n v="0"/>
    <n v="70.38"/>
    <n v="70.38"/>
  </r>
  <r>
    <s v="K7-10240"/>
    <d v="2026-04-28T00:00:00"/>
    <s v="Texas"/>
    <s v="South"/>
    <s v="Retail Store"/>
    <s v="New"/>
    <s v="Bottoms"/>
    <s v="Slim Chino"/>
    <s v="Grace Okafor"/>
    <n v="1"/>
    <n v="76.739999999999995"/>
    <n v="0"/>
    <n v="76.739999999999995"/>
    <n v="76.739999999999995"/>
  </r>
  <r>
    <s v="K7-10241"/>
    <d v="2026-06-22T00:00:00"/>
    <s v="Illinois"/>
    <s v="Midwest"/>
    <s v="Wholesale"/>
    <s v="New"/>
    <s v="Outerwear"/>
    <s v="Hooded Parka"/>
    <s v="Marcus Reed"/>
    <n v="3"/>
    <n v="242.07"/>
    <n v="0"/>
    <n v="726.21"/>
    <n v="726.21"/>
  </r>
  <r>
    <s v="K7-10242"/>
    <d v="2026-12-16T00:00:00"/>
    <s v="North Carolina"/>
    <s v="South"/>
    <s v="Wholesale"/>
    <s v="Returning"/>
    <s v="Outerwear"/>
    <s v="Wool Overcoat"/>
    <s v="Ava Brooks"/>
    <n v="1"/>
    <n v="301.14999999999998"/>
    <n v="0"/>
    <n v="301.14999999999998"/>
    <n v="301.14999999999998"/>
  </r>
  <r>
    <s v="K7-10243"/>
    <d v="2026-06-22T00:00:00"/>
    <s v="South Carolina"/>
    <s v="South"/>
    <s v="Online"/>
    <s v="New"/>
    <s v="Footwear"/>
    <s v="Suede Loafer"/>
    <s v="Marcus Reed"/>
    <n v="1"/>
    <n v="150.72"/>
    <n v="0.15"/>
    <n v="128.11000000000001"/>
    <n v="150.72"/>
  </r>
  <r>
    <s v="K7-10244"/>
    <d v="2026-06-14T00:00:00"/>
    <s v="Illinois"/>
    <s v="Midwest"/>
    <s v="Retail Store"/>
    <s v="Returning"/>
    <s v="Bottoms"/>
    <s v="Slim Chino"/>
    <s v="Noor Haddad"/>
    <n v="1"/>
    <n v="75.069999999999993"/>
    <n v="0.2"/>
    <n v="60.06"/>
    <n v="75.069999999999993"/>
  </r>
  <r>
    <s v="K7-10245"/>
    <d v="2026-07-21T00:00:00"/>
    <s v="Texas"/>
    <s v="South"/>
    <s v="Retail Store"/>
    <s v="New"/>
    <s v="Outerwear"/>
    <s v="Wool Overcoat"/>
    <s v="Ava Brooks"/>
    <n v="12"/>
    <n v="283.04000000000002"/>
    <n v="0.15"/>
    <n v="2887.01"/>
    <n v="3396.4800000000005"/>
  </r>
  <r>
    <s v="K7-10246"/>
    <d v="2026-04-03T00:00:00"/>
    <s v="New York"/>
    <s v="Northeast"/>
    <s v="Wholesale"/>
    <s v="Returning"/>
    <s v="Tops"/>
    <s v="Striped Polo"/>
    <s v="Elena Vargas"/>
    <n v="3"/>
    <n v="55.37"/>
    <n v="0"/>
    <n v="166.11"/>
    <n v="166.10999999999999"/>
  </r>
  <r>
    <s v="K7-10247"/>
    <d v="2026-02-01T00:00:00"/>
    <s v="Wisconsin"/>
    <s v="Midwest"/>
    <s v="Online"/>
    <s v="New"/>
    <s v="Tops"/>
    <s v="Striped Polo"/>
    <s v="Priya Nair"/>
    <n v="1"/>
    <n v="54.19"/>
    <n v="0.3"/>
    <n v="37.93"/>
    <n v="54.19"/>
  </r>
  <r>
    <s v="K7-10248"/>
    <d v="2026-05-09T00:00:00"/>
    <s v="New Jersey"/>
    <s v="Northeast"/>
    <s v="Marketplace"/>
    <s v="New"/>
    <s v="Outerwear"/>
    <s v="Wool Overcoat"/>
    <s v="Priya Nair"/>
    <n v="2"/>
    <n v="313.79000000000002"/>
    <n v="0"/>
    <n v="627.58000000000004"/>
    <n v="627.58000000000004"/>
  </r>
  <r>
    <s v="K7-10249"/>
    <d v="2026-02-21T00:00:00"/>
    <s v="South Carolina"/>
    <s v="South"/>
    <s v="Retail Store"/>
    <s v="Returning"/>
    <s v="Bottoms"/>
    <s v="Cargo Pant"/>
    <s v="Jonah Wright"/>
    <n v="1"/>
    <n v="83.79"/>
    <n v="0"/>
    <n v="83.79"/>
    <n v="83.79"/>
  </r>
  <r>
    <s v="K7-10250"/>
    <d v="2026-08-02T00:00:00"/>
    <s v="Michigan"/>
    <s v="Midwest"/>
    <s v="Retail Store"/>
    <s v="New"/>
    <s v="Footwear"/>
    <s v="Suede Loafer"/>
    <s v="Grace Okafor"/>
    <n v="4"/>
    <n v="153.77000000000001"/>
    <n v="0.05"/>
    <n v="584.33000000000004"/>
    <n v="615.08000000000004"/>
  </r>
  <r>
    <s v="K7-10251"/>
    <d v="2026-07-20T00:00:00"/>
    <s v="North Carolina"/>
    <s v="South"/>
    <s v="Retail Store"/>
    <s v="Returning"/>
    <s v="Outerwear"/>
    <s v="Wool Overcoat"/>
    <s v="Dylan Foster"/>
    <n v="1"/>
    <n v="292.51"/>
    <n v="0"/>
    <n v="292.51"/>
    <n v="292.51"/>
  </r>
  <r>
    <s v="K7-10252"/>
    <d v="2026-12-29T00:00:00"/>
    <s v="California"/>
    <s v="West"/>
    <s v="Marketplace"/>
    <s v="New"/>
    <s v="Bottoms"/>
    <s v="Cargo Pant"/>
    <s v="Priya Nair"/>
    <n v="2"/>
    <n v="89.91"/>
    <n v="0"/>
    <n v="179.82"/>
    <n v="179.82"/>
  </r>
  <r>
    <s v="K7-10253"/>
    <d v="2026-09-14T00:00:00"/>
    <s v="Massachusetts"/>
    <s v="Northeast"/>
    <s v="Online"/>
    <s v="New"/>
    <s v="Outerwear"/>
    <s v="Quilted Jacket"/>
    <s v="Elena Vargas"/>
    <n v="4"/>
    <n v="171.36"/>
    <n v="0"/>
    <n v="685.44"/>
    <n v="685.44"/>
  </r>
  <r>
    <s v="K7-10254"/>
    <d v="2026-11-21T00:00:00"/>
    <s v="Alabama"/>
    <s v="South"/>
    <s v="Retail Store"/>
    <s v="Returning"/>
    <s v="Dresses"/>
    <s v="Wrap Dress"/>
    <s v="Marcus Reed"/>
    <n v="5"/>
    <n v="121.25"/>
    <n v="0.05"/>
    <n v="575.94000000000005"/>
    <n v="606.25"/>
  </r>
  <r>
    <s v="K7-10255"/>
    <d v="2026-10-24T00:00:00"/>
    <s v="Colorado"/>
    <s v="West"/>
    <s v="Retail Store"/>
    <s v="Returning"/>
    <s v="Dresses"/>
    <s v="Midi Slip Dress"/>
    <s v="Dylan Foster"/>
    <n v="5"/>
    <n v="105.68"/>
    <n v="0"/>
    <n v="528.4"/>
    <n v="528.40000000000009"/>
  </r>
  <r>
    <s v="K7-10256"/>
    <d v="2026-04-22T00:00:00"/>
    <s v="Louisiana"/>
    <s v="South"/>
    <s v="Online"/>
    <s v="Returning"/>
    <s v="Tops"/>
    <s v="Henley Long Sleeve"/>
    <s v="Ava Brooks"/>
    <n v="5"/>
    <n v="47.55"/>
    <n v="0.15"/>
    <n v="202.09"/>
    <n v="237.75"/>
  </r>
  <r>
    <s v="K7-10257"/>
    <d v="2026-10-20T00:00:00"/>
    <s v="Missouri"/>
    <s v="Midwest"/>
    <s v="Online"/>
    <s v="New"/>
    <s v="Footwear"/>
    <s v="Suede Loafer"/>
    <s v="Priya Nair"/>
    <n v="6"/>
    <n v="167.98"/>
    <n v="0"/>
    <n v="1007.88"/>
    <n v="1007.8799999999999"/>
  </r>
  <r>
    <s v="K7-10258"/>
    <d v="2026-11-28T00:00:00"/>
    <s v="Colorado"/>
    <s v="West"/>
    <s v="Online"/>
    <s v="New"/>
    <s v="Dresses"/>
    <s v="Linen Shirt Dress"/>
    <s v="Ava Brooks"/>
    <n v="2"/>
    <n v="126.09"/>
    <n v="0"/>
    <n v="252.18"/>
    <n v="252.18"/>
  </r>
  <r>
    <s v="K7-10259"/>
    <d v="2026-06-03T00:00:00"/>
    <s v="Arizona"/>
    <s v="West"/>
    <s v="Retail Store"/>
    <s v="New"/>
    <s v="Outerwear"/>
    <s v="Wool Overcoat"/>
    <s v="Grace Okafor"/>
    <n v="4"/>
    <n v="317.98"/>
    <n v="0"/>
    <n v="1271.92"/>
    <n v="1271.92"/>
  </r>
  <r>
    <s v="K7-10260"/>
    <d v="2026-08-20T00:00:00"/>
    <s v="Illinois"/>
    <s v="Midwest"/>
    <s v="Online"/>
    <s v="New"/>
    <s v="Footwear"/>
    <s v="Leather Boot"/>
    <s v="Elena Vargas"/>
    <n v="3"/>
    <n v="206.38"/>
    <n v="0"/>
    <n v="619.14"/>
    <n v="619.14"/>
  </r>
  <r>
    <s v="K7-10261"/>
    <d v="2026-04-01T00:00:00"/>
    <s v="California"/>
    <s v="West"/>
    <s v="Retail Store"/>
    <s v="Returning"/>
    <s v="Footwear"/>
    <s v="Canvas Sneaker"/>
    <s v="Grace Okafor"/>
    <n v="5"/>
    <n v="91.09"/>
    <n v="0.1"/>
    <n v="409.91"/>
    <n v="455.45000000000005"/>
  </r>
  <r>
    <s v="K7-10262"/>
    <d v="2026-02-14T00:00:00"/>
    <s v="Oregon"/>
    <s v="West"/>
    <s v="Marketplace"/>
    <s v="New"/>
    <s v="Outerwear"/>
    <s v="Wool Overcoat"/>
    <s v="Jonah Wright"/>
    <n v="2"/>
    <n v="291.11"/>
    <n v="0"/>
    <n v="582.22"/>
    <n v="582.22"/>
  </r>
  <r>
    <s v="K7-10263"/>
    <d v="2026-04-01T00:00:00"/>
    <s v="California"/>
    <s v="West"/>
    <s v="Retail Store"/>
    <s v="Returning"/>
    <s v="Outerwear"/>
    <s v="Denim Trucker"/>
    <s v="Elena Vargas"/>
    <n v="2"/>
    <n v="132.24"/>
    <n v="0"/>
    <n v="264.48"/>
    <n v="264.48"/>
  </r>
  <r>
    <s v="K7-10264"/>
    <d v="2026-11-27T00:00:00"/>
    <s v="Idaho"/>
    <s v="West"/>
    <s v="Retail Store"/>
    <s v="New"/>
    <s v="Dresses"/>
    <s v="Midi Slip Dress"/>
    <s v="Grace Okafor"/>
    <n v="1"/>
    <n v="96.56"/>
    <n v="0.3"/>
    <n v="67.59"/>
    <n v="96.56"/>
  </r>
  <r>
    <s v="K7-10265"/>
    <d v="2026-03-28T00:00:00"/>
    <s v="Texas"/>
    <s v="South"/>
    <s v="Marketplace"/>
    <s v="New"/>
    <s v="Accessories"/>
    <s v="Silk Scarf"/>
    <s v="Elena Vargas"/>
    <n v="1"/>
    <n v="58.98"/>
    <n v="0.05"/>
    <n v="56.03"/>
    <n v="58.98"/>
  </r>
  <r>
    <s v="K7-10266"/>
    <d v="2026-03-02T00:00:00"/>
    <s v="Florida"/>
    <s v="South"/>
    <s v="Retail Store"/>
    <s v="Returning"/>
    <s v="Outerwear"/>
    <s v="Hooded Parka"/>
    <s v="Jonah Wright"/>
    <n v="10"/>
    <n v="252.94"/>
    <n v="0"/>
    <n v="2529.4"/>
    <n v="2529.4"/>
  </r>
  <r>
    <s v="K7-10267"/>
    <d v="2026-06-18T00:00:00"/>
    <s v="Florida"/>
    <s v="South"/>
    <s v="Online"/>
    <s v="Returning"/>
    <s v="Tops"/>
    <s v="Classic Tee"/>
    <s v="Noor Haddad"/>
    <n v="1"/>
    <n v="32.96"/>
    <n v="0.15"/>
    <n v="28.02"/>
    <n v="32.96"/>
  </r>
  <r>
    <s v="K7-10268"/>
    <d v="2026-08-24T00:00:00"/>
    <s v="Florida"/>
    <s v="South"/>
    <s v="Retail Store"/>
    <s v="Returning"/>
    <s v="Footwear"/>
    <s v="Leather Boot"/>
    <s v="Dylan Foster"/>
    <n v="5"/>
    <n v="230.38"/>
    <n v="0.15"/>
    <n v="979.12"/>
    <n v="1151.9000000000001"/>
  </r>
  <r>
    <s v="K7-10269"/>
    <d v="2026-05-07T00:00:00"/>
    <s v="New York"/>
    <s v="Northeast"/>
    <s v="Retail Store"/>
    <s v="Returning"/>
    <s v="Tops"/>
    <s v="Henley Long Sleeve"/>
    <s v="Priya Nair"/>
    <n v="1"/>
    <n v="47.82"/>
    <n v="0"/>
    <n v="47.82"/>
    <n v="47.82"/>
  </r>
  <r>
    <s v="K7-10270"/>
    <d v="2026-07-27T00:00:00"/>
    <s v="New Jersey"/>
    <s v="Northeast"/>
    <s v="Online"/>
    <s v="New"/>
    <s v="Tops"/>
    <s v="Oxford Shirt"/>
    <s v="Noor Haddad"/>
    <n v="7"/>
    <n v="71.290000000000006"/>
    <n v="0.05"/>
    <n v="474.08"/>
    <n v="499.03000000000003"/>
  </r>
  <r>
    <s v="K7-10271"/>
    <d v="2026-06-27T00:00:00"/>
    <s v="Michigan"/>
    <s v="Midwest"/>
    <s v="Online"/>
    <s v="Returning"/>
    <s v="Bottoms"/>
    <s v="Slim Chino"/>
    <s v="Ava Brooks"/>
    <n v="5"/>
    <n v="73.58"/>
    <n v="0"/>
    <n v="367.9"/>
    <n v="367.9"/>
  </r>
  <r>
    <s v="K7-10272"/>
    <d v="2026-01-10T00:00:00"/>
    <s v="Massachusetts"/>
    <s v="Northeast"/>
    <s v="Online"/>
    <s v="Returning"/>
    <s v="Accessories"/>
    <s v="Canvas Tote"/>
    <s v="Noor Haddad"/>
    <n v="1"/>
    <n v="38.380000000000003"/>
    <n v="0"/>
    <n v="38.380000000000003"/>
    <n v="38.380000000000003"/>
  </r>
  <r>
    <s v="K7-10273"/>
    <d v="2026-07-02T00:00:00"/>
    <s v="Massachusetts"/>
    <s v="Northeast"/>
    <s v="Online"/>
    <s v="Returning"/>
    <s v="Bottoms"/>
    <s v="Tailored Short"/>
    <s v="Jonah Wright"/>
    <n v="1"/>
    <n v="57.27"/>
    <n v="0"/>
    <n v="57.27"/>
    <n v="57.27"/>
  </r>
  <r>
    <s v="K7-10274"/>
    <d v="2026-04-06T00:00:00"/>
    <s v="New Jersey"/>
    <s v="Northeast"/>
    <s v="Retail Store"/>
    <s v="Returning"/>
    <s v="Tops"/>
    <s v="Henley Long Sleeve"/>
    <s v="Marcus Reed"/>
    <n v="1"/>
    <n v="48.25"/>
    <n v="0.15"/>
    <n v="41.01"/>
    <n v="48.25"/>
  </r>
  <r>
    <s v="K7-10275"/>
    <d v="2026-09-08T00:00:00"/>
    <s v="Texas"/>
    <s v="South"/>
    <s v="Retail Store"/>
    <s v="New"/>
    <s v="Tops"/>
    <s v="Striped Polo"/>
    <s v="Elena Vargas"/>
    <n v="5"/>
    <n v="53.61"/>
    <n v="0.05"/>
    <n v="254.65"/>
    <n v="268.05"/>
  </r>
  <r>
    <s v="K7-10276"/>
    <d v="2026-08-05T00:00:00"/>
    <s v="Florida"/>
    <s v="South"/>
    <s v="Retail Store"/>
    <s v="Returning"/>
    <s v="Outerwear"/>
    <s v="Quilted Jacket"/>
    <s v="Dylan Foster"/>
    <n v="5"/>
    <n v="179.43"/>
    <n v="0"/>
    <n v="897.15"/>
    <n v="897.15000000000009"/>
  </r>
  <r>
    <s v="K7-10277"/>
    <d v="2026-11-02T00:00:00"/>
    <s v="Florida"/>
    <s v="South"/>
    <s v="Marketplace"/>
    <s v="New"/>
    <s v="Tops"/>
    <s v="Oxford Shirt"/>
    <s v="Priya Nair"/>
    <n v="2"/>
    <n v="67.599999999999994"/>
    <n v="0"/>
    <n v="135.19999999999999"/>
    <n v="135.19999999999999"/>
  </r>
  <r>
    <s v="K7-10278"/>
    <d v="2026-07-10T00:00:00"/>
    <s v="Georgia"/>
    <s v="South"/>
    <s v="Online"/>
    <s v="New"/>
    <s v="Dresses"/>
    <s v="Wrap Dress"/>
    <s v="Ava Brooks"/>
    <n v="5"/>
    <n v="110.07"/>
    <n v="0.3"/>
    <n v="385.24"/>
    <n v="550.34999999999991"/>
  </r>
  <r>
    <s v="K7-10279"/>
    <d v="2026-08-06T00:00:00"/>
    <s v="California"/>
    <s v="West"/>
    <s v="Online"/>
    <s v="New"/>
    <s v="Footwear"/>
    <s v="Suede Loafer"/>
    <s v="Grace Okafor"/>
    <n v="5"/>
    <n v="155.22999999999999"/>
    <n v="0.05"/>
    <n v="737.34"/>
    <n v="776.15"/>
  </r>
  <r>
    <s v="K7-10280"/>
    <d v="2026-03-06T00:00:00"/>
    <s v="Massachusetts"/>
    <s v="Northeast"/>
    <s v="Marketplace"/>
    <s v="Returning"/>
    <s v="Bottoms"/>
    <s v="Straight Jeans"/>
    <s v="Noor Haddad"/>
    <n v="4"/>
    <n v="88.32"/>
    <n v="0"/>
    <n v="353.28"/>
    <n v="353.28"/>
  </r>
  <r>
    <s v="K7-10281"/>
    <d v="2026-09-18T00:00:00"/>
    <s v="New York"/>
    <s v="Northeast"/>
    <s v="Online"/>
    <s v="Returning"/>
    <s v="Outerwear"/>
    <s v="Wool Overcoat"/>
    <s v="Ava Brooks"/>
    <n v="6"/>
    <n v="308.66000000000003"/>
    <n v="0"/>
    <n v="1851.96"/>
    <n v="1851.96"/>
  </r>
  <r>
    <s v="K7-10282"/>
    <d v="2026-06-27T00:00:00"/>
    <s v="Florida"/>
    <s v="South"/>
    <s v="Marketplace"/>
    <s v="New"/>
    <s v="Accessories"/>
    <s v="Leather Belt"/>
    <s v="Priya Nair"/>
    <n v="1"/>
    <n v="51.05"/>
    <n v="0.05"/>
    <n v="48.5"/>
    <n v="51.05"/>
  </r>
  <r>
    <s v="K7-10283"/>
    <d v="2026-07-25T00:00:00"/>
    <s v="Florida"/>
    <s v="South"/>
    <s v="Retail Store"/>
    <s v="Returning"/>
    <s v="Bottoms"/>
    <s v="Straight Jeans"/>
    <s v="Elena Vargas"/>
    <n v="2"/>
    <n v="98.54"/>
    <n v="0"/>
    <n v="197.08"/>
    <n v="197.08"/>
  </r>
  <r>
    <s v="K7-10284"/>
    <d v="2026-04-14T00:00:00"/>
    <s v="Indiana"/>
    <s v="Midwest"/>
    <s v="Retail Store"/>
    <s v="New"/>
    <s v="Dresses"/>
    <s v="Wrap Dress"/>
    <s v="Dylan Foster"/>
    <n v="9"/>
    <n v="122.24"/>
    <n v="0.05"/>
    <n v="1045.1500000000001"/>
    <n v="1100.1599999999999"/>
  </r>
  <r>
    <s v="K7-10285"/>
    <d v="2026-01-03T00:00:00"/>
    <s v="California"/>
    <s v="West"/>
    <s v="Retail Store"/>
    <s v="Returning"/>
    <s v="Tops"/>
    <s v="Classic Tee"/>
    <s v="Grace Okafor"/>
    <n v="2"/>
    <n v="32.75"/>
    <n v="0.2"/>
    <n v="52.4"/>
    <n v="65.5"/>
  </r>
  <r>
    <s v="K7-10286"/>
    <d v="2026-05-15T00:00:00"/>
    <s v="New Jersey"/>
    <s v="Northeast"/>
    <s v="Marketplace"/>
    <s v="New"/>
    <s v="Bottoms"/>
    <s v="Cargo Pant"/>
    <s v="Elena Vargas"/>
    <n v="11"/>
    <n v="89.77"/>
    <n v="0.1"/>
    <n v="888.72"/>
    <n v="987.46999999999991"/>
  </r>
  <r>
    <s v="K7-10287"/>
    <d v="2026-11-12T00:00:00"/>
    <s v="Illinois"/>
    <s v="Midwest"/>
    <s v="Online"/>
    <s v="Returning"/>
    <s v="Bottoms"/>
    <s v="Tailored Short"/>
    <s v="Ava Brooks"/>
    <n v="1"/>
    <n v="61.17"/>
    <n v="0"/>
    <n v="61.17"/>
    <n v="61.17"/>
  </r>
  <r>
    <s v="K7-10288"/>
    <d v="2026-06-12T00:00:00"/>
    <s v="Virginia"/>
    <s v="South"/>
    <s v="Retail Store"/>
    <s v="New"/>
    <s v="Tops"/>
    <s v="Striped Polo"/>
    <s v="Priya Nair"/>
    <n v="5"/>
    <n v="50.82"/>
    <n v="0.05"/>
    <n v="241.39"/>
    <n v="254.1"/>
  </r>
  <r>
    <s v="K7-10289"/>
    <d v="2026-06-13T00:00:00"/>
    <s v="Indiana"/>
    <s v="Midwest"/>
    <s v="Online"/>
    <s v="Returning"/>
    <s v="Outerwear"/>
    <s v="Hooded Parka"/>
    <s v="Elena Vargas"/>
    <n v="1"/>
    <n v="252.3"/>
    <n v="0"/>
    <n v="252.3"/>
    <n v="252.3"/>
  </r>
  <r>
    <s v="K7-10290"/>
    <d v="2026-05-20T00:00:00"/>
    <s v="California"/>
    <s v="West"/>
    <s v="Retail Store"/>
    <s v="Returning"/>
    <s v="Footwear"/>
    <s v="Canvas Sneaker"/>
    <s v="Ava Brooks"/>
    <n v="5"/>
    <n v="85.92"/>
    <n v="0"/>
    <n v="429.6"/>
    <n v="429.6"/>
  </r>
  <r>
    <s v="K7-10291"/>
    <d v="2026-07-03T00:00:00"/>
    <s v="California"/>
    <s v="West"/>
    <s v="Online"/>
    <s v="New"/>
    <s v="Footwear"/>
    <s v="Leather Boot"/>
    <s v="Ava Brooks"/>
    <n v="4"/>
    <n v="231.38"/>
    <n v="0.05"/>
    <n v="879.24"/>
    <n v="925.52"/>
  </r>
  <r>
    <s v="K7-10292"/>
    <d v="2026-09-30T00:00:00"/>
    <s v="Indiana"/>
    <s v="Midwest"/>
    <s v="Online"/>
    <s v="Returning"/>
    <s v="Tops"/>
    <s v="Striped Polo"/>
    <s v="Marcus Reed"/>
    <n v="3"/>
    <n v="53.39"/>
    <n v="0"/>
    <n v="160.16999999999999"/>
    <n v="160.17000000000002"/>
  </r>
  <r>
    <s v="K7-10293"/>
    <d v="2026-12-14T00:00:00"/>
    <s v="Florida"/>
    <s v="South"/>
    <s v="Retail Store"/>
    <s v="New"/>
    <s v="Dresses"/>
    <s v="Wrap Dress"/>
    <s v="Priya Nair"/>
    <n v="10"/>
    <n v="120.74"/>
    <n v="0"/>
    <n v="1207.4000000000001"/>
    <n v="1207.3999999999999"/>
  </r>
  <r>
    <s v="K7-10294"/>
    <d v="2026-01-31T00:00:00"/>
    <s v="Virginia"/>
    <s v="South"/>
    <s v="Wholesale"/>
    <s v="Returning"/>
    <s v="Bottoms"/>
    <s v="Slim Chino"/>
    <s v="Grace Okafor"/>
    <n v="1"/>
    <n v="80.680000000000007"/>
    <n v="0.05"/>
    <n v="76.650000000000006"/>
    <n v="80.680000000000007"/>
  </r>
  <r>
    <s v="K7-10295"/>
    <d v="2026-10-24T00:00:00"/>
    <s v="Texas"/>
    <s v="South"/>
    <s v="Wholesale"/>
    <s v="New"/>
    <s v="Dresses"/>
    <s v="Wrap Dress"/>
    <s v="Grace Okafor"/>
    <n v="3"/>
    <n v="123.18"/>
    <n v="0"/>
    <n v="369.54"/>
    <n v="369.54"/>
  </r>
  <r>
    <s v="K7-10296"/>
    <d v="2026-03-06T00:00:00"/>
    <s v="Florida"/>
    <s v="South"/>
    <s v="Retail Store"/>
    <s v="Returning"/>
    <s v="Bottoms"/>
    <s v="Straight Jeans"/>
    <s v="Jonah Wright"/>
    <n v="1"/>
    <n v="88.46"/>
    <n v="0"/>
    <n v="88.46"/>
    <n v="88.46"/>
  </r>
  <r>
    <s v="K7-10297"/>
    <d v="2026-10-03T00:00:00"/>
    <s v="Indiana"/>
    <s v="Midwest"/>
    <s v="Online"/>
    <s v="Returning"/>
    <s v="Tops"/>
    <s v="Classic Tee"/>
    <s v="Ava Brooks"/>
    <n v="2"/>
    <n v="30.26"/>
    <n v="0"/>
    <n v="60.52"/>
    <n v="60.52"/>
  </r>
  <r>
    <s v="K7-10298"/>
    <d v="2026-10-15T00:00:00"/>
    <s v="North Carolina"/>
    <s v="South"/>
    <s v="Retail Store"/>
    <s v="New"/>
    <s v="Footwear"/>
    <s v="Suede Loafer"/>
    <s v="Jonah Wright"/>
    <n v="4"/>
    <n v="152.85"/>
    <n v="0"/>
    <n v="611.4"/>
    <n v="611.4"/>
  </r>
  <r>
    <s v="K7-10299"/>
    <d v="2026-07-12T00:00:00"/>
    <s v="Colorado"/>
    <s v="West"/>
    <s v="Retail Store"/>
    <s v="Returning"/>
    <s v="Bottoms"/>
    <s v="Slim Chino"/>
    <s v="Marcus Reed"/>
    <n v="9"/>
    <n v="75.63"/>
    <n v="0"/>
    <n v="680.67"/>
    <n v="680.67"/>
  </r>
  <r>
    <s v="K7-10300"/>
    <d v="2026-03-13T00:00:00"/>
    <s v="Georgia"/>
    <s v="South"/>
    <s v="Retail Store"/>
    <s v="Returning"/>
    <s v="Bottoms"/>
    <s v="Straight Jeans"/>
    <s v="Elena Vargas"/>
    <n v="8"/>
    <n v="93.49"/>
    <n v="0"/>
    <n v="747.92"/>
    <n v="747.92"/>
  </r>
  <r>
    <s v="K7-10301"/>
    <d v="2026-06-20T00:00:00"/>
    <s v="California"/>
    <s v="West"/>
    <s v="Online"/>
    <s v="Returning"/>
    <s v="Bottoms"/>
    <s v="Slim Chino"/>
    <s v="Elena Vargas"/>
    <n v="1"/>
    <n v="78.760000000000005"/>
    <n v="0.05"/>
    <n v="74.819999999999993"/>
    <n v="78.760000000000005"/>
  </r>
  <r>
    <s v="K7-10302"/>
    <d v="2026-08-14T00:00:00"/>
    <s v="Missouri"/>
    <s v="Midwest"/>
    <s v="Wholesale"/>
    <s v="New"/>
    <s v="Bottoms"/>
    <s v="Tailored Short"/>
    <s v="Noor Haddad"/>
    <n v="8"/>
    <n v="57.19"/>
    <n v="0"/>
    <n v="457.52"/>
    <n v="457.52"/>
  </r>
  <r>
    <s v="K7-10303"/>
    <d v="2026-03-17T00:00:00"/>
    <s v="Maryland"/>
    <s v="South"/>
    <s v="Retail Store"/>
    <s v="Returning"/>
    <s v="Bottoms"/>
    <s v="Slim Chino"/>
    <s v="Ava Brooks"/>
    <n v="5"/>
    <n v="75.290000000000006"/>
    <n v="0.1"/>
    <n v="338.81"/>
    <n v="376.45000000000005"/>
  </r>
  <r>
    <s v="K7-10304"/>
    <d v="2026-12-07T00:00:00"/>
    <s v="Texas"/>
    <s v="South"/>
    <s v="Online"/>
    <s v="New"/>
    <s v="Outerwear"/>
    <s v="Quilted Jacket"/>
    <s v="Jonah Wright"/>
    <n v="7"/>
    <n v="177.05"/>
    <n v="0"/>
    <n v="1239.3499999999999"/>
    <n v="1239.3500000000001"/>
  </r>
  <r>
    <s v="K7-10305"/>
    <d v="2026-04-07T00:00:00"/>
    <s v="New Jersey"/>
    <s v="Northeast"/>
    <s v="Online"/>
    <s v="New"/>
    <s v="Bottoms"/>
    <s v="Tailored Short"/>
    <s v="Ava Brooks"/>
    <n v="4"/>
    <n v="61.78"/>
    <n v="0"/>
    <n v="247.12"/>
    <n v="247.12"/>
  </r>
  <r>
    <s v="K7-10306"/>
    <d v="2026-06-22T00:00:00"/>
    <s v="Ohio"/>
    <s v="Midwest"/>
    <s v="Retail Store"/>
    <s v="Returning"/>
    <s v="Bottoms"/>
    <s v="Cargo Pant"/>
    <s v="Priya Nair"/>
    <n v="1"/>
    <n v="86.43"/>
    <n v="0"/>
    <n v="86.43"/>
    <n v="86.43"/>
  </r>
  <r>
    <s v="K7-10307"/>
    <d v="2026-07-27T00:00:00"/>
    <s v="New York"/>
    <s v="Northeast"/>
    <s v="Online"/>
    <s v="New"/>
    <s v="Bottoms"/>
    <s v="Slim Chino"/>
    <s v="Dylan Foster"/>
    <n v="5"/>
    <n v="74.3"/>
    <n v="0"/>
    <n v="371.5"/>
    <n v="371.5"/>
  </r>
  <r>
    <s v="K7-10308"/>
    <d v="2026-12-22T00:00:00"/>
    <s v="Virginia"/>
    <s v="South"/>
    <s v="Retail Store"/>
    <s v="Returning"/>
    <s v="Footwear"/>
    <s v="Suede Loafer"/>
    <s v="Noor Haddad"/>
    <n v="2"/>
    <n v="155"/>
    <n v="0.05"/>
    <n v="294.5"/>
    <n v="310"/>
  </r>
  <r>
    <s v="K7-10309"/>
    <d v="2026-09-22T00:00:00"/>
    <s v="New York"/>
    <s v="Northeast"/>
    <s v="Retail Store"/>
    <s v="Returning"/>
    <s v="Tops"/>
    <s v="Henley Long Sleeve"/>
    <s v="Noor Haddad"/>
    <n v="3"/>
    <n v="44.42"/>
    <n v="0.1"/>
    <n v="119.93"/>
    <n v="133.26"/>
  </r>
  <r>
    <s v="K7-10310"/>
    <d v="2026-10-24T00:00:00"/>
    <s v="Florida"/>
    <s v="South"/>
    <s v="Wholesale"/>
    <s v="New"/>
    <s v="Tops"/>
    <s v="Henley Long Sleeve"/>
    <s v="Priya Nair"/>
    <n v="5"/>
    <n v="48.33"/>
    <n v="0"/>
    <n v="241.65"/>
    <n v="241.64999999999998"/>
  </r>
  <r>
    <s v="K7-10311"/>
    <d v="2026-03-28T00:00:00"/>
    <s v="Ohio"/>
    <s v="Midwest"/>
    <s v="Retail Store"/>
    <s v="Returning"/>
    <s v="Bottoms"/>
    <s v="Tailored Short"/>
    <s v="Priya Nair"/>
    <n v="6"/>
    <n v="58.13"/>
    <n v="0"/>
    <n v="348.78"/>
    <n v="348.78000000000003"/>
  </r>
  <r>
    <s v="K7-10312"/>
    <d v="2026-01-30T00:00:00"/>
    <s v="Maryland"/>
    <s v="South"/>
    <s v="Retail Store"/>
    <s v="Returning"/>
    <s v="Accessories"/>
    <s v="Knit Beanie"/>
    <s v="Jonah Wright"/>
    <n v="1"/>
    <n v="24.53"/>
    <n v="0"/>
    <n v="24.53"/>
    <n v="24.53"/>
  </r>
  <r>
    <s v="K7-10313"/>
    <d v="2026-03-06T00:00:00"/>
    <s v="Nevada"/>
    <s v="West"/>
    <s v="Retail Store"/>
    <s v="Returning"/>
    <s v="Tops"/>
    <s v="Oxford Shirt"/>
    <s v="Elena Vargas"/>
    <n v="5"/>
    <n v="67.02"/>
    <n v="0"/>
    <n v="335.1"/>
    <n v="335.09999999999997"/>
  </r>
  <r>
    <s v="K7-10314"/>
    <d v="2026-03-07T00:00:00"/>
    <s v="Indiana"/>
    <s v="Midwest"/>
    <s v="Online"/>
    <s v="Returning"/>
    <s v="Bottoms"/>
    <s v="Slim Chino"/>
    <s v="Noor Haddad"/>
    <n v="8"/>
    <n v="72.19"/>
    <n v="0"/>
    <n v="577.52"/>
    <n v="577.52"/>
  </r>
  <r>
    <s v="K7-10315"/>
    <d v="2026-12-06T00:00:00"/>
    <s v="Illinois"/>
    <s v="Midwest"/>
    <s v="Online"/>
    <s v="New"/>
    <s v="Dresses"/>
    <s v="Midi Slip Dress"/>
    <s v="Jonah Wright"/>
    <n v="5"/>
    <n v="99.85"/>
    <n v="0"/>
    <n v="499.25"/>
    <n v="499.25"/>
  </r>
  <r>
    <s v="K7-10316"/>
    <d v="2026-07-04T00:00:00"/>
    <s v="California"/>
    <s v="West"/>
    <s v="Online"/>
    <s v="New"/>
    <s v="Footwear"/>
    <s v="Canvas Sneaker"/>
    <s v="Marcus Reed"/>
    <n v="7"/>
    <n v="88.21"/>
    <n v="0.05"/>
    <n v="586.6"/>
    <n v="617.46999999999991"/>
  </r>
  <r>
    <s v="K7-10317"/>
    <d v="2026-01-25T00:00:00"/>
    <s v="Louisiana"/>
    <s v="South"/>
    <s v="Marketplace"/>
    <s v="Returning"/>
    <s v="Outerwear"/>
    <s v="Hooded Parka"/>
    <s v="Marcus Reed"/>
    <n v="6"/>
    <n v="254.34"/>
    <n v="0.2"/>
    <n v="1220.83"/>
    <n v="1526.04"/>
  </r>
  <r>
    <s v="K7-10318"/>
    <d v="2026-11-05T00:00:00"/>
    <s v="Illinois"/>
    <s v="Midwest"/>
    <s v="Online"/>
    <s v="Returning"/>
    <s v="Dresses"/>
    <s v="Wrap Dress"/>
    <s v="Elena Vargas"/>
    <n v="1"/>
    <n v="120.06"/>
    <n v="0"/>
    <n v="120.06"/>
    <n v="120.06"/>
  </r>
  <r>
    <s v="K7-10319"/>
    <d v="2026-04-21T00:00:00"/>
    <s v="New York"/>
    <s v="Northeast"/>
    <s v="Online"/>
    <s v="Returning"/>
    <s v="Outerwear"/>
    <s v="Denim Trucker"/>
    <s v="Ava Brooks"/>
    <n v="5"/>
    <n v="124.77"/>
    <n v="0"/>
    <n v="623.85"/>
    <n v="623.85"/>
  </r>
  <r>
    <s v="K7-10320"/>
    <d v="2026-06-13T00:00:00"/>
    <s v="North Carolina"/>
    <s v="South"/>
    <s v="Retail Store"/>
    <s v="Returning"/>
    <s v="Tops"/>
    <s v="Striped Polo"/>
    <s v="Marcus Reed"/>
    <n v="1"/>
    <n v="58.12"/>
    <n v="0.1"/>
    <n v="52.31"/>
    <n v="58.12"/>
  </r>
  <r>
    <s v="K7-10321"/>
    <d v="2026-10-20T00:00:00"/>
    <s v="California"/>
    <s v="West"/>
    <s v="Retail Store"/>
    <s v="New"/>
    <s v="Dresses"/>
    <s v="Midi Slip Dress"/>
    <s v="Marcus Reed"/>
    <n v="3"/>
    <n v="92.09"/>
    <n v="0"/>
    <n v="276.27"/>
    <n v="276.27"/>
  </r>
  <r>
    <s v="K7-10322"/>
    <d v="2026-10-30T00:00:00"/>
    <s v="Idaho"/>
    <s v="West"/>
    <s v="Online"/>
    <s v="Returning"/>
    <s v="Footwear"/>
    <s v="Suede Loafer"/>
    <s v="Dylan Foster"/>
    <n v="3"/>
    <n v="155.21"/>
    <n v="0"/>
    <n v="465.63"/>
    <n v="465.63"/>
  </r>
  <r>
    <s v="K7-10323"/>
    <d v="2026-04-13T00:00:00"/>
    <s v="Michigan"/>
    <s v="Midwest"/>
    <s v="Marketplace"/>
    <s v="New"/>
    <s v="Tops"/>
    <s v="Classic Tee"/>
    <s v="Marcus Reed"/>
    <n v="3"/>
    <n v="31.34"/>
    <n v="0"/>
    <n v="94.02"/>
    <n v="94.02"/>
  </r>
  <r>
    <s v="K7-10324"/>
    <d v="2026-05-15T00:00:00"/>
    <s v="Florida"/>
    <s v="South"/>
    <s v="Retail Store"/>
    <s v="Returning"/>
    <s v="Bottoms"/>
    <s v="Cargo Pant"/>
    <s v="Grace Okafor"/>
    <n v="1"/>
    <n v="89.17"/>
    <n v="0"/>
    <n v="89.17"/>
    <n v="89.17"/>
  </r>
  <r>
    <s v="K7-10325"/>
    <d v="2026-04-21T00:00:00"/>
    <s v="Tennessee"/>
    <s v="South"/>
    <s v="Retail Store"/>
    <s v="Returning"/>
    <s v="Bottoms"/>
    <s v="Cargo Pant"/>
    <s v="Dylan Foster"/>
    <n v="5"/>
    <n v="79.709999999999994"/>
    <n v="0"/>
    <n v="398.55"/>
    <n v="398.54999999999995"/>
  </r>
  <r>
    <s v="K7-10326"/>
    <d v="2026-08-16T00:00:00"/>
    <s v="Arizona"/>
    <s v="West"/>
    <s v="Online"/>
    <s v="New"/>
    <s v="Accessories"/>
    <s v="Knit Beanie"/>
    <s v="Priya Nair"/>
    <n v="4"/>
    <n v="24.17"/>
    <n v="0"/>
    <n v="96.68"/>
    <n v="96.68"/>
  </r>
  <r>
    <s v="K7-10327"/>
    <d v="2026-05-15T00:00:00"/>
    <s v="Minnesota"/>
    <s v="Midwest"/>
    <s v="Online"/>
    <s v="Returning"/>
    <s v="Dresses"/>
    <s v="Midi Slip Dress"/>
    <s v="Elena Vargas"/>
    <n v="5"/>
    <n v="92.92"/>
    <n v="0"/>
    <n v="464.6"/>
    <n v="464.6"/>
  </r>
  <r>
    <s v="K7-10328"/>
    <d v="2026-12-01T00:00:00"/>
    <s v="Pennsylvania"/>
    <s v="Northeast"/>
    <s v="Marketplace"/>
    <s v="Returning"/>
    <s v="Tops"/>
    <s v="Henley Long Sleeve"/>
    <s v="Jonah Wright"/>
    <n v="13"/>
    <n v="45.11"/>
    <n v="0.1"/>
    <n v="527.79"/>
    <n v="586.42999999999995"/>
  </r>
  <r>
    <s v="K7-10329"/>
    <d v="2026-03-18T00:00:00"/>
    <s v="South Carolina"/>
    <s v="South"/>
    <s v="Marketplace"/>
    <s v="New"/>
    <s v="Footwear"/>
    <s v="Leather Boot"/>
    <s v="Noor Haddad"/>
    <n v="4"/>
    <n v="230.34"/>
    <n v="0.15"/>
    <n v="783.16"/>
    <n v="921.36"/>
  </r>
  <r>
    <s v="K7-10330"/>
    <d v="2026-04-17T00:00:00"/>
    <s v="Texas"/>
    <s v="South"/>
    <s v="Online"/>
    <s v="New"/>
    <s v="Footwear"/>
    <s v="Leather Boot"/>
    <s v="Grace Okafor"/>
    <n v="16"/>
    <n v="230.46"/>
    <n v="0"/>
    <n v="3687.36"/>
    <n v="3687.36"/>
  </r>
  <r>
    <s v="K7-10331"/>
    <d v="2026-06-26T00:00:00"/>
    <s v="Arizona"/>
    <s v="West"/>
    <s v="Online"/>
    <s v="Returning"/>
    <s v="Accessories"/>
    <s v="Knit Beanie"/>
    <s v="Elena Vargas"/>
    <n v="5"/>
    <n v="24.52"/>
    <n v="0.05"/>
    <n v="116.47"/>
    <n v="122.6"/>
  </r>
  <r>
    <s v="K7-10332"/>
    <d v="2026-09-13T00:00:00"/>
    <s v="Indiana"/>
    <s v="Midwest"/>
    <s v="Online"/>
    <s v="New"/>
    <s v="Tops"/>
    <s v="Striped Polo"/>
    <s v="Ava Brooks"/>
    <n v="1"/>
    <n v="51.1"/>
    <n v="0.15"/>
    <n v="43.44"/>
    <n v="51.1"/>
  </r>
  <r>
    <s v="K7-10333"/>
    <d v="2026-12-25T00:00:00"/>
    <s v="Florida"/>
    <s v="South"/>
    <s v="Marketplace"/>
    <s v="Returning"/>
    <s v="Tops"/>
    <s v="Striped Polo"/>
    <s v="Grace Okafor"/>
    <n v="6"/>
    <n v="58.07"/>
    <n v="0.05"/>
    <n v="331"/>
    <n v="348.42"/>
  </r>
  <r>
    <s v="K7-10334"/>
    <d v="2026-11-24T00:00:00"/>
    <s v="Florida"/>
    <s v="South"/>
    <s v="Retail Store"/>
    <s v="New"/>
    <s v="Dresses"/>
    <s v="Wrap Dress"/>
    <s v="Jonah Wright"/>
    <n v="2"/>
    <n v="108.95"/>
    <n v="0.1"/>
    <n v="196.11"/>
    <n v="217.9"/>
  </r>
  <r>
    <s v="K7-10335"/>
    <d v="2026-06-12T00:00:00"/>
    <s v="Florida"/>
    <s v="South"/>
    <s v="Retail Store"/>
    <s v="Returning"/>
    <s v="Footwear"/>
    <s v="Leather Boot"/>
    <s v="Jonah Wright"/>
    <n v="1"/>
    <n v="217.13"/>
    <n v="0"/>
    <n v="217.13"/>
    <n v="217.13"/>
  </r>
  <r>
    <s v="K7-10336"/>
    <d v="2026-12-04T00:00:00"/>
    <s v="Illinois"/>
    <s v="Midwest"/>
    <s v="Online"/>
    <s v="Returning"/>
    <s v="Outerwear"/>
    <s v="Hooded Parka"/>
    <s v="Dylan Foster"/>
    <n v="5"/>
    <n v="228.09"/>
    <n v="0.15"/>
    <n v="969.38"/>
    <n v="1140.45"/>
  </r>
  <r>
    <s v="K7-10337"/>
    <d v="2026-10-24T00:00:00"/>
    <s v="Nevada"/>
    <s v="West"/>
    <s v="Marketplace"/>
    <s v="Returning"/>
    <s v="Accessories"/>
    <s v="Silk Scarf"/>
    <s v="Noor Haddad"/>
    <n v="2"/>
    <n v="66.56"/>
    <n v="0.1"/>
    <n v="119.81"/>
    <n v="133.12"/>
  </r>
  <r>
    <s v="K7-10338"/>
    <d v="2026-05-19T00:00:00"/>
    <s v="Tennessee"/>
    <s v="South"/>
    <s v="Retail Store"/>
    <s v="New"/>
    <s v="Outerwear"/>
    <s v="Wool Overcoat"/>
    <s v="Marcus Reed"/>
    <n v="2"/>
    <n v="316.82"/>
    <n v="0"/>
    <n v="633.64"/>
    <n v="633.64"/>
  </r>
  <r>
    <s v="K7-10339"/>
    <d v="2026-06-02T00:00:00"/>
    <s v="Ohio"/>
    <s v="Midwest"/>
    <s v="Online"/>
    <s v="Returning"/>
    <s v="Bottoms"/>
    <s v="Cargo Pant"/>
    <s v="Dylan Foster"/>
    <n v="5"/>
    <n v="85.91"/>
    <n v="0"/>
    <n v="429.55"/>
    <n v="429.54999999999995"/>
  </r>
  <r>
    <s v="K7-10340"/>
    <d v="2026-01-16T00:00:00"/>
    <s v="Florida"/>
    <s v="South"/>
    <s v="Marketplace"/>
    <s v="Returning"/>
    <s v="Bottoms"/>
    <s v="Cargo Pant"/>
    <s v="Ava Brooks"/>
    <n v="2"/>
    <n v="90.63"/>
    <n v="0"/>
    <n v="181.26"/>
    <n v="181.26"/>
  </r>
  <r>
    <s v="K7-10341"/>
    <d v="2026-04-18T00:00:00"/>
    <s v="Wisconsin"/>
    <s v="Midwest"/>
    <s v="Retail Store"/>
    <s v="New"/>
    <s v="Dresses"/>
    <s v="Wrap Dress"/>
    <s v="Priya Nair"/>
    <n v="2"/>
    <n v="112.89"/>
    <n v="0.1"/>
    <n v="203.2"/>
    <n v="225.78"/>
  </r>
  <r>
    <s v="K7-10342"/>
    <d v="2026-12-10T00:00:00"/>
    <s v="Texas"/>
    <s v="South"/>
    <s v="Wholesale"/>
    <s v="Returning"/>
    <s v="Bottoms"/>
    <s v="Cargo Pant"/>
    <s v="Priya Nair"/>
    <n v="2"/>
    <n v="84.14"/>
    <n v="0.05"/>
    <n v="159.87"/>
    <n v="168.28"/>
  </r>
  <r>
    <s v="K7-10343"/>
    <d v="2026-09-16T00:00:00"/>
    <s v="North Carolina"/>
    <s v="South"/>
    <s v="Marketplace"/>
    <s v="Returning"/>
    <s v="Footwear"/>
    <s v="Suede Loafer"/>
    <s v="Elena Vargas"/>
    <n v="11"/>
    <n v="170.44"/>
    <n v="0"/>
    <n v="1874.84"/>
    <n v="1874.84"/>
  </r>
  <r>
    <s v="K7-10344"/>
    <d v="2026-05-11T00:00:00"/>
    <s v="Michigan"/>
    <s v="Midwest"/>
    <s v="Wholesale"/>
    <s v="Returning"/>
    <s v="Dresses"/>
    <s v="Midi Slip Dress"/>
    <s v="Ava Brooks"/>
    <n v="2"/>
    <n v="97.53"/>
    <n v="0"/>
    <n v="195.06"/>
    <n v="195.06"/>
  </r>
  <r>
    <s v="K7-10345"/>
    <d v="2026-03-26T00:00:00"/>
    <s v="Indiana"/>
    <s v="Midwest"/>
    <s v="Online"/>
    <s v="Returning"/>
    <s v="Footwear"/>
    <s v="Canvas Sneaker"/>
    <s v="Marcus Reed"/>
    <n v="5"/>
    <n v="94.19"/>
    <n v="0.2"/>
    <n v="376.76"/>
    <n v="470.95"/>
  </r>
  <r>
    <s v="K7-10346"/>
    <d v="2026-05-22T00:00:00"/>
    <s v="New York"/>
    <s v="Northeast"/>
    <s v="Wholesale"/>
    <s v="Returning"/>
    <s v="Accessories"/>
    <s v="Leather Belt"/>
    <s v="Priya Nair"/>
    <n v="2"/>
    <n v="45.47"/>
    <n v="0.2"/>
    <n v="72.75"/>
    <n v="90.94"/>
  </r>
  <r>
    <s v="K7-10347"/>
    <d v="2026-03-12T00:00:00"/>
    <s v="New Jersey"/>
    <s v="Northeast"/>
    <s v="Wholesale"/>
    <s v="Returning"/>
    <s v="Tops"/>
    <s v="Oxford Shirt"/>
    <s v="Ava Brooks"/>
    <n v="3"/>
    <n v="63.69"/>
    <n v="0"/>
    <n v="191.07"/>
    <n v="191.07"/>
  </r>
  <r>
    <s v="K7-10348"/>
    <d v="2026-03-26T00:00:00"/>
    <s v="Louisiana"/>
    <s v="South"/>
    <s v="Online"/>
    <s v="New"/>
    <s v="Dresses"/>
    <s v="Midi Slip Dress"/>
    <s v="Jonah Wright"/>
    <n v="3"/>
    <n v="96.79"/>
    <n v="0.05"/>
    <n v="275.85000000000002"/>
    <n v="290.37"/>
  </r>
  <r>
    <s v="K7-10349"/>
    <d v="2026-06-02T00:00:00"/>
    <s v="South Carolina"/>
    <s v="South"/>
    <s v="Wholesale"/>
    <s v="New"/>
    <s v="Dresses"/>
    <s v="Midi Slip Dress"/>
    <s v="Marcus Reed"/>
    <n v="1"/>
    <n v="90.51"/>
    <n v="0"/>
    <n v="90.51"/>
    <n v="90.51"/>
  </r>
  <r>
    <s v="K7-10350"/>
    <d v="2026-09-13T00:00:00"/>
    <s v="California"/>
    <s v="West"/>
    <s v="Online"/>
    <s v="Returning"/>
    <s v="Tops"/>
    <s v="Striped Polo"/>
    <s v="Elena Vargas"/>
    <n v="11"/>
    <n v="51.92"/>
    <n v="0"/>
    <n v="571.12"/>
    <n v="571.12"/>
  </r>
  <r>
    <s v="K7-10351"/>
    <d v="2026-09-09T00:00:00"/>
    <s v="Louisiana"/>
    <s v="South"/>
    <s v="Online"/>
    <s v="Returning"/>
    <s v="Bottoms"/>
    <s v="Tailored Short"/>
    <s v="Jonah Wright"/>
    <n v="6"/>
    <n v="57.2"/>
    <n v="0"/>
    <n v="343.2"/>
    <n v="343.20000000000005"/>
  </r>
  <r>
    <s v="K7-10352"/>
    <d v="2026-12-10T00:00:00"/>
    <s v="Georgia"/>
    <s v="South"/>
    <s v="Online"/>
    <s v="Returning"/>
    <s v="Tops"/>
    <s v="Striped Polo"/>
    <s v="Elena Vargas"/>
    <n v="2"/>
    <n v="49.78"/>
    <n v="0"/>
    <n v="99.56"/>
    <n v="99.56"/>
  </r>
  <r>
    <s v="K7-10353"/>
    <d v="2026-07-05T00:00:00"/>
    <s v="Connecticut"/>
    <s v="Northeast"/>
    <s v="Marketplace"/>
    <s v="Returning"/>
    <s v="Dresses"/>
    <s v="Midi Slip Dress"/>
    <s v="Marcus Reed"/>
    <n v="2"/>
    <n v="98.27"/>
    <n v="0.15"/>
    <n v="167.06"/>
    <n v="196.54"/>
  </r>
  <r>
    <s v="K7-10354"/>
    <d v="2026-03-06T00:00:00"/>
    <s v="Alabama"/>
    <s v="South"/>
    <s v="Retail Store"/>
    <s v="New"/>
    <s v="Tops"/>
    <s v="Striped Polo"/>
    <s v="Marcus Reed"/>
    <n v="1"/>
    <n v="52.24"/>
    <n v="0"/>
    <n v="52.24"/>
    <n v="52.24"/>
  </r>
  <r>
    <s v="K7-10355"/>
    <d v="2026-06-20T00:00:00"/>
    <s v="Texas"/>
    <s v="South"/>
    <s v="Retail Store"/>
    <s v="Returning"/>
    <s v="Tops"/>
    <s v="Classic Tee"/>
    <s v="Noor Haddad"/>
    <n v="1"/>
    <n v="29.85"/>
    <n v="0.3"/>
    <n v="20.89"/>
    <n v="29.85"/>
  </r>
  <r>
    <s v="K7-10356"/>
    <d v="2026-07-30T00:00:00"/>
    <s v="Connecticut"/>
    <s v="Northeast"/>
    <s v="Wholesale"/>
    <s v="Returning"/>
    <s v="Tops"/>
    <s v="Oxford Shirt"/>
    <s v="Jonah Wright"/>
    <n v="2"/>
    <n v="72.739999999999995"/>
    <n v="0"/>
    <n v="145.47999999999999"/>
    <n v="145.47999999999999"/>
  </r>
  <r>
    <s v="K7-10357"/>
    <d v="2026-09-03T00:00:00"/>
    <s v="Florida"/>
    <s v="South"/>
    <s v="Retail Store"/>
    <s v="Returning"/>
    <s v="Dresses"/>
    <s v="Wrap Dress"/>
    <s v="Grace Okafor"/>
    <n v="2"/>
    <n v="114.69"/>
    <n v="0.15"/>
    <n v="194.97"/>
    <n v="229.38"/>
  </r>
  <r>
    <s v="K7-10358"/>
    <d v="2026-12-21T00:00:00"/>
    <s v="Virginia"/>
    <s v="South"/>
    <s v="Online"/>
    <s v="Returning"/>
    <s v="Footwear"/>
    <s v="Suede Loafer"/>
    <s v="Elena Vargas"/>
    <n v="3"/>
    <n v="159.11000000000001"/>
    <n v="0"/>
    <n v="477.33"/>
    <n v="477.33000000000004"/>
  </r>
  <r>
    <s v="K7-10359"/>
    <d v="2026-01-07T00:00:00"/>
    <s v="Texas"/>
    <s v="South"/>
    <s v="Online"/>
    <s v="Returning"/>
    <s v="Accessories"/>
    <s v="Canvas Tote"/>
    <s v="Jonah Wright"/>
    <n v="1"/>
    <n v="40.799999999999997"/>
    <n v="0"/>
    <n v="40.799999999999997"/>
    <n v="40.799999999999997"/>
  </r>
  <r>
    <s v="K7-10360"/>
    <d v="2026-03-21T00:00:00"/>
    <s v="New Jersey"/>
    <s v="Northeast"/>
    <s v="Online"/>
    <s v="Returning"/>
    <s v="Tops"/>
    <s v="Oxford Shirt"/>
    <s v="Elena Vargas"/>
    <n v="6"/>
    <n v="67.88"/>
    <n v="0"/>
    <n v="407.28"/>
    <n v="407.28"/>
  </r>
  <r>
    <s v="K7-10361"/>
    <d v="2026-05-04T00:00:00"/>
    <s v="Washington"/>
    <s v="West"/>
    <s v="Online"/>
    <s v="New"/>
    <s v="Tops"/>
    <s v="Oxford Shirt"/>
    <s v="Elena Vargas"/>
    <n v="3"/>
    <n v="63.04"/>
    <n v="0"/>
    <n v="189.12"/>
    <n v="189.12"/>
  </r>
  <r>
    <s v="K7-10362"/>
    <d v="2026-06-14T00:00:00"/>
    <s v="Utah"/>
    <s v="West"/>
    <s v="Online"/>
    <s v="Returning"/>
    <s v="Footwear"/>
    <s v="Canvas Sneaker"/>
    <s v="Priya Nair"/>
    <n v="2"/>
    <n v="95.28"/>
    <n v="0.05"/>
    <n v="181.03"/>
    <n v="190.56"/>
  </r>
  <r>
    <s v="K7-10363"/>
    <d v="2026-05-24T00:00:00"/>
    <s v="Nevada"/>
    <s v="West"/>
    <s v="Retail Store"/>
    <s v="Returning"/>
    <s v="Bottoms"/>
    <s v="Cargo Pant"/>
    <s v="Grace Okafor"/>
    <n v="1"/>
    <n v="89.37"/>
    <n v="0"/>
    <n v="89.37"/>
    <n v="89.37"/>
  </r>
  <r>
    <s v="K7-10364"/>
    <d v="2026-08-04T00:00:00"/>
    <s v="Washington"/>
    <s v="West"/>
    <s v="Retail Store"/>
    <s v="New"/>
    <s v="Bottoms"/>
    <s v="Slim Chino"/>
    <s v="Marcus Reed"/>
    <n v="8"/>
    <n v="74.37"/>
    <n v="0"/>
    <n v="594.96"/>
    <n v="594.96"/>
  </r>
  <r>
    <s v="K7-10365"/>
    <d v="2026-08-06T00:00:00"/>
    <s v="Pennsylvania"/>
    <s v="Northeast"/>
    <s v="Marketplace"/>
    <s v="New"/>
    <s v="Accessories"/>
    <s v="Leather Belt"/>
    <s v="Ava Brooks"/>
    <n v="3"/>
    <n v="45.14"/>
    <n v="0"/>
    <n v="135.41999999999999"/>
    <n v="135.42000000000002"/>
  </r>
  <r>
    <s v="K7-10366"/>
    <d v="2026-07-08T00:00:00"/>
    <s v="Texas"/>
    <s v="South"/>
    <s v="Wholesale"/>
    <s v="Returning"/>
    <s v="Footwear"/>
    <s v="Suede Loafer"/>
    <s v="Dylan Foster"/>
    <n v="1"/>
    <n v="165.37"/>
    <n v="0.15"/>
    <n v="140.56"/>
    <n v="165.37"/>
  </r>
  <r>
    <s v="K7-10367"/>
    <d v="2026-08-31T00:00:00"/>
    <s v="Missouri"/>
    <s v="Midwest"/>
    <s v="Retail Store"/>
    <s v="Returning"/>
    <s v="Dresses"/>
    <s v="Wrap Dress"/>
    <s v="Marcus Reed"/>
    <n v="3"/>
    <n v="112.52"/>
    <n v="0"/>
    <n v="337.56"/>
    <n v="337.56"/>
  </r>
  <r>
    <s v="K7-10368"/>
    <d v="2026-09-14T00:00:00"/>
    <s v="Massachusetts"/>
    <s v="Northeast"/>
    <s v="Wholesale"/>
    <s v="New"/>
    <s v="Tops"/>
    <s v="Oxford Shirt"/>
    <s v="Dylan Foster"/>
    <n v="1"/>
    <n v="69.459999999999994"/>
    <n v="0.1"/>
    <n v="62.51"/>
    <n v="69.459999999999994"/>
  </r>
  <r>
    <s v="K7-10369"/>
    <d v="2026-09-05T00:00:00"/>
    <s v="Georgia"/>
    <s v="South"/>
    <s v="Online"/>
    <s v="New"/>
    <s v="Accessories"/>
    <s v="Silk Scarf"/>
    <s v="Grace Okafor"/>
    <n v="2"/>
    <n v="61.64"/>
    <n v="0.05"/>
    <n v="117.12"/>
    <n v="123.28"/>
  </r>
  <r>
    <s v="K7-10370"/>
    <d v="2026-04-11T00:00:00"/>
    <s v="Alabama"/>
    <s v="South"/>
    <s v="Online"/>
    <s v="Returning"/>
    <s v="Tops"/>
    <s v="Oxford Shirt"/>
    <s v="Elena Vargas"/>
    <n v="1"/>
    <n v="65.400000000000006"/>
    <n v="0.1"/>
    <n v="58.86"/>
    <n v="65.400000000000006"/>
  </r>
  <r>
    <s v="K7-10371"/>
    <d v="2026-09-26T00:00:00"/>
    <s v="New York"/>
    <s v="Northeast"/>
    <s v="Online"/>
    <s v="New"/>
    <s v="Bottoms"/>
    <s v="Straight Jeans"/>
    <s v="Dylan Foster"/>
    <n v="2"/>
    <n v="89.66"/>
    <n v="0.05"/>
    <n v="170.35"/>
    <n v="179.32"/>
  </r>
  <r>
    <s v="K7-10372"/>
    <d v="2026-11-02T00:00:00"/>
    <s v="Texas"/>
    <s v="South"/>
    <s v="Online"/>
    <s v="Returning"/>
    <s v="Accessories"/>
    <s v="Canvas Tote"/>
    <s v="Ava Brooks"/>
    <n v="4"/>
    <n v="35.78"/>
    <n v="0"/>
    <n v="143.12"/>
    <n v="143.12"/>
  </r>
  <r>
    <s v="K7-10373"/>
    <d v="2026-11-15T00:00:00"/>
    <s v="New York"/>
    <s v="Northeast"/>
    <s v="Online"/>
    <s v="New"/>
    <s v="Accessories"/>
    <s v="Leather Belt"/>
    <s v="Ava Brooks"/>
    <n v="5"/>
    <n v="47.27"/>
    <n v="0.05"/>
    <n v="224.53"/>
    <n v="236.35000000000002"/>
  </r>
  <r>
    <s v="K7-10374"/>
    <d v="2026-03-09T00:00:00"/>
    <s v="Michigan"/>
    <s v="Midwest"/>
    <s v="Wholesale"/>
    <s v="New"/>
    <s v="Footwear"/>
    <s v="Canvas Sneaker"/>
    <s v="Elena Vargas"/>
    <n v="6"/>
    <n v="86.66"/>
    <n v="0"/>
    <n v="519.96"/>
    <n v="519.96"/>
  </r>
  <r>
    <s v="K7-10375"/>
    <d v="2026-10-18T00:00:00"/>
    <s v="Ohio"/>
    <s v="Midwest"/>
    <s v="Marketplace"/>
    <s v="New"/>
    <s v="Footwear"/>
    <s v="Leather Boot"/>
    <s v="Marcus Reed"/>
    <n v="10"/>
    <n v="201.28"/>
    <n v="0"/>
    <n v="2012.8"/>
    <n v="2012.8"/>
  </r>
  <r>
    <s v="K7-10376"/>
    <d v="2026-09-29T00:00:00"/>
    <s v="Tennessee"/>
    <s v="South"/>
    <s v="Marketplace"/>
    <s v="Returning"/>
    <s v="Footwear"/>
    <s v="Canvas Sneaker"/>
    <s v="Elena Vargas"/>
    <n v="1"/>
    <n v="89.15"/>
    <n v="0.1"/>
    <n v="80.239999999999995"/>
    <n v="89.15"/>
  </r>
  <r>
    <s v="K7-10377"/>
    <d v="2026-12-14T00:00:00"/>
    <s v="Arizona"/>
    <s v="West"/>
    <s v="Online"/>
    <s v="Returning"/>
    <s v="Dresses"/>
    <s v="Wrap Dress"/>
    <s v="Grace Okafor"/>
    <n v="5"/>
    <n v="113.28"/>
    <n v="0"/>
    <n v="566.4"/>
    <n v="566.4"/>
  </r>
  <r>
    <s v="K7-10378"/>
    <d v="2026-09-16T00:00:00"/>
    <s v="Illinois"/>
    <s v="Midwest"/>
    <s v="Retail Store"/>
    <s v="New"/>
    <s v="Outerwear"/>
    <s v="Wool Overcoat"/>
    <s v="Priya Nair"/>
    <n v="1"/>
    <n v="305.56"/>
    <n v="0"/>
    <n v="305.56"/>
    <n v="305.56"/>
  </r>
  <r>
    <s v="K7-10379"/>
    <d v="2026-12-20T00:00:00"/>
    <s v="Georgia"/>
    <s v="South"/>
    <s v="Retail Store"/>
    <s v="New"/>
    <s v="Tops"/>
    <s v="Striped Polo"/>
    <s v="Marcus Reed"/>
    <n v="2"/>
    <n v="52.51"/>
    <n v="0"/>
    <n v="105.02"/>
    <n v="105.02"/>
  </r>
  <r>
    <s v="K7-10380"/>
    <d v="2026-01-18T00:00:00"/>
    <s v="Florida"/>
    <s v="South"/>
    <s v="Online"/>
    <s v="Returning"/>
    <s v="Dresses"/>
    <s v="Midi Slip Dress"/>
    <s v="Ava Brooks"/>
    <n v="11"/>
    <n v="105.79"/>
    <n v="0.15"/>
    <n v="989.14"/>
    <n v="1163.69"/>
  </r>
  <r>
    <s v="K7-10381"/>
    <d v="2026-09-04T00:00:00"/>
    <s v="New York"/>
    <s v="Northeast"/>
    <s v="Online"/>
    <s v="Returning"/>
    <s v="Outerwear"/>
    <s v="Hooded Parka"/>
    <s v="Noor Haddad"/>
    <n v="6"/>
    <n v="241.52"/>
    <n v="0"/>
    <n v="1449.12"/>
    <n v="1449.1200000000001"/>
  </r>
  <r>
    <s v="K7-10382"/>
    <d v="2026-05-26T00:00:00"/>
    <s v="Alabama"/>
    <s v="South"/>
    <s v="Marketplace"/>
    <s v="Returning"/>
    <s v="Outerwear"/>
    <s v="Wool Overcoat"/>
    <s v="Noor Haddad"/>
    <n v="1"/>
    <n v="282.20999999999998"/>
    <n v="0.05"/>
    <n v="268.10000000000002"/>
    <n v="282.20999999999998"/>
  </r>
  <r>
    <s v="K7-10383"/>
    <d v="2026-11-29T00:00:00"/>
    <s v="Pennsylvania"/>
    <s v="Northeast"/>
    <s v="Wholesale"/>
    <s v="New"/>
    <s v="Outerwear"/>
    <s v="Quilted Jacket"/>
    <s v="Grace Okafor"/>
    <n v="6"/>
    <n v="165.2"/>
    <n v="0"/>
    <n v="991.2"/>
    <n v="991.19999999999993"/>
  </r>
  <r>
    <s v="K7-10384"/>
    <d v="2026-06-06T00:00:00"/>
    <s v="Wisconsin"/>
    <s v="Midwest"/>
    <s v="Retail Store"/>
    <s v="Returning"/>
    <s v="Footwear"/>
    <s v="Suede Loafer"/>
    <s v="Elena Vargas"/>
    <n v="3"/>
    <n v="152.09"/>
    <n v="0.05"/>
    <n v="433.46"/>
    <n v="456.27"/>
  </r>
  <r>
    <s v="K7-10385"/>
    <d v="2026-11-06T00:00:00"/>
    <s v="Washington"/>
    <s v="West"/>
    <s v="Retail Store"/>
    <s v="Returning"/>
    <s v="Outerwear"/>
    <s v="Denim Trucker"/>
    <s v="Dylan Foster"/>
    <n v="2"/>
    <n v="127.73"/>
    <n v="0.15"/>
    <n v="217.14"/>
    <n v="255.46"/>
  </r>
  <r>
    <s v="K7-10386"/>
    <d v="2026-05-23T00:00:00"/>
    <s v="Ohio"/>
    <s v="Midwest"/>
    <s v="Retail Store"/>
    <s v="New"/>
    <s v="Tops"/>
    <s v="Striped Polo"/>
    <s v="Ava Brooks"/>
    <n v="2"/>
    <n v="55.9"/>
    <n v="0"/>
    <n v="111.8"/>
    <n v="111.8"/>
  </r>
  <r>
    <s v="K7-10387"/>
    <d v="2026-05-09T00:00:00"/>
    <s v="Wisconsin"/>
    <s v="Midwest"/>
    <s v="Online"/>
    <s v="New"/>
    <s v="Dresses"/>
    <s v="Linen Shirt Dress"/>
    <s v="Ava Brooks"/>
    <n v="2"/>
    <n v="139.76"/>
    <n v="0.1"/>
    <n v="251.57"/>
    <n v="279.52"/>
  </r>
  <r>
    <s v="K7-10388"/>
    <d v="2026-09-28T00:00:00"/>
    <s v="Texas"/>
    <s v="South"/>
    <s v="Marketplace"/>
    <s v="New"/>
    <s v="Tops"/>
    <s v="Striped Polo"/>
    <s v="Jonah Wright"/>
    <n v="3"/>
    <n v="51.1"/>
    <n v="0.15"/>
    <n v="130.31"/>
    <n v="153.30000000000001"/>
  </r>
  <r>
    <s v="K7-10389"/>
    <d v="2026-09-23T00:00:00"/>
    <s v="Tennessee"/>
    <s v="South"/>
    <s v="Retail Store"/>
    <s v="Returning"/>
    <s v="Tops"/>
    <s v="Striped Polo"/>
    <s v="Dylan Foster"/>
    <n v="1"/>
    <n v="51.21"/>
    <n v="0.05"/>
    <n v="48.65"/>
    <n v="51.21"/>
  </r>
  <r>
    <s v="K7-10390"/>
    <d v="2026-12-23T00:00:00"/>
    <s v="Illinois"/>
    <s v="Midwest"/>
    <s v="Retail Store"/>
    <s v="Returning"/>
    <s v="Outerwear"/>
    <s v="Quilted Jacket"/>
    <s v="Jonah Wright"/>
    <n v="3"/>
    <n v="167.97"/>
    <n v="0"/>
    <n v="503.91"/>
    <n v="503.90999999999997"/>
  </r>
  <r>
    <s v="K7-10391"/>
    <d v="2026-05-30T00:00:00"/>
    <s v="Massachusetts"/>
    <s v="Northeast"/>
    <s v="Retail Store"/>
    <s v="Returning"/>
    <s v="Outerwear"/>
    <s v="Denim Trucker"/>
    <s v="Elena Vargas"/>
    <n v="4"/>
    <n v="131.80000000000001"/>
    <n v="0.15"/>
    <n v="448.12"/>
    <n v="527.20000000000005"/>
  </r>
  <r>
    <s v="K7-10392"/>
    <d v="2026-06-15T00:00:00"/>
    <s v="California"/>
    <s v="West"/>
    <s v="Retail Store"/>
    <s v="New"/>
    <s v="Footwear"/>
    <s v="Canvas Sneaker"/>
    <s v="Noor Haddad"/>
    <n v="1"/>
    <n v="85.19"/>
    <n v="0.2"/>
    <n v="68.150000000000006"/>
    <n v="85.19"/>
  </r>
  <r>
    <s v="K7-10393"/>
    <d v="2026-02-02T00:00:00"/>
    <s v="Pennsylvania"/>
    <s v="Northeast"/>
    <s v="Online"/>
    <s v="Returning"/>
    <s v="Outerwear"/>
    <s v="Wool Overcoat"/>
    <s v="Dylan Foster"/>
    <n v="1"/>
    <n v="316.18"/>
    <n v="0"/>
    <n v="316.18"/>
    <n v="316.18"/>
  </r>
  <r>
    <s v="K7-10394"/>
    <d v="2026-03-02T00:00:00"/>
    <s v="California"/>
    <s v="West"/>
    <s v="Retail Store"/>
    <s v="New"/>
    <s v="Tops"/>
    <s v="Striped Polo"/>
    <s v="Marcus Reed"/>
    <n v="2"/>
    <n v="52.53"/>
    <n v="0"/>
    <n v="105.06"/>
    <n v="105.06"/>
  </r>
  <r>
    <s v="K7-10395"/>
    <d v="2026-08-06T00:00:00"/>
    <s v="Arizona"/>
    <s v="West"/>
    <s v="Online"/>
    <s v="Returning"/>
    <s v="Footwear"/>
    <s v="Leather Boot"/>
    <s v="Ava Brooks"/>
    <n v="2"/>
    <n v="212.2"/>
    <n v="0.05"/>
    <n v="403.18"/>
    <n v="424.4"/>
  </r>
  <r>
    <s v="K7-10396"/>
    <d v="2026-10-31T00:00:00"/>
    <s v="New Jersey"/>
    <s v="Northeast"/>
    <s v="Wholesale"/>
    <s v="Returning"/>
    <s v="Tops"/>
    <s v="Classic Tee"/>
    <s v="Elena Vargas"/>
    <n v="3"/>
    <n v="33.97"/>
    <n v="0"/>
    <n v="101.91"/>
    <n v="101.91"/>
  </r>
  <r>
    <s v="K7-10397"/>
    <d v="2026-04-19T00:00:00"/>
    <s v="Colorado"/>
    <s v="West"/>
    <s v="Marketplace"/>
    <s v="New"/>
    <s v="Tops"/>
    <s v="Henley Long Sleeve"/>
    <s v="Priya Nair"/>
    <n v="6"/>
    <n v="47.43"/>
    <n v="0.05"/>
    <n v="270.35000000000002"/>
    <n v="284.58"/>
  </r>
  <r>
    <s v="K7-10398"/>
    <d v="2026-07-17T00:00:00"/>
    <s v="Washington"/>
    <s v="West"/>
    <s v="Online"/>
    <s v="Returning"/>
    <s v="Outerwear"/>
    <s v="Hooded Parka"/>
    <s v="Marcus Reed"/>
    <n v="1"/>
    <n v="245.79"/>
    <n v="0"/>
    <n v="245.79"/>
    <n v="245.79"/>
  </r>
  <r>
    <s v="K7-10399"/>
    <d v="2026-10-24T00:00:00"/>
    <s v="Pennsylvania"/>
    <s v="Northeast"/>
    <s v="Retail Store"/>
    <s v="New"/>
    <s v="Bottoms"/>
    <s v="Tailored Short"/>
    <s v="Priya Nair"/>
    <n v="3"/>
    <n v="58.18"/>
    <n v="0"/>
    <n v="174.54"/>
    <n v="174.54"/>
  </r>
  <r>
    <s v="K7-10400"/>
    <d v="2026-08-17T00:00:00"/>
    <s v="Maryland"/>
    <s v="South"/>
    <s v="Online"/>
    <s v="Returning"/>
    <s v="Footwear"/>
    <s v="Canvas Sneaker"/>
    <s v="Noor Haddad"/>
    <n v="2"/>
    <n v="95.48"/>
    <n v="0.1"/>
    <n v="171.86"/>
    <n v="190.96"/>
  </r>
  <r>
    <s v="K7-10401"/>
    <d v="2026-08-13T00:00:00"/>
    <s v="Colorado"/>
    <s v="West"/>
    <s v="Wholesale"/>
    <s v="Returning"/>
    <s v="Footwear"/>
    <s v="Canvas Sneaker"/>
    <s v="Marcus Reed"/>
    <n v="2"/>
    <n v="82.85"/>
    <n v="0"/>
    <n v="165.7"/>
    <n v="165.7"/>
  </r>
  <r>
    <s v="K7-10402"/>
    <d v="2026-12-08T00:00:00"/>
    <s v="Minnesota"/>
    <s v="Midwest"/>
    <s v="Marketplace"/>
    <s v="New"/>
    <s v="Footwear"/>
    <s v="Suede Loafer"/>
    <s v="Marcus Reed"/>
    <n v="7"/>
    <n v="162.18"/>
    <n v="0"/>
    <n v="1135.26"/>
    <n v="1135.26"/>
  </r>
  <r>
    <s v="K7-10403"/>
    <d v="2026-06-18T00:00:00"/>
    <s v="North Carolina"/>
    <s v="South"/>
    <s v="Retail Store"/>
    <s v="Returning"/>
    <s v="Accessories"/>
    <s v="Canvas Tote"/>
    <s v="Jonah Wright"/>
    <n v="1"/>
    <n v="35.49"/>
    <n v="0.15"/>
    <n v="30.17"/>
    <n v="35.49"/>
  </r>
  <r>
    <s v="K7-10404"/>
    <d v="2026-05-24T00:00:00"/>
    <s v="Tennessee"/>
    <s v="South"/>
    <s v="Retail Store"/>
    <s v="Returning"/>
    <s v="Footwear"/>
    <s v="Leather Boot"/>
    <s v="Dylan Foster"/>
    <n v="1"/>
    <n v="203.33"/>
    <n v="0.05"/>
    <n v="193.16"/>
    <n v="203.33"/>
  </r>
  <r>
    <s v="K7-10405"/>
    <d v="2026-09-06T00:00:00"/>
    <s v="Illinois"/>
    <s v="Midwest"/>
    <s v="Retail Store"/>
    <s v="Returning"/>
    <s v="Dresses"/>
    <s v="Midi Slip Dress"/>
    <s v="Ava Brooks"/>
    <n v="3"/>
    <n v="95.73"/>
    <n v="0.05"/>
    <n v="272.83"/>
    <n v="287.19"/>
  </r>
  <r>
    <s v="K7-10406"/>
    <d v="2026-04-07T00:00:00"/>
    <s v="South Carolina"/>
    <s v="South"/>
    <s v="Online"/>
    <s v="Returning"/>
    <s v="Footwear"/>
    <s v="Canvas Sneaker"/>
    <s v="Noor Haddad"/>
    <n v="4"/>
    <n v="86.96"/>
    <n v="0"/>
    <n v="347.84"/>
    <n v="347.84"/>
  </r>
  <r>
    <s v="K7-10407"/>
    <d v="2026-05-27T00:00:00"/>
    <s v="Texas"/>
    <s v="South"/>
    <s v="Online"/>
    <s v="New"/>
    <s v="Outerwear"/>
    <s v="Denim Trucker"/>
    <s v="Ava Brooks"/>
    <n v="3"/>
    <n v="126.1"/>
    <n v="0"/>
    <n v="378.3"/>
    <n v="378.29999999999995"/>
  </r>
  <r>
    <s v="K7-10408"/>
    <d v="2026-05-12T00:00:00"/>
    <s v="New York"/>
    <s v="Northeast"/>
    <s v="Wholesale"/>
    <s v="Returning"/>
    <s v="Tops"/>
    <s v="Oxford Shirt"/>
    <s v="Priya Nair"/>
    <n v="2"/>
    <n v="67.77"/>
    <n v="0"/>
    <n v="135.54"/>
    <n v="135.54"/>
  </r>
  <r>
    <s v="K7-10409"/>
    <d v="2026-10-28T00:00:00"/>
    <s v="New Jersey"/>
    <s v="Northeast"/>
    <s v="Online"/>
    <s v="Returning"/>
    <s v="Outerwear"/>
    <s v="Quilted Jacket"/>
    <s v="Dylan Foster"/>
    <n v="6"/>
    <n v="171.06"/>
    <n v="0"/>
    <n v="1026.3599999999999"/>
    <n v="1026.3600000000001"/>
  </r>
  <r>
    <s v="K7-10410"/>
    <d v="2026-05-06T00:00:00"/>
    <s v="Oregon"/>
    <s v="West"/>
    <s v="Online"/>
    <s v="New"/>
    <s v="Dresses"/>
    <s v="Midi Slip Dress"/>
    <s v="Grace Okafor"/>
    <n v="1"/>
    <n v="90.46"/>
    <n v="0"/>
    <n v="90.46"/>
    <n v="90.46"/>
  </r>
  <r>
    <s v="K7-10411"/>
    <d v="2026-08-22T00:00:00"/>
    <s v="Georgia"/>
    <s v="South"/>
    <s v="Online"/>
    <s v="New"/>
    <s v="Accessories"/>
    <s v="Silk Scarf"/>
    <s v="Elena Vargas"/>
    <n v="2"/>
    <n v="57.51"/>
    <n v="0.1"/>
    <n v="103.52"/>
    <n v="115.02"/>
  </r>
  <r>
    <s v="K7-10412"/>
    <d v="2026-08-21T00:00:00"/>
    <s v="Texas"/>
    <s v="South"/>
    <s v="Marketplace"/>
    <s v="New"/>
    <s v="Bottoms"/>
    <s v="Slim Chino"/>
    <s v="Grace Okafor"/>
    <n v="5"/>
    <n v="78.489999999999995"/>
    <n v="0.15"/>
    <n v="333.58"/>
    <n v="392.45"/>
  </r>
  <r>
    <s v="K7-10413"/>
    <d v="2026-09-27T00:00:00"/>
    <s v="Illinois"/>
    <s v="Midwest"/>
    <s v="Marketplace"/>
    <s v="Returning"/>
    <s v="Bottoms"/>
    <s v="Slim Chino"/>
    <s v="Priya Nair"/>
    <n v="2"/>
    <n v="70.67"/>
    <n v="0"/>
    <n v="141.34"/>
    <n v="141.34"/>
  </r>
  <r>
    <s v="K7-10414"/>
    <d v="2026-10-20T00:00:00"/>
    <s v="California"/>
    <s v="West"/>
    <s v="Marketplace"/>
    <s v="New"/>
    <s v="Bottoms"/>
    <s v="Straight Jeans"/>
    <s v="Noor Haddad"/>
    <n v="1"/>
    <n v="93.3"/>
    <n v="0.1"/>
    <n v="83.97"/>
    <n v="93.3"/>
  </r>
  <r>
    <s v="K7-10415"/>
    <d v="2026-05-29T00:00:00"/>
    <s v="Missouri"/>
    <s v="Midwest"/>
    <s v="Marketplace"/>
    <s v="Returning"/>
    <s v="Tops"/>
    <s v="Classic Tee"/>
    <s v="Noor Haddad"/>
    <n v="1"/>
    <n v="34.21"/>
    <n v="0"/>
    <n v="34.21"/>
    <n v="34.21"/>
  </r>
  <r>
    <s v="K7-10416"/>
    <d v="2026-10-18T00:00:00"/>
    <s v="Louisiana"/>
    <s v="South"/>
    <s v="Online"/>
    <s v="New"/>
    <s v="Dresses"/>
    <s v="Linen Shirt Dress"/>
    <s v="Jonah Wright"/>
    <n v="4"/>
    <n v="142.81"/>
    <n v="0"/>
    <n v="571.24"/>
    <n v="571.24"/>
  </r>
  <r>
    <s v="K7-10417"/>
    <d v="2026-07-27T00:00:00"/>
    <s v="New York"/>
    <s v="Northeast"/>
    <s v="Retail Store"/>
    <s v="Returning"/>
    <s v="Bottoms"/>
    <s v="Tailored Short"/>
    <s v="Dylan Foster"/>
    <n v="1"/>
    <n v="56.09"/>
    <n v="0.2"/>
    <n v="44.87"/>
    <n v="56.09"/>
  </r>
  <r>
    <s v="K7-10418"/>
    <d v="2026-08-10T00:00:00"/>
    <s v="Georgia"/>
    <s v="South"/>
    <s v="Retail Store"/>
    <s v="New"/>
    <s v="Bottoms"/>
    <s v="Slim Chino"/>
    <s v="Priya Nair"/>
    <n v="14"/>
    <n v="80.92"/>
    <n v="0"/>
    <n v="1132.8800000000001"/>
    <n v="1132.8800000000001"/>
  </r>
  <r>
    <s v="K7-10419"/>
    <d v="2026-03-20T00:00:00"/>
    <s v="California"/>
    <s v="West"/>
    <s v="Retail Store"/>
    <s v="New"/>
    <s v="Tops"/>
    <s v="Oxford Shirt"/>
    <s v="Noor Haddad"/>
    <n v="4"/>
    <n v="71.87"/>
    <n v="0"/>
    <n v="287.48"/>
    <n v="287.48"/>
  </r>
  <r>
    <s v="K7-10420"/>
    <d v="2026-04-09T00:00:00"/>
    <s v="Texas"/>
    <s v="South"/>
    <s v="Online"/>
    <s v="Returning"/>
    <s v="Footwear"/>
    <s v="Leather Boot"/>
    <s v="Elena Vargas"/>
    <n v="2"/>
    <n v="232.09"/>
    <n v="0"/>
    <n v="464.18"/>
    <n v="464.18"/>
  </r>
  <r>
    <s v="K7-10421"/>
    <d v="2026-02-03T00:00:00"/>
    <s v="Florida"/>
    <s v="South"/>
    <s v="Marketplace"/>
    <s v="Returning"/>
    <s v="Dresses"/>
    <s v="Midi Slip Dress"/>
    <s v="Ava Brooks"/>
    <n v="2"/>
    <n v="103.55"/>
    <n v="0.2"/>
    <n v="165.68"/>
    <n v="207.1"/>
  </r>
  <r>
    <s v="K7-10422"/>
    <d v="2026-08-30T00:00:00"/>
    <s v="Maryland"/>
    <s v="South"/>
    <s v="Retail Store"/>
    <s v="Returning"/>
    <s v="Footwear"/>
    <s v="Suede Loafer"/>
    <s v="Dylan Foster"/>
    <n v="3"/>
    <n v="155.05000000000001"/>
    <n v="0"/>
    <n v="465.15"/>
    <n v="465.15000000000003"/>
  </r>
  <r>
    <s v="K7-10423"/>
    <d v="2026-03-31T00:00:00"/>
    <s v="Oregon"/>
    <s v="West"/>
    <s v="Online"/>
    <s v="Returning"/>
    <s v="Dresses"/>
    <s v="Linen Shirt Dress"/>
    <s v="Dylan Foster"/>
    <n v="1"/>
    <n v="135.55000000000001"/>
    <n v="0.15"/>
    <n v="115.22"/>
    <n v="135.55000000000001"/>
  </r>
  <r>
    <s v="K7-10424"/>
    <d v="2026-09-10T00:00:00"/>
    <s v="Maryland"/>
    <s v="South"/>
    <s v="Marketplace"/>
    <s v="New"/>
    <s v="Footwear"/>
    <s v="Suede Loafer"/>
    <s v="Dylan Foster"/>
    <n v="1"/>
    <n v="170.13"/>
    <n v="0.05"/>
    <n v="161.62"/>
    <n v="170.13"/>
  </r>
  <r>
    <s v="K7-10425"/>
    <d v="2026-12-21T00:00:00"/>
    <s v="Texas"/>
    <s v="South"/>
    <s v="Online"/>
    <s v="Returning"/>
    <s v="Footwear"/>
    <s v="Canvas Sneaker"/>
    <s v="Ava Brooks"/>
    <n v="1"/>
    <n v="83.6"/>
    <n v="0.1"/>
    <n v="75.239999999999995"/>
    <n v="83.6"/>
  </r>
  <r>
    <s v="K7-10426"/>
    <d v="2026-10-21T00:00:00"/>
    <s v="New York"/>
    <s v="Northeast"/>
    <s v="Online"/>
    <s v="New"/>
    <s v="Outerwear"/>
    <s v="Denim Trucker"/>
    <s v="Noor Haddad"/>
    <n v="3"/>
    <n v="120.28"/>
    <n v="0"/>
    <n v="360.84"/>
    <n v="360.84000000000003"/>
  </r>
  <r>
    <s v="K7-10427"/>
    <d v="2026-08-30T00:00:00"/>
    <s v="Arizona"/>
    <s v="West"/>
    <s v="Online"/>
    <s v="Returning"/>
    <s v="Outerwear"/>
    <s v="Quilted Jacket"/>
    <s v="Elena Vargas"/>
    <n v="1"/>
    <n v="155.41999999999999"/>
    <n v="0"/>
    <n v="155.41999999999999"/>
    <n v="155.41999999999999"/>
  </r>
  <r>
    <s v="K7-10428"/>
    <d v="2026-07-12T00:00:00"/>
    <s v="Massachusetts"/>
    <s v="Northeast"/>
    <s v="Retail Store"/>
    <s v="Returning"/>
    <s v="Tops"/>
    <s v="Oxford Shirt"/>
    <s v="Noor Haddad"/>
    <n v="1"/>
    <n v="67.94"/>
    <n v="0"/>
    <n v="67.94"/>
    <n v="67.94"/>
  </r>
  <r>
    <s v="K7-10429"/>
    <d v="2026-12-13T00:00:00"/>
    <s v="Florida"/>
    <s v="South"/>
    <s v="Online"/>
    <s v="Returning"/>
    <s v="Bottoms"/>
    <s v="Cargo Pant"/>
    <s v="Ava Brooks"/>
    <n v="2"/>
    <n v="86.45"/>
    <n v="0"/>
    <n v="172.9"/>
    <n v="172.9"/>
  </r>
  <r>
    <s v="K7-10430"/>
    <d v="2026-03-08T00:00:00"/>
    <s v="Texas"/>
    <s v="South"/>
    <s v="Retail Store"/>
    <s v="Returning"/>
    <s v="Footwear"/>
    <s v="Leather Boot"/>
    <s v="Elena Vargas"/>
    <n v="10"/>
    <n v="215.2"/>
    <n v="0"/>
    <n v="2152"/>
    <n v="2152"/>
  </r>
  <r>
    <s v="K7-10431"/>
    <d v="2026-01-29T00:00:00"/>
    <s v="Illinois"/>
    <s v="Midwest"/>
    <s v="Online"/>
    <s v="New"/>
    <s v="Tops"/>
    <s v="Henley Long Sleeve"/>
    <s v="Noor Haddad"/>
    <n v="4"/>
    <n v="46.39"/>
    <n v="0"/>
    <n v="185.56"/>
    <n v="185.56"/>
  </r>
  <r>
    <s v="K7-10432"/>
    <d v="2026-04-09T00:00:00"/>
    <s v="Texas"/>
    <s v="South"/>
    <s v="Online"/>
    <s v="Returning"/>
    <s v="Dresses"/>
    <s v="Wrap Dress"/>
    <s v="Marcus Reed"/>
    <n v="6"/>
    <n v="113.13"/>
    <n v="0"/>
    <n v="678.78"/>
    <n v="678.78"/>
  </r>
  <r>
    <s v="K7-10433"/>
    <d v="2026-04-11T00:00:00"/>
    <s v="New York"/>
    <s v="Northeast"/>
    <s v="Online"/>
    <s v="New"/>
    <s v="Tops"/>
    <s v="Classic Tee"/>
    <s v="Ava Brooks"/>
    <n v="3"/>
    <n v="30.54"/>
    <n v="0.15"/>
    <n v="77.88"/>
    <n v="91.62"/>
  </r>
  <r>
    <s v="K7-10434"/>
    <d v="2026-12-04T00:00:00"/>
    <s v="New York"/>
    <s v="Northeast"/>
    <s v="Retail Store"/>
    <s v="Returning"/>
    <s v="Accessories"/>
    <s v="Knit Beanie"/>
    <s v="Noor Haddad"/>
    <n v="2"/>
    <n v="26.15"/>
    <n v="0"/>
    <n v="52.3"/>
    <n v="52.3"/>
  </r>
  <r>
    <s v="K7-10435"/>
    <d v="2026-07-27T00:00:00"/>
    <s v="Texas"/>
    <s v="South"/>
    <s v="Marketplace"/>
    <s v="Returning"/>
    <s v="Tops"/>
    <s v="Henley Long Sleeve"/>
    <s v="Elena Vargas"/>
    <n v="7"/>
    <n v="48.92"/>
    <n v="0"/>
    <n v="342.44"/>
    <n v="342.44"/>
  </r>
  <r>
    <s v="K7-10436"/>
    <d v="2026-07-19T00:00:00"/>
    <s v="Texas"/>
    <s v="South"/>
    <s v="Online"/>
    <s v="Returning"/>
    <s v="Dresses"/>
    <s v="Linen Shirt Dress"/>
    <s v="Ava Brooks"/>
    <n v="1"/>
    <n v="139.21"/>
    <n v="0.05"/>
    <n v="132.25"/>
    <n v="139.21"/>
  </r>
  <r>
    <s v="K7-10437"/>
    <d v="2026-10-24T00:00:00"/>
    <s v="North Carolina"/>
    <s v="South"/>
    <s v="Online"/>
    <s v="Returning"/>
    <s v="Footwear"/>
    <s v="Canvas Sneaker"/>
    <s v="Ava Brooks"/>
    <n v="2"/>
    <n v="82.68"/>
    <n v="0"/>
    <n v="165.36"/>
    <n v="165.36"/>
  </r>
  <r>
    <s v="K7-10438"/>
    <d v="2026-06-05T00:00:00"/>
    <s v="Indiana"/>
    <s v="Midwest"/>
    <s v="Online"/>
    <s v="New"/>
    <s v="Outerwear"/>
    <s v="Denim Trucker"/>
    <s v="Elena Vargas"/>
    <n v="1"/>
    <n v="122.97"/>
    <n v="0.15"/>
    <n v="104.52"/>
    <n v="122.97"/>
  </r>
  <r>
    <s v="K7-10439"/>
    <d v="2026-06-22T00:00:00"/>
    <s v="New York"/>
    <s v="Northeast"/>
    <s v="Retail Store"/>
    <s v="New"/>
    <s v="Outerwear"/>
    <s v="Denim Trucker"/>
    <s v="Elena Vargas"/>
    <n v="3"/>
    <n v="123.35"/>
    <n v="0"/>
    <n v="370.05"/>
    <n v="370.04999999999995"/>
  </r>
  <r>
    <s v="K7-10440"/>
    <d v="2026-07-03T00:00:00"/>
    <s v="California"/>
    <s v="West"/>
    <s v="Retail Store"/>
    <s v="Returning"/>
    <s v="Outerwear"/>
    <s v="Quilted Jacket"/>
    <s v="Elena Vargas"/>
    <n v="1"/>
    <n v="165.12"/>
    <n v="0"/>
    <n v="165.12"/>
    <n v="165.12"/>
  </r>
  <r>
    <s v="K7-10441"/>
    <d v="2026-03-04T00:00:00"/>
    <s v="Michigan"/>
    <s v="Midwest"/>
    <s v="Online"/>
    <s v="Returning"/>
    <s v="Outerwear"/>
    <s v="Wool Overcoat"/>
    <s v="Ava Brooks"/>
    <n v="5"/>
    <n v="281.23"/>
    <n v="0"/>
    <n v="1406.15"/>
    <n v="1406.15"/>
  </r>
  <r>
    <s v="K7-10442"/>
    <d v="2026-03-21T00:00:00"/>
    <s v="Virginia"/>
    <s v="South"/>
    <s v="Wholesale"/>
    <s v="Returning"/>
    <s v="Footwear"/>
    <s v="Canvas Sneaker"/>
    <s v="Ava Brooks"/>
    <n v="8"/>
    <n v="83.3"/>
    <n v="0"/>
    <n v="666.4"/>
    <n v="666.4"/>
  </r>
  <r>
    <s v="K7-10443"/>
    <d v="2026-12-13T00:00:00"/>
    <s v="California"/>
    <s v="West"/>
    <s v="Wholesale"/>
    <s v="New"/>
    <s v="Bottoms"/>
    <s v="Straight Jeans"/>
    <s v="Ava Brooks"/>
    <n v="7"/>
    <n v="97.08"/>
    <n v="0"/>
    <n v="679.56"/>
    <n v="679.56"/>
  </r>
  <r>
    <s v="K7-10444"/>
    <d v="2026-11-07T00:00:00"/>
    <s v="North Carolina"/>
    <s v="South"/>
    <s v="Online"/>
    <s v="Returning"/>
    <s v="Dresses"/>
    <s v="Linen Shirt Dress"/>
    <s v="Dylan Foster"/>
    <n v="1"/>
    <n v="127.54"/>
    <n v="0"/>
    <n v="127.54"/>
    <n v="127.54"/>
  </r>
  <r>
    <s v="K7-10445"/>
    <d v="2026-07-09T00:00:00"/>
    <s v="Missouri"/>
    <s v="Midwest"/>
    <s v="Marketplace"/>
    <s v="New"/>
    <s v="Bottoms"/>
    <s v="Slim Chino"/>
    <s v="Jonah Wright"/>
    <n v="4"/>
    <n v="72.67"/>
    <n v="0"/>
    <n v="290.68"/>
    <n v="290.68"/>
  </r>
  <r>
    <s v="K7-10446"/>
    <d v="2026-02-11T00:00:00"/>
    <s v="Texas"/>
    <s v="South"/>
    <s v="Wholesale"/>
    <s v="New"/>
    <s v="Tops"/>
    <s v="Classic Tee"/>
    <s v="Grace Okafor"/>
    <n v="8"/>
    <n v="29.46"/>
    <n v="0"/>
    <n v="235.68"/>
    <n v="235.68"/>
  </r>
  <r>
    <s v="K7-10447"/>
    <d v="2026-02-17T00:00:00"/>
    <s v="Michigan"/>
    <s v="Midwest"/>
    <s v="Online"/>
    <s v="Returning"/>
    <s v="Tops"/>
    <s v="Classic Tee"/>
    <s v="Ava Brooks"/>
    <n v="1"/>
    <n v="30.69"/>
    <n v="0"/>
    <n v="30.69"/>
    <n v="30.69"/>
  </r>
  <r>
    <s v="K7-10448"/>
    <d v="2026-06-20T00:00:00"/>
    <s v="Pennsylvania"/>
    <s v="Northeast"/>
    <s v="Retail Store"/>
    <s v="Returning"/>
    <s v="Outerwear"/>
    <s v="Hooded Parka"/>
    <s v="Dylan Foster"/>
    <n v="1"/>
    <n v="257.32"/>
    <n v="0"/>
    <n v="257.32"/>
    <n v="257.32"/>
  </r>
  <r>
    <s v="K7-10449"/>
    <d v="2026-07-16T00:00:00"/>
    <s v="Illinois"/>
    <s v="Midwest"/>
    <s v="Online"/>
    <s v="New"/>
    <s v="Bottoms"/>
    <s v="Cargo Pant"/>
    <s v="Priya Nair"/>
    <n v="4"/>
    <n v="80.5"/>
    <n v="0.05"/>
    <n v="305.89999999999998"/>
    <n v="322"/>
  </r>
  <r>
    <s v="K7-10450"/>
    <d v="2026-09-10T00:00:00"/>
    <s v="Michigan"/>
    <s v="Midwest"/>
    <s v="Retail Store"/>
    <s v="Returning"/>
    <s v="Bottoms"/>
    <s v="Cargo Pant"/>
    <s v="Marcus Reed"/>
    <n v="2"/>
    <n v="78.13"/>
    <n v="0"/>
    <n v="156.26"/>
    <n v="156.26"/>
  </r>
  <r>
    <s v="K7-10451"/>
    <d v="2026-07-11T00:00:00"/>
    <s v="Florida"/>
    <s v="South"/>
    <s v="Retail Store"/>
    <s v="New"/>
    <s v="Accessories"/>
    <s v="Silk Scarf"/>
    <s v="Ava Brooks"/>
    <n v="2"/>
    <n v="61.18"/>
    <n v="0"/>
    <n v="122.36"/>
    <n v="122.36"/>
  </r>
  <r>
    <s v="K7-10452"/>
    <d v="2026-06-04T00:00:00"/>
    <s v="Illinois"/>
    <s v="Midwest"/>
    <s v="Online"/>
    <s v="New"/>
    <s v="Tops"/>
    <s v="Henley Long Sleeve"/>
    <s v="Grace Okafor"/>
    <n v="1"/>
    <n v="44.75"/>
    <n v="0"/>
    <n v="44.75"/>
    <n v="44.75"/>
  </r>
  <r>
    <s v="K7-10453"/>
    <d v="2026-11-11T00:00:00"/>
    <s v="New York"/>
    <s v="Northeast"/>
    <s v="Online"/>
    <s v="New"/>
    <s v="Footwear"/>
    <s v="Suede Loafer"/>
    <s v="Jonah Wright"/>
    <n v="2"/>
    <n v="152.28"/>
    <n v="0"/>
    <n v="304.56"/>
    <n v="304.56"/>
  </r>
  <r>
    <s v="K7-10454"/>
    <d v="2026-07-10T00:00:00"/>
    <s v="Indiana"/>
    <s v="Midwest"/>
    <s v="Marketplace"/>
    <s v="Returning"/>
    <s v="Tops"/>
    <s v="Henley Long Sleeve"/>
    <s v="Marcus Reed"/>
    <n v="5"/>
    <n v="43.82"/>
    <n v="0.05"/>
    <n v="208.14"/>
    <n v="219.1"/>
  </r>
  <r>
    <s v="K7-10455"/>
    <d v="2026-02-17T00:00:00"/>
    <s v="Tennessee"/>
    <s v="South"/>
    <s v="Marketplace"/>
    <s v="New"/>
    <s v="Outerwear"/>
    <s v="Quilted Jacket"/>
    <s v="Priya Nair"/>
    <n v="6"/>
    <n v="168.57"/>
    <n v="0"/>
    <n v="1011.42"/>
    <n v="1011.42"/>
  </r>
  <r>
    <s v="K7-10456"/>
    <d v="2026-04-03T00:00:00"/>
    <s v="Alabama"/>
    <s v="South"/>
    <s v="Online"/>
    <s v="Returning"/>
    <s v="Footwear"/>
    <s v="Canvas Sneaker"/>
    <s v="Ava Brooks"/>
    <n v="6"/>
    <n v="91.11"/>
    <n v="0.15"/>
    <n v="464.66"/>
    <n v="546.66"/>
  </r>
  <r>
    <s v="K7-10457"/>
    <d v="2026-10-09T00:00:00"/>
    <s v="Florida"/>
    <s v="South"/>
    <s v="Marketplace"/>
    <s v="Returning"/>
    <s v="Footwear"/>
    <s v="Canvas Sneaker"/>
    <s v="Jonah Wright"/>
    <n v="1"/>
    <n v="89.91"/>
    <n v="0"/>
    <n v="89.91"/>
    <n v="89.91"/>
  </r>
  <r>
    <s v="K7-10458"/>
    <d v="2026-06-06T00:00:00"/>
    <s v="Georgia"/>
    <s v="South"/>
    <s v="Marketplace"/>
    <s v="New"/>
    <s v="Tops"/>
    <s v="Henley Long Sleeve"/>
    <s v="Marcus Reed"/>
    <n v="1"/>
    <n v="43.85"/>
    <n v="0.15"/>
    <n v="37.270000000000003"/>
    <n v="43.85"/>
  </r>
  <r>
    <s v="K7-10459"/>
    <d v="2026-12-18T00:00:00"/>
    <s v="Arizona"/>
    <s v="West"/>
    <s v="Wholesale"/>
    <s v="New"/>
    <s v="Footwear"/>
    <s v="Leather Boot"/>
    <s v="Grace Okafor"/>
    <n v="1"/>
    <n v="203.08"/>
    <n v="0"/>
    <n v="203.08"/>
    <n v="203.08"/>
  </r>
  <r>
    <s v="K7-10460"/>
    <d v="2026-01-16T00:00:00"/>
    <s v="Washington"/>
    <s v="West"/>
    <s v="Retail Store"/>
    <s v="Returning"/>
    <s v="Accessories"/>
    <s v="Knit Beanie"/>
    <s v="Priya Nair"/>
    <n v="1"/>
    <n v="27.23"/>
    <n v="0"/>
    <n v="27.23"/>
    <n v="27.23"/>
  </r>
  <r>
    <s v="K7-10461"/>
    <d v="2026-06-28T00:00:00"/>
    <s v="California"/>
    <s v="West"/>
    <s v="Online"/>
    <s v="Returning"/>
    <s v="Footwear"/>
    <s v="Suede Loafer"/>
    <s v="Marcus Reed"/>
    <n v="9"/>
    <n v="161.08000000000001"/>
    <n v="0.15"/>
    <n v="1232.26"/>
    <n v="1449.72"/>
  </r>
  <r>
    <s v="K7-10462"/>
    <d v="2026-07-04T00:00:00"/>
    <s v="North Carolina"/>
    <s v="South"/>
    <s v="Retail Store"/>
    <s v="Returning"/>
    <s v="Dresses"/>
    <s v="Wrap Dress"/>
    <s v="Grace Okafor"/>
    <n v="4"/>
    <n v="114.07"/>
    <n v="0"/>
    <n v="456.28"/>
    <n v="456.28"/>
  </r>
  <r>
    <s v="K7-10463"/>
    <d v="2026-10-10T00:00:00"/>
    <s v="New Jersey"/>
    <s v="Northeast"/>
    <s v="Online"/>
    <s v="Returning"/>
    <s v="Outerwear"/>
    <s v="Quilted Jacket"/>
    <s v="Elena Vargas"/>
    <n v="1"/>
    <n v="160.56"/>
    <n v="0"/>
    <n v="160.56"/>
    <n v="160.56"/>
  </r>
  <r>
    <s v="K7-10464"/>
    <d v="2026-06-14T00:00:00"/>
    <s v="California"/>
    <s v="West"/>
    <s v="Retail Store"/>
    <s v="Returning"/>
    <s v="Footwear"/>
    <s v="Suede Loafer"/>
    <s v="Dylan Foster"/>
    <n v="7"/>
    <n v="146.33000000000001"/>
    <n v="0.1"/>
    <n v="921.88"/>
    <n v="1024.3100000000002"/>
  </r>
  <r>
    <s v="K7-10465"/>
    <d v="2026-01-24T00:00:00"/>
    <s v="Nevada"/>
    <s v="West"/>
    <s v="Marketplace"/>
    <s v="Returning"/>
    <s v="Tops"/>
    <s v="Striped Polo"/>
    <s v="Dylan Foster"/>
    <n v="6"/>
    <n v="56.93"/>
    <n v="0.2"/>
    <n v="273.26"/>
    <n v="341.58"/>
  </r>
  <r>
    <s v="K7-10466"/>
    <d v="2026-06-09T00:00:00"/>
    <s v="California"/>
    <s v="West"/>
    <s v="Online"/>
    <s v="Returning"/>
    <s v="Footwear"/>
    <s v="Leather Boot"/>
    <s v="Marcus Reed"/>
    <n v="3"/>
    <n v="207.37"/>
    <n v="0.2"/>
    <n v="497.69"/>
    <n v="622.11"/>
  </r>
  <r>
    <s v="K7-10467"/>
    <d v="2026-08-29T00:00:00"/>
    <s v="North Carolina"/>
    <s v="South"/>
    <s v="Online"/>
    <s v="Returning"/>
    <s v="Bottoms"/>
    <s v="Tailored Short"/>
    <s v="Marcus Reed"/>
    <n v="2"/>
    <n v="54.35"/>
    <n v="0"/>
    <n v="108.7"/>
    <n v="108.7"/>
  </r>
  <r>
    <s v="K7-10468"/>
    <d v="2026-07-09T00:00:00"/>
    <s v="Florida"/>
    <s v="South"/>
    <s v="Retail Store"/>
    <s v="Returning"/>
    <s v="Footwear"/>
    <s v="Suede Loafer"/>
    <s v="Jonah Wright"/>
    <n v="2"/>
    <n v="152.06"/>
    <n v="0.2"/>
    <n v="243.3"/>
    <n v="304.12"/>
  </r>
  <r>
    <s v="K7-10469"/>
    <d v="2026-12-02T00:00:00"/>
    <s v="California"/>
    <s v="West"/>
    <s v="Retail Store"/>
    <s v="Returning"/>
    <s v="Footwear"/>
    <s v="Leather Boot"/>
    <s v="Jonah Wright"/>
    <n v="2"/>
    <n v="207.63"/>
    <n v="0.2"/>
    <n v="332.21"/>
    <n v="415.26"/>
  </r>
  <r>
    <s v="K7-10470"/>
    <d v="2026-05-06T00:00:00"/>
    <s v="Florida"/>
    <s v="South"/>
    <s v="Online"/>
    <s v="Returning"/>
    <s v="Bottoms"/>
    <s v="Straight Jeans"/>
    <s v="Dylan Foster"/>
    <n v="1"/>
    <n v="95.45"/>
    <n v="0"/>
    <n v="95.45"/>
    <n v="95.45"/>
  </r>
  <r>
    <s v="K7-10471"/>
    <d v="2026-10-19T00:00:00"/>
    <s v="Texas"/>
    <s v="South"/>
    <s v="Online"/>
    <s v="Returning"/>
    <s v="Bottoms"/>
    <s v="Slim Chino"/>
    <s v="Noor Haddad"/>
    <n v="6"/>
    <n v="81.56"/>
    <n v="0.2"/>
    <n v="391.49"/>
    <n v="489.36"/>
  </r>
  <r>
    <s v="K7-10472"/>
    <d v="2026-08-15T00:00:00"/>
    <s v="Colorado"/>
    <s v="West"/>
    <s v="Online"/>
    <s v="New"/>
    <s v="Bottoms"/>
    <s v="Slim Chino"/>
    <s v="Jonah Wright"/>
    <n v="2"/>
    <n v="81.599999999999994"/>
    <n v="0"/>
    <n v="163.19999999999999"/>
    <n v="163.19999999999999"/>
  </r>
  <r>
    <s v="K7-10473"/>
    <d v="2026-06-19T00:00:00"/>
    <s v="Wisconsin"/>
    <s v="Midwest"/>
    <s v="Wholesale"/>
    <s v="Returning"/>
    <s v="Tops"/>
    <s v="Oxford Shirt"/>
    <s v="Priya Nair"/>
    <n v="7"/>
    <n v="66.44"/>
    <n v="0"/>
    <n v="465.08"/>
    <n v="465.08"/>
  </r>
  <r>
    <s v="K7-10474"/>
    <d v="2026-06-09T00:00:00"/>
    <s v="Illinois"/>
    <s v="Midwest"/>
    <s v="Online"/>
    <s v="New"/>
    <s v="Tops"/>
    <s v="Henley Long Sleeve"/>
    <s v="Dylan Foster"/>
    <n v="7"/>
    <n v="42.49"/>
    <n v="0"/>
    <n v="297.43"/>
    <n v="297.43"/>
  </r>
  <r>
    <s v="K7-10475"/>
    <d v="2026-07-13T00:00:00"/>
    <s v="Arizona"/>
    <s v="West"/>
    <s v="Marketplace"/>
    <s v="Returning"/>
    <s v="Accessories"/>
    <s v="Knit Beanie"/>
    <s v="Jonah Wright"/>
    <n v="1"/>
    <n v="27.61"/>
    <n v="0.3"/>
    <n v="19.329999999999998"/>
    <n v="27.61"/>
  </r>
  <r>
    <s v="K7-10476"/>
    <d v="2026-02-24T00:00:00"/>
    <s v="Florida"/>
    <s v="South"/>
    <s v="Retail Store"/>
    <s v="New"/>
    <s v="Tops"/>
    <s v="Henley Long Sleeve"/>
    <s v="Elena Vargas"/>
    <n v="8"/>
    <n v="47.7"/>
    <n v="0"/>
    <n v="381.6"/>
    <n v="381.6"/>
  </r>
  <r>
    <s v="K7-10477"/>
    <d v="2026-04-08T00:00:00"/>
    <s v="California"/>
    <s v="West"/>
    <s v="Retail Store"/>
    <s v="Returning"/>
    <s v="Outerwear"/>
    <s v="Denim Trucker"/>
    <s v="Elena Vargas"/>
    <n v="1"/>
    <n v="132.97999999999999"/>
    <n v="0.05"/>
    <n v="126.33"/>
    <n v="132.97999999999999"/>
  </r>
  <r>
    <s v="K7-10478"/>
    <d v="2026-06-05T00:00:00"/>
    <s v="New Jersey"/>
    <s v="Northeast"/>
    <s v="Online"/>
    <s v="New"/>
    <s v="Outerwear"/>
    <s v="Wool Overcoat"/>
    <s v="Ava Brooks"/>
    <n v="1"/>
    <n v="311.92"/>
    <n v="0"/>
    <n v="311.92"/>
    <n v="311.92"/>
  </r>
  <r>
    <s v="K7-10479"/>
    <d v="2026-10-09T00:00:00"/>
    <s v="New Jersey"/>
    <s v="Northeast"/>
    <s v="Retail Store"/>
    <s v="Returning"/>
    <s v="Tops"/>
    <s v="Henley Long Sleeve"/>
    <s v="Dylan Foster"/>
    <n v="4"/>
    <n v="45.29"/>
    <n v="0"/>
    <n v="181.16"/>
    <n v="181.16"/>
  </r>
  <r>
    <s v="K7-10480"/>
    <d v="2026-09-04T00:00:00"/>
    <s v="Arizona"/>
    <s v="West"/>
    <s v="Retail Store"/>
    <s v="New"/>
    <s v="Tops"/>
    <s v="Oxford Shirt"/>
    <s v="Ava Brooks"/>
    <n v="4"/>
    <n v="63.14"/>
    <n v="0"/>
    <n v="252.56"/>
    <n v="252.56"/>
  </r>
  <r>
    <s v="K7-10481"/>
    <d v="2026-02-15T00:00:00"/>
    <s v="Arizona"/>
    <s v="West"/>
    <s v="Wholesale"/>
    <s v="New"/>
    <s v="Dresses"/>
    <s v="Midi Slip Dress"/>
    <s v="Noor Haddad"/>
    <n v="1"/>
    <n v="96.62"/>
    <n v="0"/>
    <n v="96.62"/>
    <n v="96.62"/>
  </r>
  <r>
    <s v="K7-10482"/>
    <d v="2026-07-17T00:00:00"/>
    <s v="Florida"/>
    <s v="South"/>
    <s v="Wholesale"/>
    <s v="Returning"/>
    <s v="Bottoms"/>
    <s v="Slim Chino"/>
    <s v="Priya Nair"/>
    <n v="7"/>
    <n v="79.430000000000007"/>
    <n v="0"/>
    <n v="556.01"/>
    <n v="556.01"/>
  </r>
  <r>
    <s v="K7-10483"/>
    <d v="2026-06-29T00:00:00"/>
    <s v="Massachusetts"/>
    <s v="Northeast"/>
    <s v="Marketplace"/>
    <s v="Returning"/>
    <s v="Tops"/>
    <s v="Henley Long Sleeve"/>
    <s v="Priya Nair"/>
    <n v="1"/>
    <n v="43.3"/>
    <n v="0.05"/>
    <n v="41.13"/>
    <n v="43.3"/>
  </r>
  <r>
    <s v="K7-10484"/>
    <d v="2026-06-24T00:00:00"/>
    <s v="California"/>
    <s v="West"/>
    <s v="Marketplace"/>
    <s v="Returning"/>
    <s v="Tops"/>
    <s v="Henley Long Sleeve"/>
    <s v="Noor Haddad"/>
    <n v="1"/>
    <n v="44.73"/>
    <n v="0"/>
    <n v="44.73"/>
    <n v="44.73"/>
  </r>
  <r>
    <s v="K7-10485"/>
    <d v="2026-08-19T00:00:00"/>
    <s v="Illinois"/>
    <s v="Midwest"/>
    <s v="Online"/>
    <s v="New"/>
    <s v="Tops"/>
    <s v="Striped Polo"/>
    <s v="Noor Haddad"/>
    <n v="3"/>
    <n v="51.8"/>
    <n v="0"/>
    <n v="155.4"/>
    <n v="155.39999999999998"/>
  </r>
  <r>
    <s v="K7-10486"/>
    <d v="2026-12-02T00:00:00"/>
    <s v="Georgia"/>
    <s v="South"/>
    <s v="Online"/>
    <s v="Returning"/>
    <s v="Accessories"/>
    <s v="Silk Scarf"/>
    <s v="Dylan Foster"/>
    <n v="1"/>
    <n v="60.4"/>
    <n v="0.05"/>
    <n v="57.38"/>
    <n v="60.4"/>
  </r>
  <r>
    <s v="K7-10487"/>
    <d v="2026-05-09T00:00:00"/>
    <s v="Florida"/>
    <s v="South"/>
    <s v="Marketplace"/>
    <s v="Returning"/>
    <s v="Bottoms"/>
    <s v="Slim Chino"/>
    <s v="Priya Nair"/>
    <n v="2"/>
    <n v="81.48"/>
    <n v="0.1"/>
    <n v="146.66"/>
    <n v="162.96"/>
  </r>
  <r>
    <s v="K7-10488"/>
    <d v="2026-06-15T00:00:00"/>
    <s v="Michigan"/>
    <s v="Midwest"/>
    <s v="Wholesale"/>
    <s v="Returning"/>
    <s v="Dresses"/>
    <s v="Linen Shirt Dress"/>
    <s v="Dylan Foster"/>
    <n v="1"/>
    <n v="139.66"/>
    <n v="0.1"/>
    <n v="125.69"/>
    <n v="139.66"/>
  </r>
  <r>
    <s v="K7-10489"/>
    <d v="2026-09-23T00:00:00"/>
    <s v="North Carolina"/>
    <s v="South"/>
    <s v="Online"/>
    <s v="Returning"/>
    <s v="Tops"/>
    <s v="Classic Tee"/>
    <s v="Dylan Foster"/>
    <n v="1"/>
    <n v="33.97"/>
    <n v="0"/>
    <n v="33.97"/>
    <n v="33.97"/>
  </r>
  <r>
    <s v="K7-10490"/>
    <d v="2026-01-22T00:00:00"/>
    <s v="New Jersey"/>
    <s v="Northeast"/>
    <s v="Retail Store"/>
    <s v="Returning"/>
    <s v="Tops"/>
    <s v="Oxford Shirt"/>
    <s v="Dylan Foster"/>
    <n v="3"/>
    <n v="66.47"/>
    <n v="0"/>
    <n v="199.41"/>
    <n v="199.41"/>
  </r>
  <r>
    <s v="K7-10491"/>
    <d v="2026-11-08T00:00:00"/>
    <s v="Washington"/>
    <s v="West"/>
    <s v="Online"/>
    <s v="New"/>
    <s v="Dresses"/>
    <s v="Linen Shirt Dress"/>
    <s v="Noor Haddad"/>
    <n v="4"/>
    <n v="141.99"/>
    <n v="0"/>
    <n v="567.96"/>
    <n v="567.96"/>
  </r>
  <r>
    <s v="K7-10492"/>
    <d v="2026-09-12T00:00:00"/>
    <s v="Florida"/>
    <s v="South"/>
    <s v="Retail Store"/>
    <s v="New"/>
    <s v="Tops"/>
    <s v="Henley Long Sleeve"/>
    <s v="Grace Okafor"/>
    <n v="1"/>
    <n v="44.74"/>
    <n v="0.1"/>
    <n v="40.270000000000003"/>
    <n v="44.74"/>
  </r>
  <r>
    <s v="K7-10493"/>
    <d v="2026-07-02T00:00:00"/>
    <s v="New Jersey"/>
    <s v="Northeast"/>
    <s v="Marketplace"/>
    <s v="New"/>
    <s v="Bottoms"/>
    <s v="Cargo Pant"/>
    <s v="Grace Okafor"/>
    <n v="12"/>
    <n v="90.39"/>
    <n v="0"/>
    <n v="1084.68"/>
    <n v="1084.68"/>
  </r>
  <r>
    <s v="K7-10494"/>
    <d v="2026-09-28T00:00:00"/>
    <s v="Michigan"/>
    <s v="Midwest"/>
    <s v="Retail Store"/>
    <s v="Returning"/>
    <s v="Outerwear"/>
    <s v="Quilted Jacket"/>
    <s v="Dylan Foster"/>
    <n v="2"/>
    <n v="178.52"/>
    <n v="0.2"/>
    <n v="285.63"/>
    <n v="357.04"/>
  </r>
  <r>
    <s v="K7-10495"/>
    <d v="2026-06-17T00:00:00"/>
    <s v="California"/>
    <s v="West"/>
    <s v="Retail Store"/>
    <s v="Returning"/>
    <s v="Tops"/>
    <s v="Oxford Shirt"/>
    <s v="Priya Nair"/>
    <n v="3"/>
    <n v="69.069999999999993"/>
    <n v="0.05"/>
    <n v="196.85"/>
    <n v="207.20999999999998"/>
  </r>
  <r>
    <s v="K7-10496"/>
    <d v="2026-02-03T00:00:00"/>
    <s v="Texas"/>
    <s v="South"/>
    <s v="Online"/>
    <s v="Returning"/>
    <s v="Dresses"/>
    <s v="Midi Slip Dress"/>
    <s v="Elena Vargas"/>
    <n v="3"/>
    <n v="100.45"/>
    <n v="0"/>
    <n v="301.35000000000002"/>
    <n v="301.35000000000002"/>
  </r>
  <r>
    <s v="K7-10497"/>
    <d v="2026-02-06T00:00:00"/>
    <s v="Nevada"/>
    <s v="West"/>
    <s v="Online"/>
    <s v="New"/>
    <s v="Accessories"/>
    <s v="Canvas Tote"/>
    <s v="Jonah Wright"/>
    <n v="1"/>
    <n v="38.08"/>
    <n v="0.1"/>
    <n v="34.270000000000003"/>
    <n v="38.08"/>
  </r>
  <r>
    <s v="K7-10498"/>
    <d v="2026-11-28T00:00:00"/>
    <s v="Massachusetts"/>
    <s v="Northeast"/>
    <s v="Retail Store"/>
    <s v="Returning"/>
    <s v="Outerwear"/>
    <s v="Quilted Jacket"/>
    <s v="Priya Nair"/>
    <n v="2"/>
    <n v="160.49"/>
    <n v="0"/>
    <n v="320.98"/>
    <n v="320.98"/>
  </r>
  <r>
    <s v="K7-10499"/>
    <d v="2026-05-05T00:00:00"/>
    <s v="California"/>
    <s v="West"/>
    <s v="Online"/>
    <s v="Returning"/>
    <s v="Tops"/>
    <s v="Striped Polo"/>
    <s v="Noor Haddad"/>
    <n v="3"/>
    <n v="56.11"/>
    <n v="0"/>
    <n v="168.33"/>
    <n v="168.32999999999998"/>
  </r>
  <r>
    <s v="K7-10500"/>
    <d v="2026-05-05T00:00:00"/>
    <s v="Utah"/>
    <s v="West"/>
    <s v="Marketplace"/>
    <s v="New"/>
    <s v="Accessories"/>
    <s v="Silk Scarf"/>
    <s v="Ava Brooks"/>
    <n v="3"/>
    <n v="60.37"/>
    <n v="0.2"/>
    <n v="144.88999999999999"/>
    <n v="181.10999999999999"/>
  </r>
  <r>
    <s v="K7-10501"/>
    <d v="2026-07-19T00:00:00"/>
    <s v="Indiana"/>
    <s v="Midwest"/>
    <s v="Marketplace"/>
    <s v="Returning"/>
    <s v="Tops"/>
    <s v="Classic Tee"/>
    <s v="Grace Okafor"/>
    <n v="1"/>
    <n v="34.47"/>
    <n v="0.1"/>
    <n v="31.02"/>
    <n v="34.47"/>
  </r>
  <r>
    <s v="K7-10502"/>
    <d v="2026-04-08T00:00:00"/>
    <s v="Indiana"/>
    <s v="Midwest"/>
    <s v="Marketplace"/>
    <s v="Returning"/>
    <s v="Dresses"/>
    <s v="Linen Shirt Dress"/>
    <s v="Grace Okafor"/>
    <n v="11"/>
    <n v="128.12"/>
    <n v="0.1"/>
    <n v="1268.3900000000001"/>
    <n v="1409.3200000000002"/>
  </r>
  <r>
    <s v="K7-10503"/>
    <d v="2026-03-03T00:00:00"/>
    <s v="California"/>
    <s v="West"/>
    <s v="Wholesale"/>
    <s v="Returning"/>
    <s v="Footwear"/>
    <s v="Canvas Sneaker"/>
    <s v="Marcus Reed"/>
    <n v="1"/>
    <n v="85.11"/>
    <n v="0"/>
    <n v="85.11"/>
    <n v="85.11"/>
  </r>
  <r>
    <s v="K7-10504"/>
    <d v="2026-08-14T00:00:00"/>
    <s v="California"/>
    <s v="West"/>
    <s v="Marketplace"/>
    <s v="New"/>
    <s v="Dresses"/>
    <s v="Midi Slip Dress"/>
    <s v="Noor Haddad"/>
    <n v="2"/>
    <n v="99.12"/>
    <n v="0"/>
    <n v="198.24"/>
    <n v="198.24"/>
  </r>
  <r>
    <s v="K7-10505"/>
    <d v="2026-01-06T00:00:00"/>
    <s v="California"/>
    <s v="West"/>
    <s v="Marketplace"/>
    <s v="New"/>
    <s v="Footwear"/>
    <s v="Suede Loafer"/>
    <s v="Grace Okafor"/>
    <n v="8"/>
    <n v="153.63"/>
    <n v="0"/>
    <n v="1229.04"/>
    <n v="1229.04"/>
  </r>
  <r>
    <s v="K7-10506"/>
    <d v="2026-01-03T00:00:00"/>
    <s v="Pennsylvania"/>
    <s v="Northeast"/>
    <s v="Online"/>
    <s v="Returning"/>
    <s v="Dresses"/>
    <s v="Midi Slip Dress"/>
    <s v="Dylan Foster"/>
    <n v="1"/>
    <n v="103.67"/>
    <n v="0.3"/>
    <n v="72.569999999999993"/>
    <n v="103.67"/>
  </r>
  <r>
    <s v="K7-10507"/>
    <d v="2026-03-11T00:00:00"/>
    <s v="Ohio"/>
    <s v="Midwest"/>
    <s v="Wholesale"/>
    <s v="New"/>
    <s v="Bottoms"/>
    <s v="Straight Jeans"/>
    <s v="Grace Okafor"/>
    <n v="2"/>
    <n v="89.46"/>
    <n v="0"/>
    <n v="178.92"/>
    <n v="178.92"/>
  </r>
  <r>
    <s v="K7-10508"/>
    <d v="2026-03-17T00:00:00"/>
    <s v="Maryland"/>
    <s v="South"/>
    <s v="Online"/>
    <s v="Returning"/>
    <s v="Tops"/>
    <s v="Henley Long Sleeve"/>
    <s v="Ava Brooks"/>
    <n v="8"/>
    <n v="45.45"/>
    <n v="0"/>
    <n v="363.6"/>
    <n v="363.6"/>
  </r>
  <r>
    <s v="K7-10509"/>
    <d v="2026-09-18T00:00:00"/>
    <s v="Minnesota"/>
    <s v="Midwest"/>
    <s v="Retail Store"/>
    <s v="Returning"/>
    <s v="Dresses"/>
    <s v="Midi Slip Dress"/>
    <s v="Ava Brooks"/>
    <n v="2"/>
    <n v="103.81"/>
    <n v="0"/>
    <n v="207.62"/>
    <n v="207.62"/>
  </r>
  <r>
    <s v="K7-10510"/>
    <d v="2026-10-24T00:00:00"/>
    <s v="California"/>
    <s v="West"/>
    <s v="Retail Store"/>
    <s v="New"/>
    <s v="Bottoms"/>
    <s v="Cargo Pant"/>
    <s v="Noor Haddad"/>
    <n v="2"/>
    <n v="87.93"/>
    <n v="0.1"/>
    <n v="158.27000000000001"/>
    <n v="175.86"/>
  </r>
  <r>
    <s v="K7-10511"/>
    <d v="2026-09-16T00:00:00"/>
    <s v="Michigan"/>
    <s v="Midwest"/>
    <s v="Online"/>
    <s v="New"/>
    <s v="Tops"/>
    <s v="Classic Tee"/>
    <s v="Dylan Foster"/>
    <n v="1"/>
    <n v="34.18"/>
    <n v="0"/>
    <n v="34.18"/>
    <n v="34.18"/>
  </r>
  <r>
    <s v="K7-10512"/>
    <d v="2026-10-20T00:00:00"/>
    <s v="Ohio"/>
    <s v="Midwest"/>
    <s v="Retail Store"/>
    <s v="New"/>
    <s v="Outerwear"/>
    <s v="Denim Trucker"/>
    <s v="Marcus Reed"/>
    <n v="10"/>
    <n v="131.32"/>
    <n v="0"/>
    <n v="1313.2"/>
    <n v="1313.1999999999998"/>
  </r>
  <r>
    <s v="K7-10513"/>
    <d v="2026-02-21T00:00:00"/>
    <s v="California"/>
    <s v="West"/>
    <s v="Online"/>
    <s v="Returning"/>
    <s v="Bottoms"/>
    <s v="Straight Jeans"/>
    <s v="Dylan Foster"/>
    <n v="1"/>
    <n v="94.55"/>
    <n v="0"/>
    <n v="94.55"/>
    <n v="94.55"/>
  </r>
  <r>
    <s v="K7-10514"/>
    <d v="2026-12-06T00:00:00"/>
    <s v="Illinois"/>
    <s v="Midwest"/>
    <s v="Retail Store"/>
    <s v="New"/>
    <s v="Outerwear"/>
    <s v="Hooded Parka"/>
    <s v="Jonah Wright"/>
    <n v="5"/>
    <n v="220.93"/>
    <n v="0.05"/>
    <n v="1049.42"/>
    <n v="1104.6500000000001"/>
  </r>
  <r>
    <s v="K7-10515"/>
    <d v="2026-08-02T00:00:00"/>
    <s v="California"/>
    <s v="West"/>
    <s v="Retail Store"/>
    <s v="New"/>
    <s v="Dresses"/>
    <s v="Linen Shirt Dress"/>
    <s v="Noor Haddad"/>
    <n v="1"/>
    <n v="136.88"/>
    <n v="0"/>
    <n v="136.88"/>
    <n v="136.88"/>
  </r>
  <r>
    <s v="K7-10516"/>
    <d v="2026-01-06T00:00:00"/>
    <s v="Georgia"/>
    <s v="South"/>
    <s v="Wholesale"/>
    <s v="Returning"/>
    <s v="Bottoms"/>
    <s v="Tailored Short"/>
    <s v="Grace Okafor"/>
    <n v="1"/>
    <n v="59.19"/>
    <n v="0"/>
    <n v="59.19"/>
    <n v="59.19"/>
  </r>
  <r>
    <s v="K7-10517"/>
    <d v="2026-11-02T00:00:00"/>
    <s v="New York"/>
    <s v="Northeast"/>
    <s v="Retail Store"/>
    <s v="Returning"/>
    <s v="Footwear"/>
    <s v="Leather Boot"/>
    <s v="Dylan Foster"/>
    <n v="13"/>
    <n v="216.56"/>
    <n v="0.2"/>
    <n v="2252.2199999999998"/>
    <n v="2815.28"/>
  </r>
  <r>
    <s v="K7-10518"/>
    <d v="2026-07-14T00:00:00"/>
    <s v="Georgia"/>
    <s v="South"/>
    <s v="Marketplace"/>
    <s v="Returning"/>
    <s v="Outerwear"/>
    <s v="Hooded Parka"/>
    <s v="Marcus Reed"/>
    <n v="4"/>
    <n v="238.97"/>
    <n v="0"/>
    <n v="955.88"/>
    <n v="955.88"/>
  </r>
  <r>
    <s v="K7-10519"/>
    <d v="2026-06-15T00:00:00"/>
    <s v="Maryland"/>
    <s v="South"/>
    <s v="Online"/>
    <s v="New"/>
    <s v="Accessories"/>
    <s v="Knit Beanie"/>
    <s v="Jonah Wright"/>
    <n v="1"/>
    <n v="24.08"/>
    <n v="0"/>
    <n v="24.08"/>
    <n v="24.08"/>
  </r>
  <r>
    <s v="K7-10520"/>
    <d v="2026-10-30T00:00:00"/>
    <s v="Missouri"/>
    <s v="Midwest"/>
    <s v="Marketplace"/>
    <s v="New"/>
    <s v="Accessories"/>
    <s v="Knit Beanie"/>
    <s v="Elena Vargas"/>
    <n v="3"/>
    <n v="25.91"/>
    <n v="0.1"/>
    <n v="69.959999999999994"/>
    <n v="77.73"/>
  </r>
  <r>
    <s v="K7-10521"/>
    <d v="2026-03-09T00:00:00"/>
    <s v="California"/>
    <s v="West"/>
    <s v="Online"/>
    <s v="New"/>
    <s v="Outerwear"/>
    <s v="Hooded Parka"/>
    <s v="Jonah Wright"/>
    <n v="3"/>
    <n v="250.02"/>
    <n v="0"/>
    <n v="750.06"/>
    <n v="750.06000000000006"/>
  </r>
  <r>
    <s v="K7-10522"/>
    <d v="2026-11-11T00:00:00"/>
    <s v="Missouri"/>
    <s v="Midwest"/>
    <s v="Retail Store"/>
    <s v="Returning"/>
    <s v="Dresses"/>
    <s v="Midi Slip Dress"/>
    <s v="Elena Vargas"/>
    <n v="8"/>
    <n v="103.88"/>
    <n v="0.05"/>
    <n v="789.49"/>
    <n v="831.04"/>
  </r>
  <r>
    <s v="K7-10523"/>
    <d v="2026-05-26T00:00:00"/>
    <s v="Illinois"/>
    <s v="Midwest"/>
    <s v="Retail Store"/>
    <s v="Returning"/>
    <s v="Footwear"/>
    <s v="Canvas Sneaker"/>
    <s v="Grace Okafor"/>
    <n v="6"/>
    <n v="84.53"/>
    <n v="0.05"/>
    <n v="481.82"/>
    <n v="507.18"/>
  </r>
  <r>
    <s v="K7-10524"/>
    <d v="2026-07-20T00:00:00"/>
    <s v="Ohio"/>
    <s v="Midwest"/>
    <s v="Retail Store"/>
    <s v="Returning"/>
    <s v="Tops"/>
    <s v="Henley Long Sleeve"/>
    <s v="Ava Brooks"/>
    <n v="1"/>
    <n v="43.64"/>
    <n v="0.2"/>
    <n v="34.909999999999997"/>
    <n v="43.64"/>
  </r>
  <r>
    <s v="K7-10525"/>
    <d v="2026-06-23T00:00:00"/>
    <s v="Pennsylvania"/>
    <s v="Northeast"/>
    <s v="Online"/>
    <s v="Returning"/>
    <s v="Footwear"/>
    <s v="Leather Boot"/>
    <s v="Dylan Foster"/>
    <n v="1"/>
    <n v="205.97"/>
    <n v="0"/>
    <n v="205.97"/>
    <n v="205.97"/>
  </r>
  <r>
    <s v="K7-10526"/>
    <d v="2026-04-29T00:00:00"/>
    <s v="Florida"/>
    <s v="South"/>
    <s v="Online"/>
    <s v="New"/>
    <s v="Outerwear"/>
    <s v="Hooded Parka"/>
    <s v="Marcus Reed"/>
    <n v="2"/>
    <n v="236.11"/>
    <n v="0"/>
    <n v="472.22"/>
    <n v="472.22"/>
  </r>
  <r>
    <s v="K7-10527"/>
    <d v="2026-02-26T00:00:00"/>
    <s v="Texas"/>
    <s v="South"/>
    <s v="Retail Store"/>
    <s v="New"/>
    <s v="Footwear"/>
    <s v="Canvas Sneaker"/>
    <s v="Grace Okafor"/>
    <n v="6"/>
    <n v="89.96"/>
    <n v="0"/>
    <n v="539.76"/>
    <n v="539.76"/>
  </r>
  <r>
    <s v="K7-10528"/>
    <d v="2026-06-07T00:00:00"/>
    <s v="Indiana"/>
    <s v="Midwest"/>
    <s v="Retail Store"/>
    <s v="Returning"/>
    <s v="Tops"/>
    <s v="Oxford Shirt"/>
    <s v="Dylan Foster"/>
    <n v="4"/>
    <n v="67.84"/>
    <n v="0"/>
    <n v="271.36"/>
    <n v="271.36"/>
  </r>
  <r>
    <s v="K7-10529"/>
    <d v="2026-06-29T00:00:00"/>
    <s v="Texas"/>
    <s v="South"/>
    <s v="Marketplace"/>
    <s v="New"/>
    <s v="Bottoms"/>
    <s v="Tailored Short"/>
    <s v="Noor Haddad"/>
    <n v="1"/>
    <n v="54.62"/>
    <n v="0.15"/>
    <n v="46.43"/>
    <n v="54.62"/>
  </r>
  <r>
    <s v="K7-10530"/>
    <d v="2026-08-20T00:00:00"/>
    <s v="Louisiana"/>
    <s v="South"/>
    <s v="Retail Store"/>
    <s v="Returning"/>
    <s v="Outerwear"/>
    <s v="Wool Overcoat"/>
    <s v="Priya Nair"/>
    <n v="2"/>
    <n v="291.33999999999997"/>
    <n v="0.3"/>
    <n v="407.88"/>
    <n v="582.67999999999995"/>
  </r>
  <r>
    <s v="K7-10531"/>
    <d v="2026-10-25T00:00:00"/>
    <s v="Texas"/>
    <s v="South"/>
    <s v="Online"/>
    <s v="New"/>
    <s v="Bottoms"/>
    <s v="Cargo Pant"/>
    <s v="Elena Vargas"/>
    <n v="2"/>
    <n v="88.65"/>
    <n v="0.1"/>
    <n v="159.57"/>
    <n v="177.3"/>
  </r>
  <r>
    <s v="K7-10532"/>
    <d v="2026-05-10T00:00:00"/>
    <s v="California"/>
    <s v="West"/>
    <s v="Online"/>
    <s v="Returning"/>
    <s v="Dresses"/>
    <s v="Linen Shirt Dress"/>
    <s v="Ava Brooks"/>
    <n v="2"/>
    <n v="127.7"/>
    <n v="0"/>
    <n v="255.4"/>
    <n v="255.4"/>
  </r>
  <r>
    <s v="K7-10533"/>
    <d v="2026-01-21T00:00:00"/>
    <s v="Missouri"/>
    <s v="Midwest"/>
    <s v="Wholesale"/>
    <s v="New"/>
    <s v="Bottoms"/>
    <s v="Straight Jeans"/>
    <s v="Noor Haddad"/>
    <n v="2"/>
    <n v="96.43"/>
    <n v="0"/>
    <n v="192.86"/>
    <n v="192.86"/>
  </r>
  <r>
    <s v="K7-10534"/>
    <d v="2026-05-02T00:00:00"/>
    <s v="New Jersey"/>
    <s v="Northeast"/>
    <s v="Marketplace"/>
    <s v="Returning"/>
    <s v="Footwear"/>
    <s v="Canvas Sneaker"/>
    <s v="Noor Haddad"/>
    <n v="2"/>
    <n v="83.69"/>
    <n v="0"/>
    <n v="167.38"/>
    <n v="167.38"/>
  </r>
  <r>
    <s v="K7-10535"/>
    <d v="2026-01-26T00:00:00"/>
    <s v="California"/>
    <s v="West"/>
    <s v="Retail Store"/>
    <s v="Returning"/>
    <s v="Tops"/>
    <s v="Henley Long Sleeve"/>
    <s v="Dylan Foster"/>
    <n v="2"/>
    <n v="42.66"/>
    <n v="0.15"/>
    <n v="72.52"/>
    <n v="85.32"/>
  </r>
  <r>
    <s v="K7-10536"/>
    <d v="2026-04-10T00:00:00"/>
    <s v="California"/>
    <s v="West"/>
    <s v="Retail Store"/>
    <s v="Returning"/>
    <s v="Tops"/>
    <s v="Classic Tee"/>
    <s v="Dylan Foster"/>
    <n v="3"/>
    <n v="30.73"/>
    <n v="0.2"/>
    <n v="73.75"/>
    <n v="92.19"/>
  </r>
  <r>
    <s v="K7-10537"/>
    <d v="2026-05-24T00:00:00"/>
    <s v="Missouri"/>
    <s v="Midwest"/>
    <s v="Online"/>
    <s v="Returning"/>
    <s v="Tops"/>
    <s v="Striped Polo"/>
    <s v="Ava Brooks"/>
    <n v="3"/>
    <n v="51.52"/>
    <n v="0"/>
    <n v="154.56"/>
    <n v="154.56"/>
  </r>
  <r>
    <s v="K7-10538"/>
    <d v="2026-09-07T00:00:00"/>
    <s v="Massachusetts"/>
    <s v="Northeast"/>
    <s v="Online"/>
    <s v="Returning"/>
    <s v="Footwear"/>
    <s v="Suede Loafer"/>
    <s v="Priya Nair"/>
    <n v="6"/>
    <n v="159.22999999999999"/>
    <n v="0"/>
    <n v="955.38"/>
    <n v="955.37999999999988"/>
  </r>
  <r>
    <s v="K7-10539"/>
    <d v="2026-11-15T00:00:00"/>
    <s v="Massachusetts"/>
    <s v="Northeast"/>
    <s v="Online"/>
    <s v="New"/>
    <s v="Footwear"/>
    <s v="Suede Loafer"/>
    <s v="Elena Vargas"/>
    <n v="1"/>
    <n v="152.22"/>
    <n v="0"/>
    <n v="152.22"/>
    <n v="152.22"/>
  </r>
  <r>
    <s v="K7-10540"/>
    <d v="2026-08-13T00:00:00"/>
    <s v="Pennsylvania"/>
    <s v="Northeast"/>
    <s v="Retail Store"/>
    <s v="Returning"/>
    <s v="Accessories"/>
    <s v="Silk Scarf"/>
    <s v="Grace Okafor"/>
    <n v="3"/>
    <n v="61.36"/>
    <n v="0.2"/>
    <n v="147.26"/>
    <n v="184.07999999999998"/>
  </r>
  <r>
    <s v="K7-10541"/>
    <d v="2026-11-17T00:00:00"/>
    <s v="New York"/>
    <s v="Northeast"/>
    <s v="Retail Store"/>
    <s v="Returning"/>
    <s v="Outerwear"/>
    <s v="Denim Trucker"/>
    <s v="Grace Okafor"/>
    <n v="1"/>
    <n v="131.34"/>
    <n v="0"/>
    <n v="131.34"/>
    <n v="131.34"/>
  </r>
  <r>
    <s v="K7-10542"/>
    <d v="2026-02-13T00:00:00"/>
    <s v="Washington"/>
    <s v="West"/>
    <s v="Retail Store"/>
    <s v="New"/>
    <s v="Accessories"/>
    <s v="Canvas Tote"/>
    <s v="Ava Brooks"/>
    <n v="1"/>
    <n v="40.46"/>
    <n v="0.05"/>
    <n v="38.44"/>
    <n v="40.46"/>
  </r>
  <r>
    <s v="K7-10543"/>
    <d v="2026-11-07T00:00:00"/>
    <s v="North Carolina"/>
    <s v="South"/>
    <s v="Online"/>
    <s v="New"/>
    <s v="Bottoms"/>
    <s v="Straight Jeans"/>
    <s v="Marcus Reed"/>
    <n v="6"/>
    <n v="90.35"/>
    <n v="0"/>
    <n v="542.1"/>
    <n v="542.09999999999991"/>
  </r>
  <r>
    <s v="K7-10544"/>
    <d v="2026-09-01T00:00:00"/>
    <s v="New York"/>
    <s v="Northeast"/>
    <s v="Retail Store"/>
    <s v="New"/>
    <s v="Dresses"/>
    <s v="Midi Slip Dress"/>
    <s v="Grace Okafor"/>
    <n v="4"/>
    <n v="91.13"/>
    <n v="0"/>
    <n v="364.52"/>
    <n v="364.52"/>
  </r>
  <r>
    <s v="K7-10545"/>
    <d v="2026-09-21T00:00:00"/>
    <s v="New York"/>
    <s v="Northeast"/>
    <s v="Wholesale"/>
    <s v="New"/>
    <s v="Bottoms"/>
    <s v="Straight Jeans"/>
    <s v="Jonah Wright"/>
    <n v="5"/>
    <n v="97.61"/>
    <n v="0.05"/>
    <n v="463.65"/>
    <n v="488.05"/>
  </r>
  <r>
    <s v="K7-10546"/>
    <d v="2026-03-01T00:00:00"/>
    <s v="Maryland"/>
    <s v="South"/>
    <s v="Marketplace"/>
    <s v="Returning"/>
    <s v="Accessories"/>
    <s v="Canvas Tote"/>
    <s v="Ava Brooks"/>
    <n v="3"/>
    <n v="36.840000000000003"/>
    <n v="0"/>
    <n v="110.52"/>
    <n v="110.52000000000001"/>
  </r>
  <r>
    <s v="K7-10547"/>
    <d v="2026-07-10T00:00:00"/>
    <s v="Pennsylvania"/>
    <s v="Northeast"/>
    <s v="Online"/>
    <s v="Returning"/>
    <s v="Outerwear"/>
    <s v="Quilted Jacket"/>
    <s v="Grace Okafor"/>
    <n v="1"/>
    <n v="165.58"/>
    <n v="0"/>
    <n v="165.58"/>
    <n v="165.58"/>
  </r>
  <r>
    <s v="K7-10548"/>
    <d v="2026-06-20T00:00:00"/>
    <s v="Texas"/>
    <s v="South"/>
    <s v="Retail Store"/>
    <s v="Returning"/>
    <s v="Outerwear"/>
    <s v="Hooded Parka"/>
    <s v="Marcus Reed"/>
    <n v="3"/>
    <n v="251.3"/>
    <n v="0.05"/>
    <n v="716.21"/>
    <n v="753.90000000000009"/>
  </r>
  <r>
    <s v="K7-10549"/>
    <d v="2026-10-15T00:00:00"/>
    <s v="New Jersey"/>
    <s v="Northeast"/>
    <s v="Wholesale"/>
    <s v="New"/>
    <s v="Bottoms"/>
    <s v="Straight Jeans"/>
    <s v="Marcus Reed"/>
    <n v="2"/>
    <n v="89.7"/>
    <n v="0"/>
    <n v="179.4"/>
    <n v="179.4"/>
  </r>
  <r>
    <s v="K7-10550"/>
    <d v="2026-10-01T00:00:00"/>
    <s v="Florida"/>
    <s v="South"/>
    <s v="Wholesale"/>
    <s v="Returning"/>
    <s v="Outerwear"/>
    <s v="Quilted Jacket"/>
    <s v="Dylan Foster"/>
    <n v="3"/>
    <n v="161.30000000000001"/>
    <n v="0.2"/>
    <n v="387.12"/>
    <n v="483.90000000000003"/>
  </r>
  <r>
    <s v="K7-10551"/>
    <d v="2026-04-30T00:00:00"/>
    <s v="California"/>
    <s v="West"/>
    <s v="Marketplace"/>
    <s v="Returning"/>
    <s v="Bottoms"/>
    <s v="Slim Chino"/>
    <s v="Ava Brooks"/>
    <n v="9"/>
    <n v="70.06"/>
    <n v="0.15"/>
    <n v="535.96"/>
    <n v="630.54"/>
  </r>
  <r>
    <s v="K7-10552"/>
    <d v="2026-09-03T00:00:00"/>
    <s v="California"/>
    <s v="West"/>
    <s v="Online"/>
    <s v="Returning"/>
    <s v="Bottoms"/>
    <s v="Slim Chino"/>
    <s v="Ava Brooks"/>
    <n v="1"/>
    <n v="81.08"/>
    <n v="0.15"/>
    <n v="68.92"/>
    <n v="81.08"/>
  </r>
  <r>
    <s v="K7-10553"/>
    <d v="2026-09-13T00:00:00"/>
    <s v="Ohio"/>
    <s v="Midwest"/>
    <s v="Retail Store"/>
    <s v="New"/>
    <s v="Dresses"/>
    <s v="Wrap Dress"/>
    <s v="Jonah Wright"/>
    <n v="8"/>
    <n v="122.7"/>
    <n v="0.2"/>
    <n v="785.28"/>
    <n v="981.6"/>
  </r>
  <r>
    <s v="K7-10554"/>
    <d v="2026-01-21T00:00:00"/>
    <s v="Utah"/>
    <s v="West"/>
    <s v="Retail Store"/>
    <s v="New"/>
    <s v="Tops"/>
    <s v="Classic Tee"/>
    <s v="Dylan Foster"/>
    <n v="2"/>
    <n v="34.47"/>
    <n v="0"/>
    <n v="68.94"/>
    <n v="68.94"/>
  </r>
  <r>
    <s v="K7-10555"/>
    <d v="2026-09-27T00:00:00"/>
    <s v="Texas"/>
    <s v="South"/>
    <s v="Online"/>
    <s v="New"/>
    <s v="Bottoms"/>
    <s v="Tailored Short"/>
    <s v="Elena Vargas"/>
    <n v="11"/>
    <n v="53.84"/>
    <n v="0.05"/>
    <n v="562.63"/>
    <n v="592.24"/>
  </r>
  <r>
    <s v="K7-10556"/>
    <d v="2026-04-11T00:00:00"/>
    <s v="Virginia"/>
    <s v="South"/>
    <s v="Retail Store"/>
    <s v="Returning"/>
    <s v="Dresses"/>
    <s v="Linen Shirt Dress"/>
    <s v="Jonah Wright"/>
    <n v="2"/>
    <n v="142.12"/>
    <n v="0"/>
    <n v="284.24"/>
    <n v="284.24"/>
  </r>
  <r>
    <s v="K7-10557"/>
    <d v="2026-09-27T00:00:00"/>
    <s v="Nevada"/>
    <s v="West"/>
    <s v="Wholesale"/>
    <s v="New"/>
    <s v="Outerwear"/>
    <s v="Quilted Jacket"/>
    <s v="Marcus Reed"/>
    <n v="8"/>
    <n v="177.49"/>
    <n v="0"/>
    <n v="1419.92"/>
    <n v="1419.92"/>
  </r>
  <r>
    <s v="K7-10558"/>
    <d v="2026-02-21T00:00:00"/>
    <s v="Georgia"/>
    <s v="South"/>
    <s v="Retail Store"/>
    <s v="Returning"/>
    <s v="Accessories"/>
    <s v="Knit Beanie"/>
    <s v="Ava Brooks"/>
    <n v="1"/>
    <n v="24.13"/>
    <n v="0"/>
    <n v="24.13"/>
    <n v="24.13"/>
  </r>
  <r>
    <s v="K7-10559"/>
    <d v="2026-11-08T00:00:00"/>
    <s v="North Carolina"/>
    <s v="South"/>
    <s v="Marketplace"/>
    <s v="Returning"/>
    <s v="Tops"/>
    <s v="Classic Tee"/>
    <s v="Dylan Foster"/>
    <n v="1"/>
    <n v="29.72"/>
    <n v="0"/>
    <n v="29.72"/>
    <n v="29.72"/>
  </r>
  <r>
    <s v="K7-10560"/>
    <d v="2026-11-12T00:00:00"/>
    <s v="Ohio"/>
    <s v="Midwest"/>
    <s v="Online"/>
    <s v="New"/>
    <s v="Footwear"/>
    <s v="Leather Boot"/>
    <s v="Priya Nair"/>
    <n v="2"/>
    <n v="229.37"/>
    <n v="0"/>
    <n v="458.74"/>
    <n v="458.74"/>
  </r>
  <r>
    <s v="K7-10561"/>
    <d v="2026-02-01T00:00:00"/>
    <s v="New York"/>
    <s v="Northeast"/>
    <s v="Online"/>
    <s v="New"/>
    <s v="Footwear"/>
    <s v="Canvas Sneaker"/>
    <s v="Elena Vargas"/>
    <n v="2"/>
    <n v="94.02"/>
    <n v="0.05"/>
    <n v="178.64"/>
    <n v="188.04"/>
  </r>
  <r>
    <s v="K7-10562"/>
    <d v="2026-10-03T00:00:00"/>
    <s v="Texas"/>
    <s v="South"/>
    <s v="Online"/>
    <s v="Returning"/>
    <s v="Tops"/>
    <s v="Striped Polo"/>
    <s v="Ava Brooks"/>
    <n v="6"/>
    <n v="52.68"/>
    <n v="0.05"/>
    <n v="300.27999999999997"/>
    <n v="316.08"/>
  </r>
  <r>
    <s v="K7-10563"/>
    <d v="2026-01-14T00:00:00"/>
    <s v="Michigan"/>
    <s v="Midwest"/>
    <s v="Online"/>
    <s v="New"/>
    <s v="Footwear"/>
    <s v="Canvas Sneaker"/>
    <s v="Jonah Wright"/>
    <n v="1"/>
    <n v="91.22"/>
    <n v="0"/>
    <n v="91.22"/>
    <n v="91.22"/>
  </r>
  <r>
    <s v="K7-10564"/>
    <d v="2026-12-07T00:00:00"/>
    <s v="Missouri"/>
    <s v="Midwest"/>
    <s v="Retail Store"/>
    <s v="Returning"/>
    <s v="Bottoms"/>
    <s v="Tailored Short"/>
    <s v="Ava Brooks"/>
    <n v="1"/>
    <n v="57.32"/>
    <n v="0"/>
    <n v="57.32"/>
    <n v="57.32"/>
  </r>
  <r>
    <s v="K7-10565"/>
    <d v="2026-02-09T00:00:00"/>
    <s v="Texas"/>
    <s v="South"/>
    <s v="Online"/>
    <s v="New"/>
    <s v="Footwear"/>
    <s v="Leather Boot"/>
    <s v="Noor Haddad"/>
    <n v="1"/>
    <n v="217.08"/>
    <n v="0"/>
    <n v="217.08"/>
    <n v="217.08"/>
  </r>
  <r>
    <s v="K7-10566"/>
    <d v="2026-06-11T00:00:00"/>
    <s v="New York"/>
    <s v="Northeast"/>
    <s v="Retail Store"/>
    <s v="Returning"/>
    <s v="Footwear"/>
    <s v="Leather Boot"/>
    <s v="Grace Okafor"/>
    <n v="1"/>
    <n v="211.93"/>
    <n v="0"/>
    <n v="211.93"/>
    <n v="211.93"/>
  </r>
  <r>
    <s v="K7-10567"/>
    <d v="2026-09-28T00:00:00"/>
    <s v="New Jersey"/>
    <s v="Northeast"/>
    <s v="Online"/>
    <s v="New"/>
    <s v="Dresses"/>
    <s v="Wrap Dress"/>
    <s v="Marcus Reed"/>
    <n v="2"/>
    <n v="113.63"/>
    <n v="0"/>
    <n v="227.26"/>
    <n v="227.26"/>
  </r>
  <r>
    <s v="K7-10568"/>
    <d v="2026-10-03T00:00:00"/>
    <s v="Virginia"/>
    <s v="South"/>
    <s v="Wholesale"/>
    <s v="New"/>
    <s v="Accessories"/>
    <s v="Knit Beanie"/>
    <s v="Jonah Wright"/>
    <n v="10"/>
    <n v="24.41"/>
    <n v="0"/>
    <n v="244.1"/>
    <n v="244.1"/>
  </r>
  <r>
    <s v="K7-10569"/>
    <d v="2026-07-28T00:00:00"/>
    <s v="Michigan"/>
    <s v="Midwest"/>
    <s v="Retail Store"/>
    <s v="Returning"/>
    <s v="Footwear"/>
    <s v="Leather Boot"/>
    <s v="Elena Vargas"/>
    <n v="1"/>
    <n v="209.56"/>
    <n v="0"/>
    <n v="209.56"/>
    <n v="209.56"/>
  </r>
  <r>
    <s v="K7-10570"/>
    <d v="2026-04-04T00:00:00"/>
    <s v="Indiana"/>
    <s v="Midwest"/>
    <s v="Online"/>
    <s v="New"/>
    <s v="Outerwear"/>
    <s v="Hooded Parka"/>
    <s v="Elena Vargas"/>
    <n v="2"/>
    <n v="233.94"/>
    <n v="0.1"/>
    <n v="421.09"/>
    <n v="467.88"/>
  </r>
  <r>
    <s v="K7-10571"/>
    <d v="2026-03-29T00:00:00"/>
    <s v="Oregon"/>
    <s v="West"/>
    <s v="Online"/>
    <s v="Returning"/>
    <s v="Tops"/>
    <s v="Oxford Shirt"/>
    <s v="Dylan Foster"/>
    <n v="4"/>
    <n v="65.86"/>
    <n v="0.2"/>
    <n v="210.75"/>
    <n v="263.44"/>
  </r>
  <r>
    <s v="K7-10572"/>
    <d v="2026-08-14T00:00:00"/>
    <s v="Illinois"/>
    <s v="Midwest"/>
    <s v="Retail Store"/>
    <s v="New"/>
    <s v="Tops"/>
    <s v="Oxford Shirt"/>
    <s v="Jonah Wright"/>
    <n v="4"/>
    <n v="64.8"/>
    <n v="0"/>
    <n v="259.2"/>
    <n v="259.2"/>
  </r>
  <r>
    <s v="K7-10573"/>
    <d v="2026-01-16T00:00:00"/>
    <s v="Louisiana"/>
    <s v="South"/>
    <s v="Retail Store"/>
    <s v="Returning"/>
    <s v="Outerwear"/>
    <s v="Wool Overcoat"/>
    <s v="Ava Brooks"/>
    <n v="3"/>
    <n v="295.58999999999997"/>
    <n v="0"/>
    <n v="886.77"/>
    <n v="886.77"/>
  </r>
  <r>
    <s v="K7-10574"/>
    <d v="2026-07-06T00:00:00"/>
    <s v="Minnesota"/>
    <s v="Midwest"/>
    <s v="Retail Store"/>
    <s v="New"/>
    <s v="Footwear"/>
    <s v="Suede Loafer"/>
    <s v="Priya Nair"/>
    <n v="1"/>
    <n v="150.16999999999999"/>
    <n v="0.3"/>
    <n v="105.12"/>
    <n v="150.16999999999999"/>
  </r>
  <r>
    <s v="K7-10575"/>
    <d v="2026-10-02T00:00:00"/>
    <s v="Indiana"/>
    <s v="Midwest"/>
    <s v="Retail Store"/>
    <s v="Returning"/>
    <s v="Outerwear"/>
    <s v="Denim Trucker"/>
    <s v="Priya Nair"/>
    <n v="5"/>
    <n v="129.53"/>
    <n v="0.15"/>
    <n v="550.5"/>
    <n v="647.65"/>
  </r>
  <r>
    <s v="K7-10576"/>
    <d v="2026-10-20T00:00:00"/>
    <s v="Nevada"/>
    <s v="West"/>
    <s v="Retail Store"/>
    <s v="New"/>
    <s v="Outerwear"/>
    <s v="Hooded Parka"/>
    <s v="Ava Brooks"/>
    <n v="10"/>
    <n v="220.1"/>
    <n v="0.15"/>
    <n v="1870.85"/>
    <n v="2201"/>
  </r>
  <r>
    <s v="K7-10577"/>
    <d v="2026-07-14T00:00:00"/>
    <s v="New Jersey"/>
    <s v="Northeast"/>
    <s v="Online"/>
    <s v="Returning"/>
    <s v="Tops"/>
    <s v="Henley Long Sleeve"/>
    <s v="Marcus Reed"/>
    <n v="1"/>
    <n v="47.32"/>
    <n v="0"/>
    <n v="47.32"/>
    <n v="47.32"/>
  </r>
  <r>
    <s v="K7-10578"/>
    <d v="2026-04-28T00:00:00"/>
    <s v="Georgia"/>
    <s v="South"/>
    <s v="Wholesale"/>
    <s v="Returning"/>
    <s v="Outerwear"/>
    <s v="Denim Trucker"/>
    <s v="Grace Okafor"/>
    <n v="1"/>
    <n v="127.74"/>
    <n v="0"/>
    <n v="127.74"/>
    <n v="127.74"/>
  </r>
  <r>
    <s v="K7-10579"/>
    <d v="2026-08-10T00:00:00"/>
    <s v="Illinois"/>
    <s v="Midwest"/>
    <s v="Online"/>
    <s v="New"/>
    <s v="Tops"/>
    <s v="Oxford Shirt"/>
    <s v="Marcus Reed"/>
    <n v="3"/>
    <n v="66.349999999999994"/>
    <n v="0.2"/>
    <n v="159.24"/>
    <n v="199.04999999999998"/>
  </r>
  <r>
    <s v="K7-10580"/>
    <d v="2026-09-20T00:00:00"/>
    <s v="Pennsylvania"/>
    <s v="Northeast"/>
    <s v="Wholesale"/>
    <s v="Returning"/>
    <s v="Outerwear"/>
    <s v="Quilted Jacket"/>
    <s v="Elena Vargas"/>
    <n v="1"/>
    <n v="163.86"/>
    <n v="0"/>
    <n v="163.86"/>
    <n v="163.86"/>
  </r>
  <r>
    <s v="K7-10581"/>
    <d v="2026-12-08T00:00:00"/>
    <s v="Illinois"/>
    <s v="Midwest"/>
    <s v="Marketplace"/>
    <s v="Returning"/>
    <s v="Footwear"/>
    <s v="Canvas Sneaker"/>
    <s v="Ava Brooks"/>
    <n v="1"/>
    <n v="86.54"/>
    <n v="0.1"/>
    <n v="77.89"/>
    <n v="86.54"/>
  </r>
  <r>
    <s v="K7-10582"/>
    <d v="2026-11-23T00:00:00"/>
    <s v="California"/>
    <s v="West"/>
    <s v="Marketplace"/>
    <s v="Returning"/>
    <s v="Tops"/>
    <s v="Henley Long Sleeve"/>
    <s v="Noor Haddad"/>
    <n v="8"/>
    <n v="44.2"/>
    <n v="0"/>
    <n v="353.6"/>
    <n v="353.6"/>
  </r>
  <r>
    <s v="K7-10583"/>
    <d v="2026-11-07T00:00:00"/>
    <s v="New York"/>
    <s v="Northeast"/>
    <s v="Wholesale"/>
    <s v="Returning"/>
    <s v="Bottoms"/>
    <s v="Straight Jeans"/>
    <s v="Priya Nair"/>
    <n v="2"/>
    <n v="93.03"/>
    <n v="0"/>
    <n v="186.06"/>
    <n v="186.06"/>
  </r>
  <r>
    <s v="K7-10584"/>
    <d v="2026-11-13T00:00:00"/>
    <s v="Texas"/>
    <s v="South"/>
    <s v="Online"/>
    <s v="Returning"/>
    <s v="Outerwear"/>
    <s v="Wool Overcoat"/>
    <s v="Marcus Reed"/>
    <n v="4"/>
    <n v="280.67"/>
    <n v="0.1"/>
    <n v="1010.41"/>
    <n v="1122.68"/>
  </r>
  <r>
    <s v="K7-10585"/>
    <d v="2026-09-21T00:00:00"/>
    <s v="Louisiana"/>
    <s v="South"/>
    <s v="Retail Store"/>
    <s v="New"/>
    <s v="Tops"/>
    <s v="Oxford Shirt"/>
    <s v="Elena Vargas"/>
    <n v="1"/>
    <n v="68.83"/>
    <n v="0"/>
    <n v="68.83"/>
    <n v="68.83"/>
  </r>
  <r>
    <s v="K7-10586"/>
    <d v="2026-11-16T00:00:00"/>
    <s v="Maryland"/>
    <s v="South"/>
    <s v="Marketplace"/>
    <s v="Returning"/>
    <s v="Dresses"/>
    <s v="Midi Slip Dress"/>
    <s v="Jonah Wright"/>
    <n v="5"/>
    <n v="97.13"/>
    <n v="0.15"/>
    <n v="412.8"/>
    <n v="485.65"/>
  </r>
  <r>
    <s v="K7-10587"/>
    <d v="2026-08-12T00:00:00"/>
    <s v="Maryland"/>
    <s v="South"/>
    <s v="Online"/>
    <s v="Returning"/>
    <s v="Tops"/>
    <s v="Oxford Shirt"/>
    <s v="Dylan Foster"/>
    <n v="2"/>
    <n v="66.290000000000006"/>
    <n v="0.15"/>
    <n v="112.69"/>
    <n v="132.58000000000001"/>
  </r>
  <r>
    <s v="K7-10588"/>
    <d v="2026-06-24T00:00:00"/>
    <s v="New York"/>
    <s v="Northeast"/>
    <s v="Online"/>
    <s v="New"/>
    <s v="Tops"/>
    <s v="Striped Polo"/>
    <s v="Jonah Wright"/>
    <n v="4"/>
    <n v="55.82"/>
    <n v="0.3"/>
    <n v="156.30000000000001"/>
    <n v="223.28"/>
  </r>
  <r>
    <s v="K7-10589"/>
    <d v="2026-01-06T00:00:00"/>
    <s v="Texas"/>
    <s v="South"/>
    <s v="Online"/>
    <s v="New"/>
    <s v="Tops"/>
    <s v="Oxford Shirt"/>
    <s v="Noor Haddad"/>
    <n v="11"/>
    <n v="64.77"/>
    <n v="0.2"/>
    <n v="569.98"/>
    <n v="712.46999999999991"/>
  </r>
  <r>
    <s v="K7-10590"/>
    <d v="2026-07-02T00:00:00"/>
    <s v="Alabama"/>
    <s v="South"/>
    <s v="Retail Store"/>
    <s v="New"/>
    <s v="Outerwear"/>
    <s v="Quilted Jacket"/>
    <s v="Noor Haddad"/>
    <n v="1"/>
    <n v="181.36"/>
    <n v="0"/>
    <n v="181.36"/>
    <n v="181.36"/>
  </r>
  <r>
    <s v="K7-10591"/>
    <d v="2026-06-13T00:00:00"/>
    <s v="Colorado"/>
    <s v="West"/>
    <s v="Online"/>
    <s v="New"/>
    <s v="Tops"/>
    <s v="Henley Long Sleeve"/>
    <s v="Elena Vargas"/>
    <n v="1"/>
    <n v="48.71"/>
    <n v="0"/>
    <n v="48.71"/>
    <n v="48.71"/>
  </r>
  <r>
    <s v="K7-10592"/>
    <d v="2026-08-08T00:00:00"/>
    <s v="Oregon"/>
    <s v="West"/>
    <s v="Online"/>
    <s v="Returning"/>
    <s v="Outerwear"/>
    <s v="Wool Overcoat"/>
    <s v="Marcus Reed"/>
    <n v="4"/>
    <n v="299.58999999999997"/>
    <n v="0"/>
    <n v="1198.3599999999999"/>
    <n v="1198.3599999999999"/>
  </r>
  <r>
    <s v="K7-10593"/>
    <d v="2026-08-25T00:00:00"/>
    <s v="Georgia"/>
    <s v="South"/>
    <s v="Online"/>
    <s v="Returning"/>
    <s v="Accessories"/>
    <s v="Leather Belt"/>
    <s v="Marcus Reed"/>
    <n v="1"/>
    <n v="46.77"/>
    <n v="0"/>
    <n v="46.77"/>
    <n v="46.77"/>
  </r>
  <r>
    <s v="K7-10594"/>
    <d v="2026-02-15T00:00:00"/>
    <s v="Pennsylvania"/>
    <s v="Northeast"/>
    <s v="Online"/>
    <s v="Returning"/>
    <s v="Outerwear"/>
    <s v="Denim Trucker"/>
    <s v="Grace Okafor"/>
    <n v="1"/>
    <n v="136.63999999999999"/>
    <n v="0.1"/>
    <n v="122.98"/>
    <n v="136.63999999999999"/>
  </r>
  <r>
    <s v="K7-10595"/>
    <d v="2026-03-02T00:00:00"/>
    <s v="North Carolina"/>
    <s v="South"/>
    <s v="Retail Store"/>
    <s v="New"/>
    <s v="Tops"/>
    <s v="Henley Long Sleeve"/>
    <s v="Elena Vargas"/>
    <n v="4"/>
    <n v="49.66"/>
    <n v="0"/>
    <n v="198.64"/>
    <n v="198.64"/>
  </r>
  <r>
    <s v="K7-10596"/>
    <d v="2026-10-14T00:00:00"/>
    <s v="Illinois"/>
    <s v="Midwest"/>
    <s v="Online"/>
    <s v="Returning"/>
    <s v="Bottoms"/>
    <s v="Tailored Short"/>
    <s v="Ava Brooks"/>
    <n v="14"/>
    <n v="54.33"/>
    <n v="0.1"/>
    <n v="684.56"/>
    <n v="760.62"/>
  </r>
  <r>
    <s v="K7-10597"/>
    <d v="2026-03-16T00:00:00"/>
    <s v="Arizona"/>
    <s v="West"/>
    <s v="Wholesale"/>
    <s v="Returning"/>
    <s v="Outerwear"/>
    <s v="Quilted Jacket"/>
    <s v="Marcus Reed"/>
    <n v="3"/>
    <n v="161.44999999999999"/>
    <n v="0"/>
    <n v="484.35"/>
    <n v="484.34999999999997"/>
  </r>
  <r>
    <s v="K7-10598"/>
    <d v="2026-07-25T00:00:00"/>
    <s v="Georgia"/>
    <s v="South"/>
    <s v="Retail Store"/>
    <s v="Returning"/>
    <s v="Footwear"/>
    <s v="Suede Loafer"/>
    <s v="Ava Brooks"/>
    <n v="1"/>
    <n v="154.13999999999999"/>
    <n v="0"/>
    <n v="154.13999999999999"/>
    <n v="154.13999999999999"/>
  </r>
  <r>
    <s v="K7-10599"/>
    <d v="2026-01-29T00:00:00"/>
    <s v="Illinois"/>
    <s v="Midwest"/>
    <s v="Wholesale"/>
    <s v="Returning"/>
    <s v="Dresses"/>
    <s v="Wrap Dress"/>
    <s v="Jonah Wright"/>
    <n v="4"/>
    <n v="126.54"/>
    <n v="0.05"/>
    <n v="480.85"/>
    <n v="506.16"/>
  </r>
  <r>
    <s v="K7-10600"/>
    <d v="2026-01-01T00:00:00"/>
    <s v="Pennsylvania"/>
    <s v="Northeast"/>
    <s v="Online"/>
    <s v="New"/>
    <s v="Tops"/>
    <s v="Striped Polo"/>
    <s v="Elena Vargas"/>
    <n v="1"/>
    <n v="52.32"/>
    <n v="0.15"/>
    <n v="44.47"/>
    <n v="52.32"/>
  </r>
  <r>
    <s v="K7-10601"/>
    <d v="2026-06-04T00:00:00"/>
    <s v="Florida"/>
    <s v="South"/>
    <s v="Retail Store"/>
    <s v="New"/>
    <s v="Accessories"/>
    <s v="Knit Beanie"/>
    <s v="Grace Okafor"/>
    <n v="2"/>
    <n v="27.42"/>
    <n v="0"/>
    <n v="54.84"/>
    <n v="54.84"/>
  </r>
  <r>
    <s v="K7-10602"/>
    <d v="2026-02-28T00:00:00"/>
    <s v="Ohio"/>
    <s v="Midwest"/>
    <s v="Online"/>
    <s v="Returning"/>
    <s v="Outerwear"/>
    <s v="Quilted Jacket"/>
    <s v="Elena Vargas"/>
    <n v="1"/>
    <n v="164.63"/>
    <n v="0"/>
    <n v="164.63"/>
    <n v="164.63"/>
  </r>
  <r>
    <s v="K7-10603"/>
    <d v="2026-04-06T00:00:00"/>
    <s v="Texas"/>
    <s v="South"/>
    <s v="Retail Store"/>
    <s v="Returning"/>
    <s v="Dresses"/>
    <s v="Midi Slip Dress"/>
    <s v="Priya Nair"/>
    <n v="2"/>
    <n v="96.56"/>
    <n v="0.05"/>
    <n v="183.46"/>
    <n v="193.12"/>
  </r>
  <r>
    <s v="K7-10604"/>
    <d v="2026-10-06T00:00:00"/>
    <s v="Idaho"/>
    <s v="West"/>
    <s v="Retail Store"/>
    <s v="New"/>
    <s v="Outerwear"/>
    <s v="Quilted Jacket"/>
    <s v="Priya Nair"/>
    <n v="4"/>
    <n v="156.34"/>
    <n v="0"/>
    <n v="625.36"/>
    <n v="625.36"/>
  </r>
  <r>
    <s v="K7-10605"/>
    <d v="2026-09-23T00:00:00"/>
    <s v="California"/>
    <s v="West"/>
    <s v="Marketplace"/>
    <s v="Returning"/>
    <s v="Footwear"/>
    <s v="Suede Loafer"/>
    <s v="Noor Haddad"/>
    <n v="6"/>
    <n v="154.85"/>
    <n v="0.2"/>
    <n v="743.28"/>
    <n v="929.09999999999991"/>
  </r>
  <r>
    <s v="K7-10606"/>
    <d v="2026-03-26T00:00:00"/>
    <s v="New York"/>
    <s v="Northeast"/>
    <s v="Online"/>
    <s v="New"/>
    <s v="Tops"/>
    <s v="Striped Polo"/>
    <s v="Priya Nair"/>
    <n v="6"/>
    <n v="57.6"/>
    <n v="0.15"/>
    <n v="293.76"/>
    <n v="345.6"/>
  </r>
  <r>
    <s v="K7-10607"/>
    <d v="2026-10-06T00:00:00"/>
    <s v="Texas"/>
    <s v="South"/>
    <s v="Marketplace"/>
    <s v="Returning"/>
    <s v="Dresses"/>
    <s v="Linen Shirt Dress"/>
    <s v="Elena Vargas"/>
    <n v="1"/>
    <n v="141.4"/>
    <n v="0"/>
    <n v="141.4"/>
    <n v="141.4"/>
  </r>
  <r>
    <s v="K7-10608"/>
    <d v="2026-05-21T00:00:00"/>
    <s v="Washington"/>
    <s v="West"/>
    <s v="Online"/>
    <s v="Returning"/>
    <s v="Tops"/>
    <s v="Classic Tee"/>
    <s v="Marcus Reed"/>
    <n v="8"/>
    <n v="33.33"/>
    <n v="0.1"/>
    <n v="239.98"/>
    <n v="266.64"/>
  </r>
  <r>
    <s v="K7-10609"/>
    <d v="2026-12-26T00:00:00"/>
    <s v="Texas"/>
    <s v="South"/>
    <s v="Online"/>
    <s v="Returning"/>
    <s v="Bottoms"/>
    <s v="Tailored Short"/>
    <s v="Noor Haddad"/>
    <n v="13"/>
    <n v="56.99"/>
    <n v="0"/>
    <n v="740.87"/>
    <n v="740.87"/>
  </r>
  <r>
    <s v="K7-10610"/>
    <d v="2026-05-16T00:00:00"/>
    <s v="Arizona"/>
    <s v="West"/>
    <s v="Online"/>
    <s v="Returning"/>
    <s v="Tops"/>
    <s v="Classic Tee"/>
    <s v="Jonah Wright"/>
    <n v="8"/>
    <n v="32.270000000000003"/>
    <n v="0.05"/>
    <n v="245.25"/>
    <n v="258.16000000000003"/>
  </r>
  <r>
    <s v="K7-10611"/>
    <d v="2026-03-22T00:00:00"/>
    <s v="North Carolina"/>
    <s v="South"/>
    <s v="Online"/>
    <s v="New"/>
    <s v="Tops"/>
    <s v="Striped Polo"/>
    <s v="Priya Nair"/>
    <n v="6"/>
    <n v="55.59"/>
    <n v="0"/>
    <n v="333.54"/>
    <n v="333.54"/>
  </r>
  <r>
    <s v="K7-10612"/>
    <d v="2026-02-02T00:00:00"/>
    <s v="Illinois"/>
    <s v="Midwest"/>
    <s v="Wholesale"/>
    <s v="New"/>
    <s v="Tops"/>
    <s v="Henley Long Sleeve"/>
    <s v="Marcus Reed"/>
    <n v="1"/>
    <n v="47.08"/>
    <n v="0.05"/>
    <n v="44.73"/>
    <n v="47.08"/>
  </r>
  <r>
    <s v="K7-10613"/>
    <d v="2026-11-25T00:00:00"/>
    <s v="Pennsylvania"/>
    <s v="Northeast"/>
    <s v="Retail Store"/>
    <s v="New"/>
    <s v="Outerwear"/>
    <s v="Denim Trucker"/>
    <s v="Noor Haddad"/>
    <n v="2"/>
    <n v="133.28"/>
    <n v="0"/>
    <n v="266.56"/>
    <n v="266.56"/>
  </r>
  <r>
    <s v="K7-10614"/>
    <d v="2026-01-18T00:00:00"/>
    <s v="Arizona"/>
    <s v="West"/>
    <s v="Online"/>
    <s v="Returning"/>
    <s v="Dresses"/>
    <s v="Midi Slip Dress"/>
    <s v="Ava Brooks"/>
    <n v="2"/>
    <n v="90.25"/>
    <n v="0"/>
    <n v="180.5"/>
    <n v="180.5"/>
  </r>
  <r>
    <s v="K7-10615"/>
    <d v="2026-10-28T00:00:00"/>
    <s v="Alabama"/>
    <s v="South"/>
    <s v="Online"/>
    <s v="New"/>
    <s v="Bottoms"/>
    <s v="Slim Chino"/>
    <s v="Elena Vargas"/>
    <n v="5"/>
    <n v="80.38"/>
    <n v="0"/>
    <n v="401.9"/>
    <n v="401.9"/>
  </r>
  <r>
    <s v="K7-10616"/>
    <d v="2026-10-10T00:00:00"/>
    <s v="New York"/>
    <s v="Northeast"/>
    <s v="Retail Store"/>
    <s v="New"/>
    <s v="Dresses"/>
    <s v="Wrap Dress"/>
    <s v="Grace Okafor"/>
    <n v="5"/>
    <n v="112.85"/>
    <n v="0.1"/>
    <n v="507.82"/>
    <n v="564.25"/>
  </r>
  <r>
    <s v="K7-10617"/>
    <d v="2026-11-01T00:00:00"/>
    <s v="Texas"/>
    <s v="South"/>
    <s v="Retail Store"/>
    <s v="New"/>
    <s v="Outerwear"/>
    <s v="Wool Overcoat"/>
    <s v="Dylan Foster"/>
    <n v="4"/>
    <n v="282.51"/>
    <n v="0.1"/>
    <n v="1017.04"/>
    <n v="1130.04"/>
  </r>
  <r>
    <s v="K7-10618"/>
    <d v="2026-11-27T00:00:00"/>
    <s v="Florida"/>
    <s v="South"/>
    <s v="Marketplace"/>
    <s v="New"/>
    <s v="Dresses"/>
    <s v="Midi Slip Dress"/>
    <s v="Noor Haddad"/>
    <n v="5"/>
    <n v="100.34"/>
    <n v="0"/>
    <n v="501.7"/>
    <n v="501.70000000000005"/>
  </r>
  <r>
    <s v="K7-10619"/>
    <d v="2026-06-27T00:00:00"/>
    <s v="New York"/>
    <s v="Northeast"/>
    <s v="Online"/>
    <s v="Returning"/>
    <s v="Tops"/>
    <s v="Striped Polo"/>
    <s v="Ava Brooks"/>
    <n v="1"/>
    <n v="54.27"/>
    <n v="0"/>
    <n v="54.27"/>
    <n v="54.27"/>
  </r>
  <r>
    <s v="K7-10620"/>
    <d v="2026-07-20T00:00:00"/>
    <s v="Washington"/>
    <s v="West"/>
    <s v="Online"/>
    <s v="Returning"/>
    <s v="Bottoms"/>
    <s v="Slim Chino"/>
    <s v="Grace Okafor"/>
    <n v="1"/>
    <n v="79.61"/>
    <n v="0"/>
    <n v="79.61"/>
    <n v="79.61"/>
  </r>
  <r>
    <s v="K7-10621"/>
    <d v="2026-03-13T00:00:00"/>
    <s v="North Carolina"/>
    <s v="South"/>
    <s v="Retail Store"/>
    <s v="Returning"/>
    <s v="Tops"/>
    <s v="Striped Polo"/>
    <s v="Marcus Reed"/>
    <n v="1"/>
    <n v="54.9"/>
    <n v="0"/>
    <n v="54.9"/>
    <n v="54.9"/>
  </r>
  <r>
    <s v="K7-10622"/>
    <d v="2026-12-04T00:00:00"/>
    <s v="New Jersey"/>
    <s v="Northeast"/>
    <s v="Online"/>
    <s v="New"/>
    <s v="Bottoms"/>
    <s v="Tailored Short"/>
    <s v="Elena Vargas"/>
    <n v="1"/>
    <n v="60.14"/>
    <n v="0"/>
    <n v="60.14"/>
    <n v="60.14"/>
  </r>
  <r>
    <s v="K7-10623"/>
    <d v="2026-10-22T00:00:00"/>
    <s v="Minnesota"/>
    <s v="Midwest"/>
    <s v="Marketplace"/>
    <s v="New"/>
    <s v="Tops"/>
    <s v="Classic Tee"/>
    <s v="Noor Haddad"/>
    <n v="1"/>
    <n v="32.33"/>
    <n v="0.2"/>
    <n v="25.86"/>
    <n v="32.33"/>
  </r>
  <r>
    <s v="K7-10624"/>
    <d v="2026-04-11T00:00:00"/>
    <s v="Idaho"/>
    <s v="West"/>
    <s v="Online"/>
    <s v="Returning"/>
    <s v="Footwear"/>
    <s v="Canvas Sneaker"/>
    <s v="Elena Vargas"/>
    <n v="1"/>
    <n v="86.34"/>
    <n v="0"/>
    <n v="86.34"/>
    <n v="86.34"/>
  </r>
  <r>
    <s v="K7-10625"/>
    <d v="2026-11-02T00:00:00"/>
    <s v="Massachusetts"/>
    <s v="Northeast"/>
    <s v="Marketplace"/>
    <s v="Returning"/>
    <s v="Outerwear"/>
    <s v="Hooded Parka"/>
    <s v="Elena Vargas"/>
    <n v="8"/>
    <n v="229.89"/>
    <n v="0"/>
    <n v="1839.12"/>
    <n v="1839.12"/>
  </r>
  <r>
    <s v="K7-10626"/>
    <d v="2026-09-09T00:00:00"/>
    <s v="California"/>
    <s v="West"/>
    <s v="Online"/>
    <s v="New"/>
    <s v="Accessories"/>
    <s v="Leather Belt"/>
    <s v="Priya Nair"/>
    <n v="8"/>
    <n v="45.12"/>
    <n v="0.3"/>
    <n v="252.67"/>
    <n v="360.96"/>
  </r>
  <r>
    <s v="K7-10627"/>
    <d v="2026-05-22T00:00:00"/>
    <s v="Utah"/>
    <s v="West"/>
    <s v="Retail Store"/>
    <s v="Returning"/>
    <s v="Bottoms"/>
    <s v="Tailored Short"/>
    <s v="Ava Brooks"/>
    <n v="2"/>
    <n v="58.95"/>
    <n v="0.05"/>
    <n v="112"/>
    <n v="117.9"/>
  </r>
  <r>
    <s v="K7-10628"/>
    <d v="2026-10-04T00:00:00"/>
    <s v="Pennsylvania"/>
    <s v="Northeast"/>
    <s v="Online"/>
    <s v="Returning"/>
    <s v="Dresses"/>
    <s v="Linen Shirt Dress"/>
    <s v="Dylan Foster"/>
    <n v="2"/>
    <n v="129.47999999999999"/>
    <n v="0.05"/>
    <n v="246.01"/>
    <n v="258.95999999999998"/>
  </r>
  <r>
    <s v="K7-10629"/>
    <d v="2026-05-04T00:00:00"/>
    <s v="Nevada"/>
    <s v="West"/>
    <s v="Online"/>
    <s v="Returning"/>
    <s v="Bottoms"/>
    <s v="Slim Chino"/>
    <s v="Grace Okafor"/>
    <n v="2"/>
    <n v="74.650000000000006"/>
    <n v="0"/>
    <n v="149.30000000000001"/>
    <n v="149.30000000000001"/>
  </r>
  <r>
    <s v="K7-10630"/>
    <d v="2026-02-10T00:00:00"/>
    <s v="Florida"/>
    <s v="South"/>
    <s v="Marketplace"/>
    <s v="Returning"/>
    <s v="Accessories"/>
    <s v="Silk Scarf"/>
    <s v="Grace Okafor"/>
    <n v="3"/>
    <n v="57.14"/>
    <n v="0"/>
    <n v="171.42"/>
    <n v="171.42000000000002"/>
  </r>
  <r>
    <s v="K7-10631"/>
    <d v="2026-10-22T00:00:00"/>
    <s v="Virginia"/>
    <s v="South"/>
    <s v="Online"/>
    <s v="Returning"/>
    <s v="Outerwear"/>
    <s v="Quilted Jacket"/>
    <s v="Marcus Reed"/>
    <n v="5"/>
    <n v="180.91"/>
    <n v="0"/>
    <n v="904.55"/>
    <n v="904.55"/>
  </r>
  <r>
    <s v="K7-10632"/>
    <d v="2026-03-27T00:00:00"/>
    <s v="Georgia"/>
    <s v="South"/>
    <s v="Online"/>
    <s v="New"/>
    <s v="Dresses"/>
    <s v="Midi Slip Dress"/>
    <s v="Elena Vargas"/>
    <n v="4"/>
    <n v="90.48"/>
    <n v="0"/>
    <n v="361.92"/>
    <n v="361.92"/>
  </r>
  <r>
    <s v="K7-10633"/>
    <d v="2026-02-07T00:00:00"/>
    <s v="California"/>
    <s v="West"/>
    <s v="Online"/>
    <s v="New"/>
    <s v="Outerwear"/>
    <s v="Quilted Jacket"/>
    <s v="Elena Vargas"/>
    <n v="1"/>
    <n v="164.34"/>
    <n v="0"/>
    <n v="164.34"/>
    <n v="164.34"/>
  </r>
  <r>
    <s v="K7-10634"/>
    <d v="2026-11-14T00:00:00"/>
    <s v="Tennessee"/>
    <s v="South"/>
    <s v="Wholesale"/>
    <s v="Returning"/>
    <s v="Tops"/>
    <s v="Oxford Shirt"/>
    <s v="Marcus Reed"/>
    <n v="1"/>
    <n v="65.52"/>
    <n v="0"/>
    <n v="65.52"/>
    <n v="65.52"/>
  </r>
  <r>
    <s v="K7-10635"/>
    <d v="2026-02-19T00:00:00"/>
    <s v="Washington"/>
    <s v="West"/>
    <s v="Retail Store"/>
    <s v="New"/>
    <s v="Accessories"/>
    <s v="Knit Beanie"/>
    <s v="Marcus Reed"/>
    <n v="2"/>
    <n v="27.22"/>
    <n v="0.05"/>
    <n v="51.72"/>
    <n v="54.44"/>
  </r>
  <r>
    <s v="K7-10636"/>
    <d v="2026-03-27T00:00:00"/>
    <s v="California"/>
    <s v="West"/>
    <s v="Online"/>
    <s v="Returning"/>
    <s v="Dresses"/>
    <s v="Midi Slip Dress"/>
    <s v="Noor Haddad"/>
    <n v="4"/>
    <n v="95.87"/>
    <n v="0.05"/>
    <n v="364.31"/>
    <n v="383.48"/>
  </r>
  <r>
    <s v="K7-10637"/>
    <d v="2026-04-12T00:00:00"/>
    <s v="Colorado"/>
    <s v="West"/>
    <s v="Online"/>
    <s v="Returning"/>
    <s v="Bottoms"/>
    <s v="Cargo Pant"/>
    <s v="Jonah Wright"/>
    <n v="3"/>
    <n v="78.84"/>
    <n v="0.05"/>
    <n v="224.69"/>
    <n v="236.52"/>
  </r>
  <r>
    <s v="K7-10638"/>
    <d v="2026-08-21T00:00:00"/>
    <s v="Pennsylvania"/>
    <s v="Northeast"/>
    <s v="Wholesale"/>
    <s v="New"/>
    <s v="Footwear"/>
    <s v="Suede Loafer"/>
    <s v="Priya Nair"/>
    <n v="2"/>
    <n v="153.47999999999999"/>
    <n v="0"/>
    <n v="306.95999999999998"/>
    <n v="306.95999999999998"/>
  </r>
  <r>
    <s v="K7-10639"/>
    <d v="2026-03-08T00:00:00"/>
    <s v="Utah"/>
    <s v="West"/>
    <s v="Retail Store"/>
    <s v="New"/>
    <s v="Tops"/>
    <s v="Classic Tee"/>
    <s v="Dylan Foster"/>
    <n v="3"/>
    <n v="33"/>
    <n v="0.3"/>
    <n v="69.3"/>
    <n v="99"/>
  </r>
  <r>
    <s v="K7-10640"/>
    <d v="2026-12-11T00:00:00"/>
    <s v="Nevada"/>
    <s v="West"/>
    <s v="Wholesale"/>
    <s v="New"/>
    <s v="Outerwear"/>
    <s v="Denim Trucker"/>
    <s v="Priya Nair"/>
    <n v="2"/>
    <n v="139.01"/>
    <n v="0"/>
    <n v="278.02"/>
    <n v="278.02"/>
  </r>
  <r>
    <s v="K7-10641"/>
    <d v="2026-03-07T00:00:00"/>
    <s v="Connecticut"/>
    <s v="Northeast"/>
    <s v="Wholesale"/>
    <s v="New"/>
    <s v="Footwear"/>
    <s v="Suede Loafer"/>
    <s v="Priya Nair"/>
    <n v="5"/>
    <n v="149.12"/>
    <n v="0"/>
    <n v="745.6"/>
    <n v="745.6"/>
  </r>
  <r>
    <s v="K7-10642"/>
    <d v="2026-02-22T00:00:00"/>
    <s v="New Jersey"/>
    <s v="Northeast"/>
    <s v="Online"/>
    <s v="New"/>
    <s v="Footwear"/>
    <s v="Suede Loafer"/>
    <s v="Priya Nair"/>
    <n v="1"/>
    <n v="158.91"/>
    <n v="0"/>
    <n v="158.91"/>
    <n v="158.91"/>
  </r>
  <r>
    <s v="K7-10643"/>
    <d v="2026-03-17T00:00:00"/>
    <s v="Oregon"/>
    <s v="West"/>
    <s v="Online"/>
    <s v="Returning"/>
    <s v="Outerwear"/>
    <s v="Denim Trucker"/>
    <s v="Elena Vargas"/>
    <n v="10"/>
    <n v="131.87"/>
    <n v="0.05"/>
    <n v="1252.76"/>
    <n v="1318.7"/>
  </r>
  <r>
    <s v="K7-10644"/>
    <d v="2026-10-03T00:00:00"/>
    <s v="Michigan"/>
    <s v="Midwest"/>
    <s v="Retail Store"/>
    <s v="New"/>
    <s v="Bottoms"/>
    <s v="Straight Jeans"/>
    <s v="Dylan Foster"/>
    <n v="3"/>
    <n v="84.87"/>
    <n v="0.15"/>
    <n v="216.42"/>
    <n v="254.61"/>
  </r>
  <r>
    <s v="K7-10645"/>
    <d v="2026-01-24T00:00:00"/>
    <s v="Nevada"/>
    <s v="West"/>
    <s v="Marketplace"/>
    <s v="New"/>
    <s v="Bottoms"/>
    <s v="Cargo Pant"/>
    <s v="Jonah Wright"/>
    <n v="1"/>
    <n v="77.569999999999993"/>
    <n v="0.05"/>
    <n v="73.69"/>
    <n v="77.569999999999993"/>
  </r>
  <r>
    <s v="K7-10646"/>
    <d v="2026-12-12T00:00:00"/>
    <s v="Florida"/>
    <s v="South"/>
    <s v="Online"/>
    <s v="Returning"/>
    <s v="Outerwear"/>
    <s v="Quilted Jacket"/>
    <s v="Dylan Foster"/>
    <n v="1"/>
    <n v="162.72"/>
    <n v="0.2"/>
    <n v="130.18"/>
    <n v="162.72"/>
  </r>
  <r>
    <s v="K7-10647"/>
    <d v="2026-09-26T00:00:00"/>
    <s v="Michigan"/>
    <s v="Midwest"/>
    <s v="Online"/>
    <s v="Returning"/>
    <s v="Accessories"/>
    <s v="Leather Belt"/>
    <s v="Grace Okafor"/>
    <n v="15"/>
    <n v="47.66"/>
    <n v="0.15"/>
    <n v="607.66"/>
    <n v="714.9"/>
  </r>
  <r>
    <s v="K7-10648"/>
    <d v="2026-10-10T00:00:00"/>
    <s v="California"/>
    <s v="West"/>
    <s v="Retail Store"/>
    <s v="Returning"/>
    <s v="Accessories"/>
    <s v="Canvas Tote"/>
    <s v="Marcus Reed"/>
    <n v="1"/>
    <n v="38.9"/>
    <n v="0.05"/>
    <n v="36.950000000000003"/>
    <n v="38.9"/>
  </r>
  <r>
    <s v="K7-10649"/>
    <d v="2026-07-06T00:00:00"/>
    <s v="California"/>
    <s v="West"/>
    <s v="Retail Store"/>
    <s v="Returning"/>
    <s v="Dresses"/>
    <s v="Wrap Dress"/>
    <s v="Dylan Foster"/>
    <n v="2"/>
    <n v="110.78"/>
    <n v="0"/>
    <n v="221.56"/>
    <n v="221.56"/>
  </r>
  <r>
    <s v="K7-10650"/>
    <d v="2026-05-17T00:00:00"/>
    <s v="Maryland"/>
    <s v="South"/>
    <s v="Retail Store"/>
    <s v="Returning"/>
    <s v="Accessories"/>
    <s v="Silk Scarf"/>
    <s v="Ava Brooks"/>
    <n v="1"/>
    <n v="63.95"/>
    <n v="0"/>
    <n v="63.95"/>
    <n v="63.95"/>
  </r>
  <r>
    <s v="K7-10651"/>
    <d v="2026-12-28T00:00:00"/>
    <s v="Connecticut"/>
    <s v="Northeast"/>
    <s v="Retail Store"/>
    <s v="New"/>
    <s v="Footwear"/>
    <s v="Leather Boot"/>
    <s v="Ava Brooks"/>
    <n v="2"/>
    <n v="212.06"/>
    <n v="0"/>
    <n v="424.12"/>
    <n v="424.12"/>
  </r>
  <r>
    <s v="K7-10652"/>
    <d v="2026-10-29T00:00:00"/>
    <s v="Texas"/>
    <s v="South"/>
    <s v="Retail Store"/>
    <s v="Returning"/>
    <s v="Outerwear"/>
    <s v="Wool Overcoat"/>
    <s v="Dylan Foster"/>
    <n v="4"/>
    <n v="288.10000000000002"/>
    <n v="0"/>
    <n v="1152.4000000000001"/>
    <n v="1152.4000000000001"/>
  </r>
  <r>
    <s v="K7-10653"/>
    <d v="2026-08-08T00:00:00"/>
    <s v="Washington"/>
    <s v="West"/>
    <s v="Online"/>
    <s v="Returning"/>
    <s v="Bottoms"/>
    <s v="Straight Jeans"/>
    <s v="Marcus Reed"/>
    <n v="2"/>
    <n v="92.51"/>
    <n v="0"/>
    <n v="185.02"/>
    <n v="185.02"/>
  </r>
  <r>
    <s v="K7-10654"/>
    <d v="2026-10-01T00:00:00"/>
    <s v="California"/>
    <s v="West"/>
    <s v="Retail Store"/>
    <s v="Returning"/>
    <s v="Outerwear"/>
    <s v="Quilted Jacket"/>
    <s v="Jonah Wright"/>
    <n v="5"/>
    <n v="180.46"/>
    <n v="0"/>
    <n v="902.3"/>
    <n v="902.30000000000007"/>
  </r>
  <r>
    <s v="K7-10655"/>
    <d v="2026-05-26T00:00:00"/>
    <s v="Washington"/>
    <s v="West"/>
    <s v="Retail Store"/>
    <s v="Returning"/>
    <s v="Bottoms"/>
    <s v="Slim Chino"/>
    <s v="Elena Vargas"/>
    <n v="5"/>
    <n v="77.44"/>
    <n v="0"/>
    <n v="387.2"/>
    <n v="387.2"/>
  </r>
  <r>
    <s v="K7-10656"/>
    <d v="2026-01-14T00:00:00"/>
    <s v="Illinois"/>
    <s v="Midwest"/>
    <s v="Online"/>
    <s v="New"/>
    <s v="Bottoms"/>
    <s v="Straight Jeans"/>
    <s v="Jonah Wright"/>
    <n v="1"/>
    <n v="97.49"/>
    <n v="0"/>
    <n v="97.49"/>
    <n v="97.49"/>
  </r>
  <r>
    <s v="K7-10657"/>
    <d v="2026-01-27T00:00:00"/>
    <s v="New Jersey"/>
    <s v="Northeast"/>
    <s v="Retail Store"/>
    <s v="Returning"/>
    <s v="Footwear"/>
    <s v="Suede Loafer"/>
    <s v="Grace Okafor"/>
    <n v="1"/>
    <n v="159.24"/>
    <n v="0.2"/>
    <n v="127.39"/>
    <n v="159.24"/>
  </r>
  <r>
    <s v="K7-10658"/>
    <d v="2026-03-01T00:00:00"/>
    <s v="Virginia"/>
    <s v="South"/>
    <s v="Online"/>
    <s v="Returning"/>
    <s v="Footwear"/>
    <s v="Suede Loafer"/>
    <s v="Ava Brooks"/>
    <n v="6"/>
    <n v="150.69999999999999"/>
    <n v="0"/>
    <n v="904.2"/>
    <n v="904.19999999999993"/>
  </r>
  <r>
    <s v="K7-10659"/>
    <d v="2026-09-20T00:00:00"/>
    <s v="Washington"/>
    <s v="West"/>
    <s v="Online"/>
    <s v="Returning"/>
    <s v="Accessories"/>
    <s v="Knit Beanie"/>
    <s v="Ava Brooks"/>
    <n v="1"/>
    <n v="27.47"/>
    <n v="0"/>
    <n v="27.47"/>
    <n v="27.47"/>
  </r>
  <r>
    <s v="K7-10660"/>
    <d v="2026-05-23T00:00:00"/>
    <s v="Georgia"/>
    <s v="South"/>
    <s v="Wholesale"/>
    <s v="Returning"/>
    <s v="Outerwear"/>
    <s v="Quilted Jacket"/>
    <s v="Jonah Wright"/>
    <n v="8"/>
    <n v="156.81"/>
    <n v="0"/>
    <n v="1254.48"/>
    <n v="1254.48"/>
  </r>
  <r>
    <s v="K7-10661"/>
    <d v="2026-09-15T00:00:00"/>
    <s v="Florida"/>
    <s v="South"/>
    <s v="Online"/>
    <s v="Returning"/>
    <s v="Tops"/>
    <s v="Classic Tee"/>
    <s v="Marcus Reed"/>
    <n v="4"/>
    <n v="30.14"/>
    <n v="0.05"/>
    <n v="114.53"/>
    <n v="120.56"/>
  </r>
  <r>
    <s v="K7-10662"/>
    <d v="2026-01-25T00:00:00"/>
    <s v="Indiana"/>
    <s v="Midwest"/>
    <s v="Online"/>
    <s v="New"/>
    <s v="Tops"/>
    <s v="Oxford Shirt"/>
    <s v="Elena Vargas"/>
    <n v="1"/>
    <n v="72.48"/>
    <n v="0"/>
    <n v="72.48"/>
    <n v="72.48"/>
  </r>
  <r>
    <s v="K7-10663"/>
    <d v="2026-05-27T00:00:00"/>
    <s v="Florida"/>
    <s v="South"/>
    <s v="Online"/>
    <s v="Returning"/>
    <s v="Accessories"/>
    <s v="Canvas Tote"/>
    <s v="Elena Vargas"/>
    <n v="2"/>
    <n v="35.58"/>
    <n v="0.3"/>
    <n v="49.81"/>
    <n v="71.16"/>
  </r>
  <r>
    <s v="K7-10664"/>
    <d v="2026-12-26T00:00:00"/>
    <s v="Michigan"/>
    <s v="Midwest"/>
    <s v="Online"/>
    <s v="New"/>
    <s v="Footwear"/>
    <s v="Leather Boot"/>
    <s v="Dylan Foster"/>
    <n v="1"/>
    <n v="231.32"/>
    <n v="0"/>
    <n v="231.32"/>
    <n v="231.32"/>
  </r>
  <r>
    <s v="K7-10665"/>
    <d v="2026-08-03T00:00:00"/>
    <s v="New York"/>
    <s v="Northeast"/>
    <s v="Wholesale"/>
    <s v="New"/>
    <s v="Dresses"/>
    <s v="Wrap Dress"/>
    <s v="Elena Vargas"/>
    <n v="2"/>
    <n v="118.59"/>
    <n v="0.1"/>
    <n v="213.46"/>
    <n v="237.18"/>
  </r>
  <r>
    <s v="K7-10666"/>
    <d v="2026-11-17T00:00:00"/>
    <s v="Oregon"/>
    <s v="West"/>
    <s v="Online"/>
    <s v="New"/>
    <s v="Bottoms"/>
    <s v="Tailored Short"/>
    <s v="Marcus Reed"/>
    <n v="18"/>
    <n v="54.8"/>
    <n v="0.05"/>
    <n v="937.08"/>
    <n v="986.4"/>
  </r>
  <r>
    <s v="K7-10667"/>
    <d v="2026-01-15T00:00:00"/>
    <s v="Oregon"/>
    <s v="West"/>
    <s v="Wholesale"/>
    <s v="Returning"/>
    <s v="Tops"/>
    <s v="Striped Polo"/>
    <s v="Noor Haddad"/>
    <n v="1"/>
    <n v="54.12"/>
    <n v="0"/>
    <n v="54.12"/>
    <n v="54.12"/>
  </r>
  <r>
    <s v="K7-10668"/>
    <d v="2026-09-30T00:00:00"/>
    <s v="Texas"/>
    <s v="South"/>
    <s v="Retail Store"/>
    <s v="New"/>
    <s v="Footwear"/>
    <s v="Suede Loafer"/>
    <s v="Ava Brooks"/>
    <n v="2"/>
    <n v="161.71"/>
    <n v="0"/>
    <n v="323.42"/>
    <n v="323.42"/>
  </r>
  <r>
    <s v="K7-10669"/>
    <d v="2026-07-22T00:00:00"/>
    <s v="California"/>
    <s v="West"/>
    <s v="Marketplace"/>
    <s v="Returning"/>
    <s v="Accessories"/>
    <s v="Knit Beanie"/>
    <s v="Jonah Wright"/>
    <n v="12"/>
    <n v="26.31"/>
    <n v="0"/>
    <n v="315.72000000000003"/>
    <n v="315.71999999999997"/>
  </r>
  <r>
    <s v="K7-10670"/>
    <d v="2026-04-26T00:00:00"/>
    <s v="Illinois"/>
    <s v="Midwest"/>
    <s v="Wholesale"/>
    <s v="New"/>
    <s v="Dresses"/>
    <s v="Linen Shirt Dress"/>
    <s v="Dylan Foster"/>
    <n v="1"/>
    <n v="128.76"/>
    <n v="0.1"/>
    <n v="115.88"/>
    <n v="128.76"/>
  </r>
  <r>
    <s v="K7-10671"/>
    <d v="2026-06-23T00:00:00"/>
    <s v="Pennsylvania"/>
    <s v="Northeast"/>
    <s v="Online"/>
    <s v="Returning"/>
    <s v="Outerwear"/>
    <s v="Hooded Parka"/>
    <s v="Elena Vargas"/>
    <n v="2"/>
    <n v="223.56"/>
    <n v="0"/>
    <n v="447.12"/>
    <n v="447.12"/>
  </r>
  <r>
    <s v="K7-10672"/>
    <d v="2026-07-25T00:00:00"/>
    <s v="Missouri"/>
    <s v="Midwest"/>
    <s v="Online"/>
    <s v="Returning"/>
    <s v="Tops"/>
    <s v="Henley Long Sleeve"/>
    <s v="Jonah Wright"/>
    <n v="1"/>
    <n v="46.12"/>
    <n v="0.15"/>
    <n v="39.200000000000003"/>
    <n v="46.12"/>
  </r>
  <r>
    <s v="K7-10673"/>
    <d v="2026-12-24T00:00:00"/>
    <s v="Florida"/>
    <s v="South"/>
    <s v="Wholesale"/>
    <s v="Returning"/>
    <s v="Tops"/>
    <s v="Henley Long Sleeve"/>
    <s v="Dylan Foster"/>
    <n v="5"/>
    <n v="48.3"/>
    <n v="0.05"/>
    <n v="229.42"/>
    <n v="241.5"/>
  </r>
  <r>
    <s v="K7-10674"/>
    <d v="2026-12-30T00:00:00"/>
    <s v="South Carolina"/>
    <s v="South"/>
    <s v="Retail Store"/>
    <s v="Returning"/>
    <s v="Tops"/>
    <s v="Oxford Shirt"/>
    <s v="Marcus Reed"/>
    <n v="5"/>
    <n v="70.97"/>
    <n v="0.05"/>
    <n v="337.11"/>
    <n v="354.85"/>
  </r>
  <r>
    <s v="K7-10675"/>
    <d v="2026-02-08T00:00:00"/>
    <s v="Utah"/>
    <s v="West"/>
    <s v="Retail Store"/>
    <s v="Returning"/>
    <s v="Accessories"/>
    <s v="Silk Scarf"/>
    <s v="Priya Nair"/>
    <n v="2"/>
    <n v="59.47"/>
    <n v="0"/>
    <n v="118.94"/>
    <n v="118.94"/>
  </r>
  <r>
    <s v="K7-10676"/>
    <d v="2026-10-15T00:00:00"/>
    <s v="California"/>
    <s v="West"/>
    <s v="Retail Store"/>
    <s v="Returning"/>
    <s v="Footwear"/>
    <s v="Leather Boot"/>
    <s v="Marcus Reed"/>
    <n v="4"/>
    <n v="204.54"/>
    <n v="0"/>
    <n v="818.16"/>
    <n v="818.16"/>
  </r>
  <r>
    <s v="K7-10677"/>
    <d v="2026-06-24T00:00:00"/>
    <s v="Illinois"/>
    <s v="Midwest"/>
    <s v="Retail Store"/>
    <s v="Returning"/>
    <s v="Outerwear"/>
    <s v="Quilted Jacket"/>
    <s v="Elena Vargas"/>
    <n v="3"/>
    <n v="159.54"/>
    <n v="0"/>
    <n v="478.62"/>
    <n v="478.62"/>
  </r>
  <r>
    <s v="K7-10678"/>
    <d v="2026-03-08T00:00:00"/>
    <s v="Connecticut"/>
    <s v="Northeast"/>
    <s v="Online"/>
    <s v="Returning"/>
    <s v="Outerwear"/>
    <s v="Quilted Jacket"/>
    <s v="Jonah Wright"/>
    <n v="2"/>
    <n v="170.88"/>
    <n v="0.15"/>
    <n v="290.5"/>
    <n v="341.76"/>
  </r>
  <r>
    <s v="K7-10679"/>
    <d v="2026-11-25T00:00:00"/>
    <s v="Missouri"/>
    <s v="Midwest"/>
    <s v="Online"/>
    <s v="Returning"/>
    <s v="Tops"/>
    <s v="Oxford Shirt"/>
    <s v="Ava Brooks"/>
    <n v="13"/>
    <n v="70.94"/>
    <n v="0"/>
    <n v="922.22"/>
    <n v="922.22"/>
  </r>
  <r>
    <s v="K7-10680"/>
    <d v="2026-02-10T00:00:00"/>
    <s v="Ohio"/>
    <s v="Midwest"/>
    <s v="Marketplace"/>
    <s v="New"/>
    <s v="Bottoms"/>
    <s v="Tailored Short"/>
    <s v="Ava Brooks"/>
    <n v="1"/>
    <n v="54.1"/>
    <n v="0"/>
    <n v="54.1"/>
    <n v="54.1"/>
  </r>
  <r>
    <s v="K7-10681"/>
    <d v="2026-10-01T00:00:00"/>
    <s v="California"/>
    <s v="West"/>
    <s v="Retail Store"/>
    <s v="New"/>
    <s v="Dresses"/>
    <s v="Wrap Dress"/>
    <s v="Elena Vargas"/>
    <n v="5"/>
    <n v="118.76"/>
    <n v="0.05"/>
    <n v="564.11"/>
    <n v="593.80000000000007"/>
  </r>
  <r>
    <s v="K7-10682"/>
    <d v="2026-02-03T00:00:00"/>
    <s v="Connecticut"/>
    <s v="Northeast"/>
    <s v="Marketplace"/>
    <s v="Returning"/>
    <s v="Dresses"/>
    <s v="Wrap Dress"/>
    <s v="Grace Okafor"/>
    <n v="1"/>
    <n v="109.46"/>
    <n v="0.2"/>
    <n v="87.57"/>
    <n v="109.46"/>
  </r>
  <r>
    <s v="K7-10683"/>
    <d v="2026-03-30T00:00:00"/>
    <s v="New Jersey"/>
    <s v="Northeast"/>
    <s v="Marketplace"/>
    <s v="New"/>
    <s v="Footwear"/>
    <s v="Leather Boot"/>
    <s v="Elena Vargas"/>
    <n v="3"/>
    <n v="216.84"/>
    <n v="0.05"/>
    <n v="617.99"/>
    <n v="650.52"/>
  </r>
  <r>
    <s v="K7-10684"/>
    <d v="2026-11-22T00:00:00"/>
    <s v="North Carolina"/>
    <s v="South"/>
    <s v="Marketplace"/>
    <s v="Returning"/>
    <s v="Footwear"/>
    <s v="Canvas Sneaker"/>
    <s v="Ava Brooks"/>
    <n v="1"/>
    <n v="84.95"/>
    <n v="0"/>
    <n v="84.95"/>
    <n v="84.95"/>
  </r>
  <r>
    <s v="K7-10685"/>
    <d v="2026-10-15T00:00:00"/>
    <s v="Tennessee"/>
    <s v="South"/>
    <s v="Retail Store"/>
    <s v="Returning"/>
    <s v="Outerwear"/>
    <s v="Hooded Parka"/>
    <s v="Grace Okafor"/>
    <n v="1"/>
    <n v="225.14"/>
    <n v="0"/>
    <n v="225.14"/>
    <n v="225.14"/>
  </r>
  <r>
    <s v="K7-10686"/>
    <d v="2026-06-17T00:00:00"/>
    <s v="Texas"/>
    <s v="South"/>
    <s v="Retail Store"/>
    <s v="New"/>
    <s v="Footwear"/>
    <s v="Leather Boot"/>
    <s v="Grace Okafor"/>
    <n v="2"/>
    <n v="211.64"/>
    <n v="0"/>
    <n v="423.28"/>
    <n v="423.28"/>
  </r>
  <r>
    <s v="K7-10687"/>
    <d v="2026-01-19T00:00:00"/>
    <s v="Ohio"/>
    <s v="Midwest"/>
    <s v="Retail Store"/>
    <s v="Returning"/>
    <s v="Outerwear"/>
    <s v="Quilted Jacket"/>
    <s v="Elena Vargas"/>
    <n v="2"/>
    <n v="157.91"/>
    <n v="0"/>
    <n v="315.82"/>
    <n v="315.82"/>
  </r>
  <r>
    <s v="K7-10688"/>
    <d v="2026-12-07T00:00:00"/>
    <s v="California"/>
    <s v="West"/>
    <s v="Online"/>
    <s v="New"/>
    <s v="Bottoms"/>
    <s v="Straight Jeans"/>
    <s v="Priya Nair"/>
    <n v="2"/>
    <n v="91.79"/>
    <n v="0.15"/>
    <n v="156.04"/>
    <n v="183.58"/>
  </r>
  <r>
    <s v="K7-10689"/>
    <d v="2026-05-26T00:00:00"/>
    <s v="North Carolina"/>
    <s v="South"/>
    <s v="Retail Store"/>
    <s v="Returning"/>
    <s v="Accessories"/>
    <s v="Canvas Tote"/>
    <s v="Jonah Wright"/>
    <n v="1"/>
    <n v="36.43"/>
    <n v="0"/>
    <n v="36.43"/>
    <n v="36.43"/>
  </r>
  <r>
    <s v="K7-10690"/>
    <d v="2026-06-22T00:00:00"/>
    <s v="Colorado"/>
    <s v="West"/>
    <s v="Wholesale"/>
    <s v="New"/>
    <s v="Dresses"/>
    <s v="Linen Shirt Dress"/>
    <s v="Jonah Wright"/>
    <n v="4"/>
    <n v="123.96"/>
    <n v="0"/>
    <n v="495.84"/>
    <n v="495.84"/>
  </r>
  <r>
    <s v="K7-10691"/>
    <d v="2026-10-10T00:00:00"/>
    <s v="Texas"/>
    <s v="South"/>
    <s v="Marketplace"/>
    <s v="Returning"/>
    <s v="Accessories"/>
    <s v="Silk Scarf"/>
    <s v="Marcus Reed"/>
    <n v="1"/>
    <n v="63.62"/>
    <n v="0"/>
    <n v="63.62"/>
    <n v="63.62"/>
  </r>
  <r>
    <s v="K7-10692"/>
    <d v="2026-06-09T00:00:00"/>
    <s v="Ohio"/>
    <s v="Midwest"/>
    <s v="Marketplace"/>
    <s v="Returning"/>
    <s v="Footwear"/>
    <s v="Canvas Sneaker"/>
    <s v="Elena Vargas"/>
    <n v="4"/>
    <n v="83.48"/>
    <n v="0"/>
    <n v="333.92"/>
    <n v="333.92"/>
  </r>
  <r>
    <s v="K7-10693"/>
    <d v="2026-12-10T00:00:00"/>
    <s v="Colorado"/>
    <s v="West"/>
    <s v="Online"/>
    <s v="New"/>
    <s v="Bottoms"/>
    <s v="Slim Chino"/>
    <s v="Ava Brooks"/>
    <n v="5"/>
    <n v="78.37"/>
    <n v="0"/>
    <n v="391.85"/>
    <n v="391.85"/>
  </r>
  <r>
    <s v="K7-10694"/>
    <d v="2026-08-03T00:00:00"/>
    <s v="California"/>
    <s v="West"/>
    <s v="Retail Store"/>
    <s v="New"/>
    <s v="Dresses"/>
    <s v="Midi Slip Dress"/>
    <s v="Grace Okafor"/>
    <n v="8"/>
    <n v="96.92"/>
    <n v="0"/>
    <n v="775.36"/>
    <n v="775.36"/>
  </r>
  <r>
    <s v="K7-10695"/>
    <d v="2026-03-23T00:00:00"/>
    <s v="Georgia"/>
    <s v="South"/>
    <s v="Online"/>
    <s v="New"/>
    <s v="Bottoms"/>
    <s v="Tailored Short"/>
    <s v="Priya Nair"/>
    <n v="3"/>
    <n v="59.55"/>
    <n v="0"/>
    <n v="178.65"/>
    <n v="178.64999999999998"/>
  </r>
  <r>
    <s v="K7-10696"/>
    <d v="2026-09-25T00:00:00"/>
    <s v="Colorado"/>
    <s v="West"/>
    <s v="Online"/>
    <s v="Returning"/>
    <s v="Dresses"/>
    <s v="Linen Shirt Dress"/>
    <s v="Jonah Wright"/>
    <n v="1"/>
    <n v="133.85"/>
    <n v="0.1"/>
    <n v="120.47"/>
    <n v="133.85"/>
  </r>
  <r>
    <s v="K7-10697"/>
    <d v="2026-03-19T00:00:00"/>
    <s v="Michigan"/>
    <s v="Midwest"/>
    <s v="Marketplace"/>
    <s v="Returning"/>
    <s v="Outerwear"/>
    <s v="Denim Trucker"/>
    <s v="Noor Haddad"/>
    <n v="2"/>
    <n v="130.88999999999999"/>
    <n v="0.15"/>
    <n v="222.51"/>
    <n v="261.77999999999997"/>
  </r>
  <r>
    <s v="K7-10698"/>
    <d v="2026-09-13T00:00:00"/>
    <s v="South Carolina"/>
    <s v="South"/>
    <s v="Online"/>
    <s v="New"/>
    <s v="Outerwear"/>
    <s v="Quilted Jacket"/>
    <s v="Noor Haddad"/>
    <n v="8"/>
    <n v="177.32"/>
    <n v="0"/>
    <n v="1418.56"/>
    <n v="1418.56"/>
  </r>
  <r>
    <s v="K7-10699"/>
    <d v="2026-11-25T00:00:00"/>
    <s v="Texas"/>
    <s v="South"/>
    <s v="Online"/>
    <s v="Returning"/>
    <s v="Outerwear"/>
    <s v="Hooded Parka"/>
    <s v="Marcus Reed"/>
    <n v="1"/>
    <n v="249.83"/>
    <n v="0"/>
    <n v="249.83"/>
    <n v="249.83"/>
  </r>
  <r>
    <s v="K7-10700"/>
    <d v="2026-03-11T00:00:00"/>
    <s v="Arizona"/>
    <s v="West"/>
    <s v="Wholesale"/>
    <s v="New"/>
    <s v="Outerwear"/>
    <s v="Hooded Parka"/>
    <s v="Dylan Foster"/>
    <n v="3"/>
    <n v="234.48"/>
    <n v="0.1"/>
    <n v="633.1"/>
    <n v="703.43999999999994"/>
  </r>
  <r>
    <s v="K7-10701"/>
    <d v="2026-10-11T00:00:00"/>
    <s v="Missouri"/>
    <s v="Midwest"/>
    <s v="Online"/>
    <s v="New"/>
    <s v="Accessories"/>
    <s v="Canvas Tote"/>
    <s v="Dylan Foster"/>
    <n v="1"/>
    <n v="35.68"/>
    <n v="0.15"/>
    <n v="30.33"/>
    <n v="35.68"/>
  </r>
  <r>
    <s v="K7-10702"/>
    <d v="2026-03-05T00:00:00"/>
    <s v="Georgia"/>
    <s v="South"/>
    <s v="Retail Store"/>
    <s v="New"/>
    <s v="Outerwear"/>
    <s v="Denim Trucker"/>
    <s v="Dylan Foster"/>
    <n v="3"/>
    <n v="128.37"/>
    <n v="0"/>
    <n v="385.11"/>
    <n v="385.11"/>
  </r>
  <r>
    <s v="K7-10703"/>
    <d v="2026-07-22T00:00:00"/>
    <s v="Ohio"/>
    <s v="Midwest"/>
    <s v="Retail Store"/>
    <s v="Returning"/>
    <s v="Dresses"/>
    <s v="Wrap Dress"/>
    <s v="Grace Okafor"/>
    <n v="1"/>
    <n v="121.13"/>
    <n v="0"/>
    <n v="121.13"/>
    <n v="121.13"/>
  </r>
  <r>
    <s v="K7-10704"/>
    <d v="2026-07-22T00:00:00"/>
    <s v="Virginia"/>
    <s v="South"/>
    <s v="Retail Store"/>
    <s v="New"/>
    <s v="Dresses"/>
    <s v="Wrap Dress"/>
    <s v="Ava Brooks"/>
    <n v="5"/>
    <n v="118.49"/>
    <n v="0.05"/>
    <n v="562.83000000000004"/>
    <n v="592.44999999999993"/>
  </r>
  <r>
    <s v="K7-10705"/>
    <d v="2026-10-24T00:00:00"/>
    <s v="Florida"/>
    <s v="South"/>
    <s v="Marketplace"/>
    <s v="New"/>
    <s v="Bottoms"/>
    <s v="Straight Jeans"/>
    <s v="Ava Brooks"/>
    <n v="8"/>
    <n v="89.62"/>
    <n v="0.05"/>
    <n v="681.11"/>
    <n v="716.96"/>
  </r>
  <r>
    <s v="K7-10706"/>
    <d v="2026-10-10T00:00:00"/>
    <s v="Florida"/>
    <s v="South"/>
    <s v="Retail Store"/>
    <s v="Returning"/>
    <s v="Bottoms"/>
    <s v="Straight Jeans"/>
    <s v="Ava Brooks"/>
    <n v="3"/>
    <n v="95.23"/>
    <n v="0.05"/>
    <n v="271.41000000000003"/>
    <n v="285.69"/>
  </r>
  <r>
    <s v="K7-10707"/>
    <d v="2026-04-22T00:00:00"/>
    <s v="Nevada"/>
    <s v="West"/>
    <s v="Retail Store"/>
    <s v="Returning"/>
    <s v="Tops"/>
    <s v="Oxford Shirt"/>
    <s v="Jonah Wright"/>
    <n v="2"/>
    <n v="70.599999999999994"/>
    <n v="0"/>
    <n v="141.19999999999999"/>
    <n v="141.19999999999999"/>
  </r>
  <r>
    <s v="K7-10708"/>
    <d v="2026-10-27T00:00:00"/>
    <s v="Ohio"/>
    <s v="Midwest"/>
    <s v="Retail Store"/>
    <s v="New"/>
    <s v="Tops"/>
    <s v="Henley Long Sleeve"/>
    <s v="Noor Haddad"/>
    <n v="1"/>
    <n v="46.84"/>
    <n v="0"/>
    <n v="46.84"/>
    <n v="46.84"/>
  </r>
  <r>
    <s v="K7-10709"/>
    <d v="2026-04-19T00:00:00"/>
    <s v="Washington"/>
    <s v="West"/>
    <s v="Online"/>
    <s v="New"/>
    <s v="Tops"/>
    <s v="Classic Tee"/>
    <s v="Marcus Reed"/>
    <n v="3"/>
    <n v="31.8"/>
    <n v="0"/>
    <n v="95.4"/>
    <n v="95.4"/>
  </r>
  <r>
    <s v="K7-10710"/>
    <d v="2026-01-05T00:00:00"/>
    <s v="New York"/>
    <s v="Northeast"/>
    <s v="Online"/>
    <s v="New"/>
    <s v="Dresses"/>
    <s v="Wrap Dress"/>
    <s v="Dylan Foster"/>
    <n v="6"/>
    <n v="112.34"/>
    <n v="0"/>
    <n v="674.04"/>
    <n v="674.04"/>
  </r>
  <r>
    <s v="K7-10711"/>
    <d v="2026-07-01T00:00:00"/>
    <s v="California"/>
    <s v="West"/>
    <s v="Online"/>
    <s v="New"/>
    <s v="Footwear"/>
    <s v="Canvas Sneaker"/>
    <s v="Ava Brooks"/>
    <n v="1"/>
    <n v="95.18"/>
    <n v="0"/>
    <n v="95.18"/>
    <n v="95.18"/>
  </r>
  <r>
    <s v="K7-10712"/>
    <d v="2026-12-24T00:00:00"/>
    <s v="Texas"/>
    <s v="South"/>
    <s v="Online"/>
    <s v="New"/>
    <s v="Dresses"/>
    <s v="Wrap Dress"/>
    <s v="Grace Okafor"/>
    <n v="7"/>
    <n v="122.9"/>
    <n v="0"/>
    <n v="860.3"/>
    <n v="860.30000000000007"/>
  </r>
  <r>
    <s v="K7-10713"/>
    <d v="2026-02-12T00:00:00"/>
    <s v="New Jersey"/>
    <s v="Northeast"/>
    <s v="Retail Store"/>
    <s v="Returning"/>
    <s v="Outerwear"/>
    <s v="Wool Overcoat"/>
    <s v="Dylan Foster"/>
    <n v="8"/>
    <n v="314.39"/>
    <n v="0"/>
    <n v="2515.12"/>
    <n v="2515.12"/>
  </r>
  <r>
    <s v="K7-10714"/>
    <d v="2026-10-29T00:00:00"/>
    <s v="Illinois"/>
    <s v="Midwest"/>
    <s v="Marketplace"/>
    <s v="Returning"/>
    <s v="Outerwear"/>
    <s v="Denim Trucker"/>
    <s v="Ava Brooks"/>
    <n v="3"/>
    <n v="135.05000000000001"/>
    <n v="0"/>
    <n v="405.15"/>
    <n v="405.15000000000003"/>
  </r>
  <r>
    <s v="K7-10715"/>
    <d v="2026-03-07T00:00:00"/>
    <s v="Florida"/>
    <s v="South"/>
    <s v="Online"/>
    <s v="Returning"/>
    <s v="Dresses"/>
    <s v="Midi Slip Dress"/>
    <s v="Noor Haddad"/>
    <n v="6"/>
    <n v="94.37"/>
    <n v="0"/>
    <n v="566.22"/>
    <n v="566.22"/>
  </r>
  <r>
    <s v="K7-10716"/>
    <d v="2026-09-11T00:00:00"/>
    <s v="Missouri"/>
    <s v="Midwest"/>
    <s v="Retail Store"/>
    <s v="Returning"/>
    <s v="Bottoms"/>
    <s v="Tailored Short"/>
    <s v="Marcus Reed"/>
    <n v="1"/>
    <n v="53.46"/>
    <n v="0"/>
    <n v="53.46"/>
    <n v="53.46"/>
  </r>
  <r>
    <s v="K7-10717"/>
    <d v="2026-12-24T00:00:00"/>
    <s v="New York"/>
    <s v="Northeast"/>
    <s v="Retail Store"/>
    <s v="Returning"/>
    <s v="Footwear"/>
    <s v="Canvas Sneaker"/>
    <s v="Elena Vargas"/>
    <n v="3"/>
    <n v="92.63"/>
    <n v="0.1"/>
    <n v="250.1"/>
    <n v="277.89"/>
  </r>
  <r>
    <s v="K7-10718"/>
    <d v="2026-07-13T00:00:00"/>
    <s v="Michigan"/>
    <s v="Midwest"/>
    <s v="Retail Store"/>
    <s v="New"/>
    <s v="Tops"/>
    <s v="Oxford Shirt"/>
    <s v="Marcus Reed"/>
    <n v="1"/>
    <n v="68.17"/>
    <n v="0"/>
    <n v="68.17"/>
    <n v="68.17"/>
  </r>
  <r>
    <s v="K7-10719"/>
    <d v="2026-08-06T00:00:00"/>
    <s v="California"/>
    <s v="West"/>
    <s v="Online"/>
    <s v="Returning"/>
    <s v="Outerwear"/>
    <s v="Hooded Parka"/>
    <s v="Jonah Wright"/>
    <n v="2"/>
    <n v="232.3"/>
    <n v="0"/>
    <n v="464.6"/>
    <n v="464.6"/>
  </r>
  <r>
    <s v="K7-10720"/>
    <d v="2026-12-15T00:00:00"/>
    <s v="New York"/>
    <s v="Northeast"/>
    <s v="Marketplace"/>
    <s v="Returning"/>
    <s v="Footwear"/>
    <s v="Canvas Sneaker"/>
    <s v="Grace Okafor"/>
    <n v="1"/>
    <n v="91.11"/>
    <n v="0"/>
    <n v="91.11"/>
    <n v="91.11"/>
  </r>
  <r>
    <s v="K7-10721"/>
    <d v="2026-08-13T00:00:00"/>
    <s v="Virginia"/>
    <s v="South"/>
    <s v="Online"/>
    <s v="New"/>
    <s v="Tops"/>
    <s v="Oxford Shirt"/>
    <s v="Priya Nair"/>
    <n v="6"/>
    <n v="67.66"/>
    <n v="0.1"/>
    <n v="365.36"/>
    <n v="405.96"/>
  </r>
  <r>
    <s v="K7-10722"/>
    <d v="2026-09-26T00:00:00"/>
    <s v="Pennsylvania"/>
    <s v="Northeast"/>
    <s v="Retail Store"/>
    <s v="Returning"/>
    <s v="Outerwear"/>
    <s v="Wool Overcoat"/>
    <s v="Priya Nair"/>
    <n v="2"/>
    <n v="311.2"/>
    <n v="0"/>
    <n v="622.4"/>
    <n v="622.4"/>
  </r>
  <r>
    <s v="K7-10723"/>
    <d v="2026-05-09T00:00:00"/>
    <s v="Texas"/>
    <s v="South"/>
    <s v="Online"/>
    <s v="New"/>
    <s v="Accessories"/>
    <s v="Knit Beanie"/>
    <s v="Priya Nair"/>
    <n v="2"/>
    <n v="24.74"/>
    <n v="0"/>
    <n v="49.48"/>
    <n v="49.48"/>
  </r>
  <r>
    <s v="K7-10724"/>
    <d v="2026-08-28T00:00:00"/>
    <s v="New Jersey"/>
    <s v="Northeast"/>
    <s v="Wholesale"/>
    <s v="Returning"/>
    <s v="Footwear"/>
    <s v="Canvas Sneaker"/>
    <s v="Jonah Wright"/>
    <n v="3"/>
    <n v="84.66"/>
    <n v="0.2"/>
    <n v="203.18"/>
    <n v="253.98"/>
  </r>
  <r>
    <s v="K7-10725"/>
    <d v="2026-03-15T00:00:00"/>
    <s v="California"/>
    <s v="West"/>
    <s v="Retail Store"/>
    <s v="Returning"/>
    <s v="Footwear"/>
    <s v="Leather Boot"/>
    <s v="Noor Haddad"/>
    <n v="4"/>
    <n v="199.49"/>
    <n v="0"/>
    <n v="797.96"/>
    <n v="797.96"/>
  </r>
  <r>
    <s v="K7-10726"/>
    <d v="2026-01-15T00:00:00"/>
    <s v="Missouri"/>
    <s v="Midwest"/>
    <s v="Online"/>
    <s v="Returning"/>
    <s v="Bottoms"/>
    <s v="Straight Jeans"/>
    <s v="Ava Brooks"/>
    <n v="6"/>
    <n v="96.14"/>
    <n v="0"/>
    <n v="576.84"/>
    <n v="576.84"/>
  </r>
  <r>
    <s v="K7-10727"/>
    <d v="2026-10-13T00:00:00"/>
    <s v="Connecticut"/>
    <s v="Northeast"/>
    <s v="Retail Store"/>
    <s v="New"/>
    <s v="Footwear"/>
    <s v="Leather Boot"/>
    <s v="Noor Haddad"/>
    <n v="1"/>
    <n v="230.34"/>
    <n v="0.3"/>
    <n v="161.24"/>
    <n v="230.34"/>
  </r>
  <r>
    <s v="K7-10728"/>
    <d v="2026-10-29T00:00:00"/>
    <s v="California"/>
    <s v="West"/>
    <s v="Online"/>
    <s v="Returning"/>
    <s v="Footwear"/>
    <s v="Suede Loafer"/>
    <s v="Noor Haddad"/>
    <n v="6"/>
    <n v="155.19999999999999"/>
    <n v="0"/>
    <n v="931.2"/>
    <n v="931.19999999999993"/>
  </r>
  <r>
    <s v="K7-10729"/>
    <d v="2026-03-08T00:00:00"/>
    <s v="Georgia"/>
    <s v="South"/>
    <s v="Wholesale"/>
    <s v="Returning"/>
    <s v="Tops"/>
    <s v="Henley Long Sleeve"/>
    <s v="Noor Haddad"/>
    <n v="1"/>
    <n v="43.56"/>
    <n v="0"/>
    <n v="43.56"/>
    <n v="43.56"/>
  </r>
  <r>
    <s v="K7-10730"/>
    <d v="2026-11-10T00:00:00"/>
    <s v="Missouri"/>
    <s v="Midwest"/>
    <s v="Online"/>
    <s v="New"/>
    <s v="Outerwear"/>
    <s v="Denim Trucker"/>
    <s v="Jonah Wright"/>
    <n v="5"/>
    <n v="134.02000000000001"/>
    <n v="0"/>
    <n v="670.1"/>
    <n v="670.1"/>
  </r>
  <r>
    <s v="K7-10731"/>
    <d v="2026-04-20T00:00:00"/>
    <s v="Tennessee"/>
    <s v="South"/>
    <s v="Retail Store"/>
    <s v="New"/>
    <s v="Tops"/>
    <s v="Henley Long Sleeve"/>
    <s v="Dylan Foster"/>
    <n v="1"/>
    <n v="47.72"/>
    <n v="0.2"/>
    <n v="38.18"/>
    <n v="47.72"/>
  </r>
  <r>
    <s v="K7-10732"/>
    <d v="2026-07-08T00:00:00"/>
    <s v="California"/>
    <s v="West"/>
    <s v="Online"/>
    <s v="New"/>
    <s v="Dresses"/>
    <s v="Linen Shirt Dress"/>
    <s v="Dylan Foster"/>
    <n v="1"/>
    <n v="131.19999999999999"/>
    <n v="0"/>
    <n v="131.19999999999999"/>
    <n v="131.19999999999999"/>
  </r>
  <r>
    <s v="K7-10733"/>
    <d v="2026-07-09T00:00:00"/>
    <s v="New Jersey"/>
    <s v="Northeast"/>
    <s v="Retail Store"/>
    <s v="Returning"/>
    <s v="Footwear"/>
    <s v="Canvas Sneaker"/>
    <s v="Elena Vargas"/>
    <n v="1"/>
    <n v="82.59"/>
    <n v="0.2"/>
    <n v="66.069999999999993"/>
    <n v="82.59"/>
  </r>
  <r>
    <s v="K7-10734"/>
    <d v="2026-07-29T00:00:00"/>
    <s v="Connecticut"/>
    <s v="Northeast"/>
    <s v="Online"/>
    <s v="New"/>
    <s v="Tops"/>
    <s v="Oxford Shirt"/>
    <s v="Jonah Wright"/>
    <n v="1"/>
    <n v="63.1"/>
    <n v="0.1"/>
    <n v="56.79"/>
    <n v="63.1"/>
  </r>
  <r>
    <s v="K7-10735"/>
    <d v="2026-01-31T00:00:00"/>
    <s v="California"/>
    <s v="West"/>
    <s v="Wholesale"/>
    <s v="Returning"/>
    <s v="Bottoms"/>
    <s v="Tailored Short"/>
    <s v="Priya Nair"/>
    <n v="3"/>
    <n v="62.57"/>
    <n v="0"/>
    <n v="187.71"/>
    <n v="187.71"/>
  </r>
  <r>
    <s v="K7-10736"/>
    <d v="2026-10-11T00:00:00"/>
    <s v="Florida"/>
    <s v="South"/>
    <s v="Retail Store"/>
    <s v="Returning"/>
    <s v="Footwear"/>
    <s v="Suede Loafer"/>
    <s v="Priya Nair"/>
    <n v="3"/>
    <n v="151.54"/>
    <n v="0"/>
    <n v="454.62"/>
    <n v="454.62"/>
  </r>
  <r>
    <s v="K7-10737"/>
    <d v="2026-11-13T00:00:00"/>
    <s v="Texas"/>
    <s v="South"/>
    <s v="Retail Store"/>
    <s v="Returning"/>
    <s v="Dresses"/>
    <s v="Linen Shirt Dress"/>
    <s v="Jonah Wright"/>
    <n v="8"/>
    <n v="132.72999999999999"/>
    <n v="0"/>
    <n v="1061.8399999999999"/>
    <n v="1061.8399999999999"/>
  </r>
  <r>
    <s v="K7-10738"/>
    <d v="2026-04-15T00:00:00"/>
    <s v="Virginia"/>
    <s v="South"/>
    <s v="Marketplace"/>
    <s v="Returning"/>
    <s v="Tops"/>
    <s v="Henley Long Sleeve"/>
    <s v="Elena Vargas"/>
    <n v="2"/>
    <n v="47.69"/>
    <n v="0"/>
    <n v="95.38"/>
    <n v="95.38"/>
  </r>
  <r>
    <s v="K7-10739"/>
    <d v="2026-03-25T00:00:00"/>
    <s v="Georgia"/>
    <s v="South"/>
    <s v="Online"/>
    <s v="New"/>
    <s v="Outerwear"/>
    <s v="Hooded Parka"/>
    <s v="Grace Okafor"/>
    <n v="1"/>
    <n v="257.70999999999998"/>
    <n v="0.15"/>
    <n v="219.05"/>
    <n v="257.70999999999998"/>
  </r>
  <r>
    <s v="K7-10740"/>
    <d v="2026-10-07T00:00:00"/>
    <s v="Florida"/>
    <s v="South"/>
    <s v="Retail Store"/>
    <s v="New"/>
    <s v="Footwear"/>
    <s v="Canvas Sneaker"/>
    <s v="Grace Okafor"/>
    <n v="2"/>
    <n v="86.93"/>
    <n v="0"/>
    <n v="173.86"/>
    <n v="173.86"/>
  </r>
  <r>
    <s v="K7-10741"/>
    <d v="2026-10-09T00:00:00"/>
    <s v="California"/>
    <s v="West"/>
    <s v="Retail Store"/>
    <s v="Returning"/>
    <s v="Tops"/>
    <s v="Oxford Shirt"/>
    <s v="Jonah Wright"/>
    <n v="3"/>
    <n v="68.19"/>
    <n v="0"/>
    <n v="204.57"/>
    <n v="204.57"/>
  </r>
  <r>
    <s v="K7-10742"/>
    <d v="2026-08-03T00:00:00"/>
    <s v="Arizona"/>
    <s v="West"/>
    <s v="Online"/>
    <s v="Returning"/>
    <s v="Outerwear"/>
    <s v="Denim Trucker"/>
    <s v="Elena Vargas"/>
    <n v="10"/>
    <n v="123.18"/>
    <n v="0"/>
    <n v="1231.8"/>
    <n v="1231.8000000000002"/>
  </r>
  <r>
    <s v="K7-10743"/>
    <d v="2026-09-16T00:00:00"/>
    <s v="Maryland"/>
    <s v="South"/>
    <s v="Online"/>
    <s v="New"/>
    <s v="Tops"/>
    <s v="Oxford Shirt"/>
    <s v="Elena Vargas"/>
    <n v="1"/>
    <n v="68.52"/>
    <n v="0.15"/>
    <n v="58.24"/>
    <n v="68.52"/>
  </r>
  <r>
    <s v="K7-10744"/>
    <d v="2026-06-07T00:00:00"/>
    <s v="Massachusetts"/>
    <s v="Northeast"/>
    <s v="Retail Store"/>
    <s v="New"/>
    <s v="Footwear"/>
    <s v="Canvas Sneaker"/>
    <s v="Priya Nair"/>
    <n v="3"/>
    <n v="85.24"/>
    <n v="0.2"/>
    <n v="204.58"/>
    <n v="255.71999999999997"/>
  </r>
  <r>
    <s v="K7-10745"/>
    <d v="2026-11-22T00:00:00"/>
    <s v="Missouri"/>
    <s v="Midwest"/>
    <s v="Online"/>
    <s v="Returning"/>
    <s v="Accessories"/>
    <s v="Canvas Tote"/>
    <s v="Grace Okafor"/>
    <n v="2"/>
    <n v="39.909999999999997"/>
    <n v="0"/>
    <n v="79.819999999999993"/>
    <n v="79.819999999999993"/>
  </r>
  <r>
    <s v="K7-10746"/>
    <d v="2026-08-02T00:00:00"/>
    <s v="Massachusetts"/>
    <s v="Northeast"/>
    <s v="Retail Store"/>
    <s v="New"/>
    <s v="Dresses"/>
    <s v="Midi Slip Dress"/>
    <s v="Grace Okafor"/>
    <n v="4"/>
    <n v="95.94"/>
    <n v="0.15"/>
    <n v="326.2"/>
    <n v="383.76"/>
  </r>
  <r>
    <s v="K7-10747"/>
    <d v="2026-10-24T00:00:00"/>
    <s v="Florida"/>
    <s v="South"/>
    <s v="Retail Store"/>
    <s v="Returning"/>
    <s v="Dresses"/>
    <s v="Midi Slip Dress"/>
    <s v="Marcus Reed"/>
    <n v="4"/>
    <n v="99.93"/>
    <n v="0"/>
    <n v="399.72"/>
    <n v="399.72"/>
  </r>
  <r>
    <s v="K7-10748"/>
    <d v="2026-07-29T00:00:00"/>
    <s v="Texas"/>
    <s v="South"/>
    <s v="Wholesale"/>
    <s v="Returning"/>
    <s v="Accessories"/>
    <s v="Leather Belt"/>
    <s v="Dylan Foster"/>
    <n v="2"/>
    <n v="45.78"/>
    <n v="0"/>
    <n v="91.56"/>
    <n v="91.56"/>
  </r>
  <r>
    <s v="K7-10749"/>
    <d v="2026-07-03T00:00:00"/>
    <s v="Massachusetts"/>
    <s v="Northeast"/>
    <s v="Online"/>
    <s v="Returning"/>
    <s v="Outerwear"/>
    <s v="Wool Overcoat"/>
    <s v="Ava Brooks"/>
    <n v="1"/>
    <n v="310.61"/>
    <n v="0"/>
    <n v="310.61"/>
    <n v="310.61"/>
  </r>
  <r>
    <s v="K7-10750"/>
    <d v="2026-01-11T00:00:00"/>
    <s v="Texas"/>
    <s v="South"/>
    <s v="Online"/>
    <s v="New"/>
    <s v="Dresses"/>
    <s v="Linen Shirt Dress"/>
    <s v="Ava Brooks"/>
    <n v="11"/>
    <n v="141.04"/>
    <n v="0.05"/>
    <n v="1473.87"/>
    <n v="1551.4399999999998"/>
  </r>
  <r>
    <s v="K7-10751"/>
    <d v="2026-04-27T00:00:00"/>
    <s v="Texas"/>
    <s v="South"/>
    <s v="Wholesale"/>
    <s v="Returning"/>
    <s v="Outerwear"/>
    <s v="Hooded Parka"/>
    <s v="Dylan Foster"/>
    <n v="16"/>
    <n v="222.61"/>
    <n v="0.3"/>
    <n v="2493.23"/>
    <n v="3561.76"/>
  </r>
  <r>
    <s v="K7-10752"/>
    <d v="2026-10-28T00:00:00"/>
    <s v="Arizona"/>
    <s v="West"/>
    <s v="Retail Store"/>
    <s v="New"/>
    <s v="Outerwear"/>
    <s v="Wool Overcoat"/>
    <s v="Grace Okafor"/>
    <n v="3"/>
    <n v="292.98"/>
    <n v="0"/>
    <n v="878.94"/>
    <n v="878.94"/>
  </r>
  <r>
    <s v="K7-10753"/>
    <d v="2026-07-26T00:00:00"/>
    <s v="Ohio"/>
    <s v="Midwest"/>
    <s v="Marketplace"/>
    <s v="Returning"/>
    <s v="Tops"/>
    <s v="Classic Tee"/>
    <s v="Dylan Foster"/>
    <n v="1"/>
    <n v="30.3"/>
    <n v="0.1"/>
    <n v="27.27"/>
    <n v="30.3"/>
  </r>
  <r>
    <s v="K7-10754"/>
    <d v="2026-03-13T00:00:00"/>
    <s v="Illinois"/>
    <s v="Midwest"/>
    <s v="Online"/>
    <s v="Returning"/>
    <s v="Footwear"/>
    <s v="Leather Boot"/>
    <s v="Elena Vargas"/>
    <n v="1"/>
    <n v="230.8"/>
    <n v="0"/>
    <n v="230.8"/>
    <n v="230.8"/>
  </r>
  <r>
    <s v="K7-10755"/>
    <d v="2026-11-26T00:00:00"/>
    <s v="Michigan"/>
    <s v="Midwest"/>
    <s v="Retail Store"/>
    <s v="New"/>
    <s v="Bottoms"/>
    <s v="Slim Chino"/>
    <s v="Grace Okafor"/>
    <n v="2"/>
    <n v="78.319999999999993"/>
    <n v="0"/>
    <n v="156.63999999999999"/>
    <n v="156.63999999999999"/>
  </r>
  <r>
    <s v="K7-10756"/>
    <d v="2026-05-11T00:00:00"/>
    <s v="Texas"/>
    <s v="South"/>
    <s v="Wholesale"/>
    <s v="Returning"/>
    <s v="Tops"/>
    <s v="Classic Tee"/>
    <s v="Dylan Foster"/>
    <n v="5"/>
    <n v="30.98"/>
    <n v="0.05"/>
    <n v="147.16"/>
    <n v="154.9"/>
  </r>
  <r>
    <s v="K7-10757"/>
    <d v="2026-08-14T00:00:00"/>
    <s v="California"/>
    <s v="West"/>
    <s v="Online"/>
    <s v="New"/>
    <s v="Dresses"/>
    <s v="Linen Shirt Dress"/>
    <s v="Ava Brooks"/>
    <n v="1"/>
    <n v="126.93"/>
    <n v="0.1"/>
    <n v="114.24"/>
    <n v="126.93"/>
  </r>
  <r>
    <s v="K7-10758"/>
    <d v="2026-02-06T00:00:00"/>
    <s v="Nevada"/>
    <s v="West"/>
    <s v="Online"/>
    <s v="Returning"/>
    <s v="Accessories"/>
    <s v="Leather Belt"/>
    <s v="Priya Nair"/>
    <n v="4"/>
    <n v="47.69"/>
    <n v="0"/>
    <n v="190.76"/>
    <n v="190.76"/>
  </r>
  <r>
    <s v="K7-10759"/>
    <d v="2026-04-03T00:00:00"/>
    <s v="New Jersey"/>
    <s v="Northeast"/>
    <s v="Retail Store"/>
    <s v="New"/>
    <s v="Bottoms"/>
    <s v="Slim Chino"/>
    <s v="Noor Haddad"/>
    <n v="9"/>
    <n v="75.099999999999994"/>
    <n v="0"/>
    <n v="675.9"/>
    <n v="675.9"/>
  </r>
  <r>
    <s v="K7-10760"/>
    <d v="2026-03-04T00:00:00"/>
    <s v="California"/>
    <s v="West"/>
    <s v="Online"/>
    <s v="New"/>
    <s v="Bottoms"/>
    <s v="Slim Chino"/>
    <s v="Grace Okafor"/>
    <n v="1"/>
    <n v="73.67"/>
    <n v="0"/>
    <n v="73.67"/>
    <n v="73.67"/>
  </r>
  <r>
    <s v="K7-10761"/>
    <d v="2026-08-25T00:00:00"/>
    <s v="Texas"/>
    <s v="South"/>
    <s v="Marketplace"/>
    <s v="Returning"/>
    <s v="Footwear"/>
    <s v="Suede Loafer"/>
    <s v="Marcus Reed"/>
    <n v="5"/>
    <n v="154.62"/>
    <n v="0"/>
    <n v="773.1"/>
    <n v="773.1"/>
  </r>
  <r>
    <s v="K7-10762"/>
    <d v="2026-04-11T00:00:00"/>
    <s v="New York"/>
    <s v="Northeast"/>
    <s v="Retail Store"/>
    <s v="New"/>
    <s v="Bottoms"/>
    <s v="Straight Jeans"/>
    <s v="Dylan Foster"/>
    <n v="2"/>
    <n v="94.82"/>
    <n v="0"/>
    <n v="189.64"/>
    <n v="189.64"/>
  </r>
  <r>
    <s v="K7-10763"/>
    <d v="2026-02-28T00:00:00"/>
    <s v="Ohio"/>
    <s v="Midwest"/>
    <s v="Online"/>
    <s v="Returning"/>
    <s v="Outerwear"/>
    <s v="Denim Trucker"/>
    <s v="Grace Okafor"/>
    <n v="8"/>
    <n v="137.94"/>
    <n v="0.15"/>
    <n v="937.99"/>
    <n v="1103.52"/>
  </r>
  <r>
    <s v="K7-10764"/>
    <d v="2026-02-13T00:00:00"/>
    <s v="Georgia"/>
    <s v="South"/>
    <s v="Online"/>
    <s v="New"/>
    <s v="Tops"/>
    <s v="Striped Polo"/>
    <s v="Jonah Wright"/>
    <n v="1"/>
    <n v="51.19"/>
    <n v="0.05"/>
    <n v="48.63"/>
    <n v="51.19"/>
  </r>
  <r>
    <s v="K7-10765"/>
    <d v="2026-08-19T00:00:00"/>
    <s v="New Jersey"/>
    <s v="Northeast"/>
    <s v="Retail Store"/>
    <s v="New"/>
    <s v="Dresses"/>
    <s v="Wrap Dress"/>
    <s v="Marcus Reed"/>
    <n v="3"/>
    <n v="120.51"/>
    <n v="0.05"/>
    <n v="343.45"/>
    <n v="361.53000000000003"/>
  </r>
  <r>
    <s v="K7-10766"/>
    <d v="2026-10-01T00:00:00"/>
    <s v="California"/>
    <s v="West"/>
    <s v="Marketplace"/>
    <s v="New"/>
    <s v="Footwear"/>
    <s v="Suede Loafer"/>
    <s v="Priya Nair"/>
    <n v="8"/>
    <n v="157.16"/>
    <n v="0"/>
    <n v="1257.28"/>
    <n v="1257.28"/>
  </r>
  <r>
    <s v="K7-10767"/>
    <d v="2026-05-27T00:00:00"/>
    <s v="Florida"/>
    <s v="South"/>
    <s v="Online"/>
    <s v="New"/>
    <s v="Footwear"/>
    <s v="Leather Boot"/>
    <s v="Noor Haddad"/>
    <n v="4"/>
    <n v="199.11"/>
    <n v="0"/>
    <n v="796.44"/>
    <n v="796.44"/>
  </r>
  <r>
    <s v="K7-10768"/>
    <d v="2026-05-02T00:00:00"/>
    <s v="New York"/>
    <s v="Northeast"/>
    <s v="Online"/>
    <s v="Returning"/>
    <s v="Bottoms"/>
    <s v="Straight Jeans"/>
    <s v="Grace Okafor"/>
    <n v="2"/>
    <n v="98.22"/>
    <n v="0.2"/>
    <n v="157.15"/>
    <n v="196.44"/>
  </r>
  <r>
    <s v="K7-10769"/>
    <d v="2026-03-13T00:00:00"/>
    <s v="Minnesota"/>
    <s v="Midwest"/>
    <s v="Wholesale"/>
    <s v="Returning"/>
    <s v="Footwear"/>
    <s v="Canvas Sneaker"/>
    <s v="Priya Nair"/>
    <n v="4"/>
    <n v="93.57"/>
    <n v="0.15"/>
    <n v="318.14"/>
    <n v="374.28"/>
  </r>
  <r>
    <s v="K7-10770"/>
    <d v="2026-05-14T00:00:00"/>
    <s v="Tennessee"/>
    <s v="South"/>
    <s v="Marketplace"/>
    <s v="Returning"/>
    <s v="Bottoms"/>
    <s v="Cargo Pant"/>
    <s v="Jonah Wright"/>
    <n v="8"/>
    <n v="78.78"/>
    <n v="0.05"/>
    <n v="598.73"/>
    <n v="630.24"/>
  </r>
  <r>
    <s v="K7-10771"/>
    <d v="2026-07-27T00:00:00"/>
    <s v="California"/>
    <s v="West"/>
    <s v="Retail Store"/>
    <s v="Returning"/>
    <s v="Footwear"/>
    <s v="Canvas Sneaker"/>
    <s v="Elena Vargas"/>
    <n v="4"/>
    <n v="95.06"/>
    <n v="0"/>
    <n v="380.24"/>
    <n v="380.24"/>
  </r>
  <r>
    <s v="K7-10772"/>
    <d v="2026-03-22T00:00:00"/>
    <s v="Michigan"/>
    <s v="Midwest"/>
    <s v="Online"/>
    <s v="Returning"/>
    <s v="Footwear"/>
    <s v="Suede Loafer"/>
    <s v="Marcus Reed"/>
    <n v="1"/>
    <n v="161.09"/>
    <n v="0.15"/>
    <n v="136.93"/>
    <n v="161.09"/>
  </r>
  <r>
    <s v="K7-10773"/>
    <d v="2026-05-19T00:00:00"/>
    <s v="Connecticut"/>
    <s v="Northeast"/>
    <s v="Retail Store"/>
    <s v="New"/>
    <s v="Tops"/>
    <s v="Henley Long Sleeve"/>
    <s v="Grace Okafor"/>
    <n v="3"/>
    <n v="43.96"/>
    <n v="0.05"/>
    <n v="125.29"/>
    <n v="131.88"/>
  </r>
  <r>
    <s v="K7-10774"/>
    <d v="2026-07-17T00:00:00"/>
    <s v="Missouri"/>
    <s v="Midwest"/>
    <s v="Retail Store"/>
    <s v="New"/>
    <s v="Footwear"/>
    <s v="Leather Boot"/>
    <s v="Elena Vargas"/>
    <n v="1"/>
    <n v="201.71"/>
    <n v="0"/>
    <n v="201.71"/>
    <n v="201.71"/>
  </r>
  <r>
    <s v="K7-10775"/>
    <d v="2026-10-07T00:00:00"/>
    <s v="Missouri"/>
    <s v="Midwest"/>
    <s v="Wholesale"/>
    <s v="Returning"/>
    <s v="Bottoms"/>
    <s v="Straight Jeans"/>
    <s v="Marcus Reed"/>
    <n v="1"/>
    <n v="86.98"/>
    <n v="0"/>
    <n v="86.98"/>
    <n v="86.98"/>
  </r>
  <r>
    <s v="K7-10776"/>
    <d v="2026-05-01T00:00:00"/>
    <s v="Missouri"/>
    <s v="Midwest"/>
    <s v="Retail Store"/>
    <s v="Returning"/>
    <s v="Dresses"/>
    <s v="Wrap Dress"/>
    <s v="Priya Nair"/>
    <n v="3"/>
    <n v="119.55"/>
    <n v="0.2"/>
    <n v="286.92"/>
    <n v="358.65"/>
  </r>
  <r>
    <s v="K7-10777"/>
    <d v="2026-10-05T00:00:00"/>
    <s v="Missouri"/>
    <s v="Midwest"/>
    <s v="Retail Store"/>
    <s v="Returning"/>
    <s v="Accessories"/>
    <s v="Knit Beanie"/>
    <s v="Priya Nair"/>
    <n v="1"/>
    <n v="27.31"/>
    <n v="0.05"/>
    <n v="25.94"/>
    <n v="27.31"/>
  </r>
  <r>
    <s v="K7-10778"/>
    <d v="2026-07-15T00:00:00"/>
    <s v="Connecticut"/>
    <s v="Northeast"/>
    <s v="Online"/>
    <s v="New"/>
    <s v="Bottoms"/>
    <s v="Straight Jeans"/>
    <s v="Ava Brooks"/>
    <n v="1"/>
    <n v="93.23"/>
    <n v="0"/>
    <n v="93.23"/>
    <n v="93.23"/>
  </r>
  <r>
    <s v="K7-10779"/>
    <d v="2026-07-17T00:00:00"/>
    <s v="Massachusetts"/>
    <s v="Northeast"/>
    <s v="Marketplace"/>
    <s v="New"/>
    <s v="Bottoms"/>
    <s v="Tailored Short"/>
    <s v="Priya Nair"/>
    <n v="5"/>
    <n v="58.95"/>
    <n v="0"/>
    <n v="294.75"/>
    <n v="294.75"/>
  </r>
  <r>
    <s v="K7-10780"/>
    <d v="2026-04-19T00:00:00"/>
    <s v="New York"/>
    <s v="Northeast"/>
    <s v="Retail Store"/>
    <s v="New"/>
    <s v="Tops"/>
    <s v="Henley Long Sleeve"/>
    <s v="Dylan Foster"/>
    <n v="3"/>
    <n v="45.14"/>
    <n v="0"/>
    <n v="135.41999999999999"/>
    <n v="135.42000000000002"/>
  </r>
  <r>
    <s v="K7-10781"/>
    <d v="2026-08-18T00:00:00"/>
    <s v="Ohio"/>
    <s v="Midwest"/>
    <s v="Online"/>
    <s v="Returning"/>
    <s v="Footwear"/>
    <s v="Suede Loafer"/>
    <s v="Noor Haddad"/>
    <n v="4"/>
    <n v="168.86"/>
    <n v="0.2"/>
    <n v="540.35"/>
    <n v="675.44"/>
  </r>
  <r>
    <s v="K7-10782"/>
    <d v="2026-04-18T00:00:00"/>
    <s v="California"/>
    <s v="West"/>
    <s v="Retail Store"/>
    <s v="Returning"/>
    <s v="Tops"/>
    <s v="Classic Tee"/>
    <s v="Grace Okafor"/>
    <n v="9"/>
    <n v="29.55"/>
    <n v="0"/>
    <n v="265.95"/>
    <n v="265.95"/>
  </r>
  <r>
    <s v="K7-10783"/>
    <d v="2026-01-11T00:00:00"/>
    <s v="Florida"/>
    <s v="South"/>
    <s v="Online"/>
    <s v="Returning"/>
    <s v="Footwear"/>
    <s v="Leather Boot"/>
    <s v="Noor Haddad"/>
    <n v="3"/>
    <n v="211.42"/>
    <n v="0.05"/>
    <n v="602.54999999999995"/>
    <n v="634.26"/>
  </r>
  <r>
    <s v="K7-10784"/>
    <d v="2026-05-20T00:00:00"/>
    <s v="Oregon"/>
    <s v="West"/>
    <s v="Retail Store"/>
    <s v="Returning"/>
    <s v="Tops"/>
    <s v="Henley Long Sleeve"/>
    <s v="Ava Brooks"/>
    <n v="5"/>
    <n v="47.42"/>
    <n v="0.2"/>
    <n v="189.68"/>
    <n v="237.10000000000002"/>
  </r>
  <r>
    <s v="K7-10785"/>
    <d v="2026-06-06T00:00:00"/>
    <s v="New Jersey"/>
    <s v="Northeast"/>
    <s v="Marketplace"/>
    <s v="New"/>
    <s v="Accessories"/>
    <s v="Canvas Tote"/>
    <s v="Elena Vargas"/>
    <n v="2"/>
    <n v="36.520000000000003"/>
    <n v="0"/>
    <n v="73.040000000000006"/>
    <n v="73.040000000000006"/>
  </r>
  <r>
    <s v="K7-10786"/>
    <d v="2026-11-08T00:00:00"/>
    <s v="Colorado"/>
    <s v="West"/>
    <s v="Wholesale"/>
    <s v="New"/>
    <s v="Dresses"/>
    <s v="Wrap Dress"/>
    <s v="Marcus Reed"/>
    <n v="1"/>
    <n v="115.41"/>
    <n v="0"/>
    <n v="115.41"/>
    <n v="115.41"/>
  </r>
  <r>
    <s v="K7-10787"/>
    <d v="2026-01-21T00:00:00"/>
    <s v="California"/>
    <s v="West"/>
    <s v="Online"/>
    <s v="Returning"/>
    <s v="Bottoms"/>
    <s v="Slim Chino"/>
    <s v="Priya Nair"/>
    <n v="2"/>
    <n v="80.37"/>
    <n v="0"/>
    <n v="160.74"/>
    <n v="160.74"/>
  </r>
  <r>
    <s v="K7-10788"/>
    <d v="2026-06-05T00:00:00"/>
    <s v="Illinois"/>
    <s v="Midwest"/>
    <s v="Online"/>
    <s v="New"/>
    <s v="Outerwear"/>
    <s v="Denim Trucker"/>
    <s v="Priya Nair"/>
    <n v="2"/>
    <n v="122.59"/>
    <n v="0"/>
    <n v="245.18"/>
    <n v="245.18"/>
  </r>
  <r>
    <s v="K7-10789"/>
    <d v="2026-06-28T00:00:00"/>
    <s v="Missouri"/>
    <s v="Midwest"/>
    <s v="Marketplace"/>
    <s v="New"/>
    <s v="Accessories"/>
    <s v="Canvas Tote"/>
    <s v="Marcus Reed"/>
    <n v="1"/>
    <n v="35.83"/>
    <n v="0"/>
    <n v="35.83"/>
    <n v="35.83"/>
  </r>
  <r>
    <s v="K7-10790"/>
    <d v="2026-08-25T00:00:00"/>
    <s v="Virginia"/>
    <s v="South"/>
    <s v="Wholesale"/>
    <s v="New"/>
    <s v="Footwear"/>
    <s v="Suede Loafer"/>
    <s v="Elena Vargas"/>
    <n v="2"/>
    <n v="147.41"/>
    <n v="0"/>
    <n v="294.82"/>
    <n v="294.82"/>
  </r>
  <r>
    <s v="K7-10791"/>
    <d v="2026-05-06T00:00:00"/>
    <s v="Pennsylvania"/>
    <s v="Northeast"/>
    <s v="Marketplace"/>
    <s v="Returning"/>
    <s v="Tops"/>
    <s v="Henley Long Sleeve"/>
    <s v="Marcus Reed"/>
    <n v="8"/>
    <n v="46.06"/>
    <n v="0"/>
    <n v="368.48"/>
    <n v="368.48"/>
  </r>
  <r>
    <s v="K7-10792"/>
    <d v="2026-03-06T00:00:00"/>
    <s v="California"/>
    <s v="West"/>
    <s v="Online"/>
    <s v="Returning"/>
    <s v="Tops"/>
    <s v="Oxford Shirt"/>
    <s v="Noor Haddad"/>
    <n v="2"/>
    <n v="62.76"/>
    <n v="0"/>
    <n v="125.52"/>
    <n v="125.52"/>
  </r>
  <r>
    <s v="K7-10793"/>
    <d v="2026-06-07T00:00:00"/>
    <s v="Texas"/>
    <s v="South"/>
    <s v="Retail Store"/>
    <s v="Returning"/>
    <s v="Bottoms"/>
    <s v="Tailored Short"/>
    <s v="Marcus Reed"/>
    <n v="7"/>
    <n v="57.6"/>
    <n v="0"/>
    <n v="403.2"/>
    <n v="403.2"/>
  </r>
  <r>
    <s v="K7-10794"/>
    <d v="2026-11-08T00:00:00"/>
    <s v="Florida"/>
    <s v="South"/>
    <s v="Online"/>
    <s v="New"/>
    <s v="Accessories"/>
    <s v="Knit Beanie"/>
    <s v="Elena Vargas"/>
    <n v="2"/>
    <n v="26.34"/>
    <n v="0.1"/>
    <n v="47.41"/>
    <n v="52.68"/>
  </r>
  <r>
    <s v="K7-10795"/>
    <d v="2026-12-16T00:00:00"/>
    <s v="North Carolina"/>
    <s v="South"/>
    <s v="Marketplace"/>
    <s v="New"/>
    <s v="Tops"/>
    <s v="Henley Long Sleeve"/>
    <s v="Dylan Foster"/>
    <n v="6"/>
    <n v="42.4"/>
    <n v="0"/>
    <n v="254.4"/>
    <n v="254.39999999999998"/>
  </r>
  <r>
    <s v="K7-10796"/>
    <d v="2026-02-20T00:00:00"/>
    <s v="Tennessee"/>
    <s v="South"/>
    <s v="Marketplace"/>
    <s v="Returning"/>
    <s v="Bottoms"/>
    <s v="Straight Jeans"/>
    <s v="Dylan Foster"/>
    <n v="6"/>
    <n v="91.11"/>
    <n v="0"/>
    <n v="546.66"/>
    <n v="546.66"/>
  </r>
  <r>
    <s v="K7-10797"/>
    <d v="2026-06-06T00:00:00"/>
    <s v="New York"/>
    <s v="Northeast"/>
    <s v="Online"/>
    <s v="Returning"/>
    <s v="Bottoms"/>
    <s v="Cargo Pant"/>
    <s v="Marcus Reed"/>
    <n v="2"/>
    <n v="89.08"/>
    <n v="0"/>
    <n v="178.16"/>
    <n v="178.16"/>
  </r>
  <r>
    <s v="K7-10798"/>
    <d v="2026-11-29T00:00:00"/>
    <s v="New York"/>
    <s v="Northeast"/>
    <s v="Wholesale"/>
    <s v="Returning"/>
    <s v="Dresses"/>
    <s v="Linen Shirt Dress"/>
    <s v="Noor Haddad"/>
    <n v="2"/>
    <n v="134.09"/>
    <n v="0"/>
    <n v="268.18"/>
    <n v="268.18"/>
  </r>
  <r>
    <s v="K7-10799"/>
    <d v="2026-06-21T00:00:00"/>
    <s v="Florida"/>
    <s v="South"/>
    <s v="Online"/>
    <s v="New"/>
    <s v="Dresses"/>
    <s v="Midi Slip Dress"/>
    <s v="Ava Brooks"/>
    <n v="7"/>
    <n v="101.54"/>
    <n v="0"/>
    <n v="710.78"/>
    <n v="710.78000000000009"/>
  </r>
  <r>
    <s v="K7-10800"/>
    <d v="2026-01-05T00:00:00"/>
    <s v="Virginia"/>
    <s v="South"/>
    <s v="Marketplace"/>
    <s v="New"/>
    <s v="Bottoms"/>
    <s v="Tailored Short"/>
    <s v="Priya Nair"/>
    <n v="1"/>
    <n v="61.62"/>
    <n v="0"/>
    <n v="61.62"/>
    <n v="61.62"/>
  </r>
  <r>
    <s v="K7-10801"/>
    <d v="2026-01-10T00:00:00"/>
    <s v="Florida"/>
    <s v="South"/>
    <s v="Online"/>
    <s v="Returning"/>
    <s v="Bottoms"/>
    <s v="Tailored Short"/>
    <s v="Ava Brooks"/>
    <n v="3"/>
    <n v="56.37"/>
    <n v="0.05"/>
    <n v="160.65"/>
    <n v="169.10999999999999"/>
  </r>
  <r>
    <s v="K7-10802"/>
    <d v="2026-09-04T00:00:00"/>
    <s v="Pennsylvania"/>
    <s v="Northeast"/>
    <s v="Online"/>
    <s v="Returning"/>
    <s v="Outerwear"/>
    <s v="Quilted Jacket"/>
    <s v="Marcus Reed"/>
    <n v="4"/>
    <n v="179.11"/>
    <n v="0"/>
    <n v="716.44"/>
    <n v="716.44"/>
  </r>
  <r>
    <s v="K7-10803"/>
    <d v="2026-08-06T00:00:00"/>
    <s v="California"/>
    <s v="West"/>
    <s v="Online"/>
    <s v="New"/>
    <s v="Tops"/>
    <s v="Oxford Shirt"/>
    <s v="Dylan Foster"/>
    <n v="6"/>
    <n v="70.87"/>
    <n v="0"/>
    <n v="425.22"/>
    <n v="425.22"/>
  </r>
  <r>
    <s v="K7-10804"/>
    <d v="2026-05-07T00:00:00"/>
    <s v="Washington"/>
    <s v="West"/>
    <s v="Marketplace"/>
    <s v="Returning"/>
    <s v="Bottoms"/>
    <s v="Slim Chino"/>
    <s v="Priya Nair"/>
    <n v="4"/>
    <n v="79.19"/>
    <n v="0.2"/>
    <n v="253.41"/>
    <n v="316.76"/>
  </r>
  <r>
    <s v="K7-10805"/>
    <d v="2026-09-07T00:00:00"/>
    <s v="New Jersey"/>
    <s v="Northeast"/>
    <s v="Retail Store"/>
    <s v="New"/>
    <s v="Tops"/>
    <s v="Oxford Shirt"/>
    <s v="Noor Haddad"/>
    <n v="5"/>
    <n v="67.42"/>
    <n v="0"/>
    <n v="337.1"/>
    <n v="337.1"/>
  </r>
  <r>
    <s v="K7-10806"/>
    <d v="2026-09-18T00:00:00"/>
    <s v="Illinois"/>
    <s v="Midwest"/>
    <s v="Online"/>
    <s v="Returning"/>
    <s v="Tops"/>
    <s v="Oxford Shirt"/>
    <s v="Elena Vargas"/>
    <n v="2"/>
    <n v="69.55"/>
    <n v="0.1"/>
    <n v="125.19"/>
    <n v="139.1"/>
  </r>
  <r>
    <s v="K7-10807"/>
    <d v="2026-10-22T00:00:00"/>
    <s v="Washington"/>
    <s v="West"/>
    <s v="Retail Store"/>
    <s v="Returning"/>
    <s v="Dresses"/>
    <s v="Midi Slip Dress"/>
    <s v="Noor Haddad"/>
    <n v="10"/>
    <n v="94.97"/>
    <n v="0.3"/>
    <n v="664.79"/>
    <n v="949.7"/>
  </r>
  <r>
    <s v="K7-10808"/>
    <d v="2026-05-07T00:00:00"/>
    <s v="Nevada"/>
    <s v="West"/>
    <s v="Retail Store"/>
    <s v="New"/>
    <s v="Bottoms"/>
    <s v="Tailored Short"/>
    <s v="Dylan Foster"/>
    <n v="2"/>
    <n v="58.56"/>
    <n v="0"/>
    <n v="117.12"/>
    <n v="117.12"/>
  </r>
  <r>
    <s v="K7-10809"/>
    <d v="2026-07-13T00:00:00"/>
    <s v="Georgia"/>
    <s v="South"/>
    <s v="Online"/>
    <s v="Returning"/>
    <s v="Outerwear"/>
    <s v="Quilted Jacket"/>
    <s v="Elena Vargas"/>
    <n v="5"/>
    <n v="167.32"/>
    <n v="0.15"/>
    <n v="711.11"/>
    <n v="836.59999999999991"/>
  </r>
  <r>
    <s v="K7-10810"/>
    <d v="2026-03-29T00:00:00"/>
    <s v="Colorado"/>
    <s v="West"/>
    <s v="Retail Store"/>
    <s v="Returning"/>
    <s v="Dresses"/>
    <s v="Midi Slip Dress"/>
    <s v="Jonah Wright"/>
    <n v="2"/>
    <n v="93.98"/>
    <n v="0"/>
    <n v="187.96"/>
    <n v="187.96"/>
  </r>
  <r>
    <s v="K7-10811"/>
    <d v="2026-12-16T00:00:00"/>
    <s v="Alabama"/>
    <s v="South"/>
    <s v="Online"/>
    <s v="Returning"/>
    <s v="Bottoms"/>
    <s v="Tailored Short"/>
    <s v="Dylan Foster"/>
    <n v="6"/>
    <n v="55.44"/>
    <n v="0.15"/>
    <n v="282.74"/>
    <n v="332.64"/>
  </r>
  <r>
    <s v="K7-10812"/>
    <d v="2026-06-14T00:00:00"/>
    <s v="Arizona"/>
    <s v="West"/>
    <s v="Wholesale"/>
    <s v="New"/>
    <s v="Bottoms"/>
    <s v="Straight Jeans"/>
    <s v="Jonah Wright"/>
    <n v="1"/>
    <n v="94.81"/>
    <n v="0"/>
    <n v="94.81"/>
    <n v="94.81"/>
  </r>
  <r>
    <s v="K7-10813"/>
    <d v="2026-11-16T00:00:00"/>
    <s v="Colorado"/>
    <s v="West"/>
    <s v="Retail Store"/>
    <s v="Returning"/>
    <s v="Outerwear"/>
    <s v="Denim Trucker"/>
    <s v="Grace Okafor"/>
    <n v="2"/>
    <n v="125.11"/>
    <n v="0.05"/>
    <n v="237.71"/>
    <n v="250.22"/>
  </r>
  <r>
    <s v="K7-10814"/>
    <d v="2026-04-18T00:00:00"/>
    <s v="North Carolina"/>
    <s v="South"/>
    <s v="Online"/>
    <s v="Returning"/>
    <s v="Bottoms"/>
    <s v="Cargo Pant"/>
    <s v="Marcus Reed"/>
    <n v="3"/>
    <n v="81.3"/>
    <n v="0"/>
    <n v="243.9"/>
    <n v="243.89999999999998"/>
  </r>
  <r>
    <s v="K7-10815"/>
    <d v="2026-11-05T00:00:00"/>
    <s v="Arizona"/>
    <s v="West"/>
    <s v="Marketplace"/>
    <s v="New"/>
    <s v="Tops"/>
    <s v="Classic Tee"/>
    <s v="Grace Okafor"/>
    <n v="6"/>
    <n v="34.07"/>
    <n v="0"/>
    <n v="204.42"/>
    <n v="204.42000000000002"/>
  </r>
  <r>
    <s v="K7-10816"/>
    <d v="2026-08-02T00:00:00"/>
    <s v="Pennsylvania"/>
    <s v="Northeast"/>
    <s v="Retail Store"/>
    <s v="Returning"/>
    <s v="Bottoms"/>
    <s v="Cargo Pant"/>
    <s v="Dylan Foster"/>
    <n v="6"/>
    <n v="82.37"/>
    <n v="0"/>
    <n v="494.22"/>
    <n v="494.22"/>
  </r>
  <r>
    <s v="K7-10817"/>
    <d v="2026-03-12T00:00:00"/>
    <s v="Tennessee"/>
    <s v="South"/>
    <s v="Online"/>
    <s v="Returning"/>
    <s v="Bottoms"/>
    <s v="Tailored Short"/>
    <s v="Noor Haddad"/>
    <n v="1"/>
    <n v="58.59"/>
    <n v="0.05"/>
    <n v="55.66"/>
    <n v="58.59"/>
  </r>
  <r>
    <s v="K7-10818"/>
    <d v="2026-05-03T00:00:00"/>
    <s v="Wisconsin"/>
    <s v="Midwest"/>
    <s v="Online"/>
    <s v="Returning"/>
    <s v="Bottoms"/>
    <s v="Slim Chino"/>
    <s v="Ava Brooks"/>
    <n v="4"/>
    <n v="76.39"/>
    <n v="0"/>
    <n v="305.56"/>
    <n v="305.56"/>
  </r>
  <r>
    <s v="K7-10819"/>
    <d v="2026-03-09T00:00:00"/>
    <s v="Tennessee"/>
    <s v="South"/>
    <s v="Retail Store"/>
    <s v="New"/>
    <s v="Outerwear"/>
    <s v="Denim Trucker"/>
    <s v="Elena Vargas"/>
    <n v="4"/>
    <n v="121.55"/>
    <n v="0"/>
    <n v="486.2"/>
    <n v="486.2"/>
  </r>
  <r>
    <s v="K7-10820"/>
    <d v="2026-11-01T00:00:00"/>
    <s v="Connecticut"/>
    <s v="Northeast"/>
    <s v="Retail Store"/>
    <s v="New"/>
    <s v="Dresses"/>
    <s v="Linen Shirt Dress"/>
    <s v="Elena Vargas"/>
    <n v="13"/>
    <n v="139.22999999999999"/>
    <n v="0"/>
    <n v="1809.99"/>
    <n v="1809.9899999999998"/>
  </r>
  <r>
    <s v="K7-10821"/>
    <d v="2026-06-01T00:00:00"/>
    <s v="Arizona"/>
    <s v="West"/>
    <s v="Retail Store"/>
    <s v="Returning"/>
    <s v="Footwear"/>
    <s v="Suede Loafer"/>
    <s v="Grace Okafor"/>
    <n v="1"/>
    <n v="154.15"/>
    <n v="0"/>
    <n v="154.15"/>
    <n v="154.15"/>
  </r>
  <r>
    <s v="K7-10822"/>
    <d v="2026-02-28T00:00:00"/>
    <s v="Wisconsin"/>
    <s v="Midwest"/>
    <s v="Retail Store"/>
    <s v="Returning"/>
    <s v="Tops"/>
    <s v="Henley Long Sleeve"/>
    <s v="Marcus Reed"/>
    <n v="3"/>
    <n v="45.69"/>
    <n v="0"/>
    <n v="137.07"/>
    <n v="137.07"/>
  </r>
  <r>
    <s v="K7-10823"/>
    <d v="2026-01-27T00:00:00"/>
    <s v="Minnesota"/>
    <s v="Midwest"/>
    <s v="Retail Store"/>
    <s v="Returning"/>
    <s v="Outerwear"/>
    <s v="Denim Trucker"/>
    <s v="Grace Okafor"/>
    <n v="1"/>
    <n v="138.15"/>
    <n v="0.05"/>
    <n v="131.24"/>
    <n v="138.15"/>
  </r>
  <r>
    <s v="K7-10824"/>
    <d v="2026-04-17T00:00:00"/>
    <s v="Tennessee"/>
    <s v="South"/>
    <s v="Retail Store"/>
    <s v="New"/>
    <s v="Tops"/>
    <s v="Striped Polo"/>
    <s v="Noor Haddad"/>
    <n v="2"/>
    <n v="57.04"/>
    <n v="0"/>
    <n v="114.08"/>
    <n v="114.08"/>
  </r>
  <r>
    <s v="K7-10825"/>
    <d v="2026-05-15T00:00:00"/>
    <s v="South Carolina"/>
    <s v="South"/>
    <s v="Wholesale"/>
    <s v="Returning"/>
    <s v="Dresses"/>
    <s v="Wrap Dress"/>
    <s v="Jonah Wright"/>
    <n v="3"/>
    <n v="111.94"/>
    <n v="0"/>
    <n v="335.82"/>
    <n v="335.82"/>
  </r>
  <r>
    <s v="K7-10826"/>
    <d v="2026-03-12T00:00:00"/>
    <s v="Minnesota"/>
    <s v="Midwest"/>
    <s v="Online"/>
    <s v="Returning"/>
    <s v="Outerwear"/>
    <s v="Hooded Parka"/>
    <s v="Dylan Foster"/>
    <n v="4"/>
    <n v="223.6"/>
    <n v="0"/>
    <n v="894.4"/>
    <n v="894.4"/>
  </r>
  <r>
    <s v="K7-10827"/>
    <d v="2026-01-19T00:00:00"/>
    <s v="Tennessee"/>
    <s v="South"/>
    <s v="Online"/>
    <s v="Returning"/>
    <s v="Footwear"/>
    <s v="Canvas Sneaker"/>
    <s v="Ava Brooks"/>
    <n v="1"/>
    <n v="85.19"/>
    <n v="0"/>
    <n v="85.19"/>
    <n v="85.19"/>
  </r>
  <r>
    <s v="K7-10828"/>
    <d v="2026-04-16T00:00:00"/>
    <s v="Illinois"/>
    <s v="Midwest"/>
    <s v="Retail Store"/>
    <s v="Returning"/>
    <s v="Tops"/>
    <s v="Striped Polo"/>
    <s v="Ava Brooks"/>
    <n v="3"/>
    <n v="57.21"/>
    <n v="0.3"/>
    <n v="120.14"/>
    <n v="171.63"/>
  </r>
  <r>
    <s v="K7-10829"/>
    <d v="2026-05-06T00:00:00"/>
    <s v="Louisiana"/>
    <s v="South"/>
    <s v="Retail Store"/>
    <s v="New"/>
    <s v="Outerwear"/>
    <s v="Wool Overcoat"/>
    <s v="Ava Brooks"/>
    <n v="2"/>
    <n v="308.62"/>
    <n v="0"/>
    <n v="617.24"/>
    <n v="617.24"/>
  </r>
  <r>
    <s v="K7-10830"/>
    <d v="2026-12-12T00:00:00"/>
    <s v="South Carolina"/>
    <s v="South"/>
    <s v="Retail Store"/>
    <s v="New"/>
    <s v="Footwear"/>
    <s v="Leather Boot"/>
    <s v="Priya Nair"/>
    <n v="2"/>
    <n v="229.52"/>
    <n v="0"/>
    <n v="459.04"/>
    <n v="459.04"/>
  </r>
  <r>
    <s v="K7-10831"/>
    <d v="2026-08-25T00:00:00"/>
    <s v="Florida"/>
    <s v="South"/>
    <s v="Wholesale"/>
    <s v="Returning"/>
    <s v="Tops"/>
    <s v="Henley Long Sleeve"/>
    <s v="Ava Brooks"/>
    <n v="3"/>
    <n v="46.89"/>
    <n v="0.05"/>
    <n v="133.63999999999999"/>
    <n v="140.67000000000002"/>
  </r>
  <r>
    <s v="K7-10832"/>
    <d v="2026-07-29T00:00:00"/>
    <s v="Utah"/>
    <s v="West"/>
    <s v="Online"/>
    <s v="Returning"/>
    <s v="Outerwear"/>
    <s v="Wool Overcoat"/>
    <s v="Priya Nair"/>
    <n v="9"/>
    <n v="282.16000000000003"/>
    <n v="0"/>
    <n v="2539.44"/>
    <n v="2539.44"/>
  </r>
  <r>
    <s v="K7-10833"/>
    <d v="2026-06-09T00:00:00"/>
    <s v="Florida"/>
    <s v="South"/>
    <s v="Marketplace"/>
    <s v="Returning"/>
    <s v="Footwear"/>
    <s v="Suede Loafer"/>
    <s v="Jonah Wright"/>
    <n v="13"/>
    <n v="171.18"/>
    <n v="0"/>
    <n v="2225.34"/>
    <n v="2225.34"/>
  </r>
  <r>
    <s v="K7-10834"/>
    <d v="2026-04-02T00:00:00"/>
    <s v="Arizona"/>
    <s v="West"/>
    <s v="Online"/>
    <s v="Returning"/>
    <s v="Footwear"/>
    <s v="Canvas Sneaker"/>
    <s v="Dylan Foster"/>
    <n v="5"/>
    <n v="83.5"/>
    <n v="0.15"/>
    <n v="354.88"/>
    <n v="417.5"/>
  </r>
  <r>
    <s v="K7-10835"/>
    <d v="2026-01-18T00:00:00"/>
    <s v="Maryland"/>
    <s v="South"/>
    <s v="Online"/>
    <s v="Returning"/>
    <s v="Footwear"/>
    <s v="Canvas Sneaker"/>
    <s v="Elena Vargas"/>
    <n v="1"/>
    <n v="94.21"/>
    <n v="0"/>
    <n v="94.21"/>
    <n v="94.21"/>
  </r>
  <r>
    <s v="K7-10836"/>
    <d v="2026-11-07T00:00:00"/>
    <s v="Illinois"/>
    <s v="Midwest"/>
    <s v="Retail Store"/>
    <s v="Returning"/>
    <s v="Bottoms"/>
    <s v="Slim Chino"/>
    <s v="Ava Brooks"/>
    <n v="1"/>
    <n v="80.38"/>
    <n v="0"/>
    <n v="80.38"/>
    <n v="80.38"/>
  </r>
  <r>
    <s v="K7-10837"/>
    <d v="2026-06-13T00:00:00"/>
    <s v="Illinois"/>
    <s v="Midwest"/>
    <s v="Online"/>
    <s v="New"/>
    <s v="Outerwear"/>
    <s v="Quilted Jacket"/>
    <s v="Marcus Reed"/>
    <n v="1"/>
    <n v="172.38"/>
    <n v="0.3"/>
    <n v="120.67"/>
    <n v="172.38"/>
  </r>
  <r>
    <s v="K7-10838"/>
    <d v="2026-11-24T00:00:00"/>
    <s v="Tennessee"/>
    <s v="South"/>
    <s v="Online"/>
    <s v="Returning"/>
    <s v="Outerwear"/>
    <s v="Quilted Jacket"/>
    <s v="Marcus Reed"/>
    <n v="5"/>
    <n v="161.13999999999999"/>
    <n v="0"/>
    <n v="805.7"/>
    <n v="805.69999999999993"/>
  </r>
  <r>
    <s v="K7-10839"/>
    <d v="2026-12-16T00:00:00"/>
    <s v="New York"/>
    <s v="Northeast"/>
    <s v="Online"/>
    <s v="New"/>
    <s v="Outerwear"/>
    <s v="Denim Trucker"/>
    <s v="Noor Haddad"/>
    <n v="1"/>
    <n v="131.04"/>
    <n v="0"/>
    <n v="131.04"/>
    <n v="131.04"/>
  </r>
  <r>
    <s v="K7-10840"/>
    <d v="2026-04-29T00:00:00"/>
    <s v="New York"/>
    <s v="Northeast"/>
    <s v="Retail Store"/>
    <s v="New"/>
    <s v="Bottoms"/>
    <s v="Tailored Short"/>
    <s v="Priya Nair"/>
    <n v="5"/>
    <n v="61.81"/>
    <n v="0.05"/>
    <n v="293.60000000000002"/>
    <n v="309.05"/>
  </r>
  <r>
    <s v="K7-10841"/>
    <d v="2026-01-15T00:00:00"/>
    <s v="California"/>
    <s v="West"/>
    <s v="Retail Store"/>
    <s v="Returning"/>
    <s v="Bottoms"/>
    <s v="Slim Chino"/>
    <s v="Grace Okafor"/>
    <n v="2"/>
    <n v="78.38"/>
    <n v="0"/>
    <n v="156.76"/>
    <n v="156.76"/>
  </r>
  <r>
    <s v="K7-10842"/>
    <d v="2026-03-20T00:00:00"/>
    <s v="Florida"/>
    <s v="South"/>
    <s v="Online"/>
    <s v="New"/>
    <s v="Dresses"/>
    <s v="Midi Slip Dress"/>
    <s v="Elena Vargas"/>
    <n v="3"/>
    <n v="100.1"/>
    <n v="0"/>
    <n v="300.3"/>
    <n v="300.29999999999995"/>
  </r>
  <r>
    <s v="K7-10843"/>
    <d v="2026-12-01T00:00:00"/>
    <s v="New Jersey"/>
    <s v="Northeast"/>
    <s v="Retail Store"/>
    <s v="Returning"/>
    <s v="Bottoms"/>
    <s v="Cargo Pant"/>
    <s v="Noor Haddad"/>
    <n v="1"/>
    <n v="79.11"/>
    <n v="0"/>
    <n v="79.11"/>
    <n v="79.11"/>
  </r>
  <r>
    <s v="K7-10844"/>
    <d v="2026-05-25T00:00:00"/>
    <s v="Missouri"/>
    <s v="Midwest"/>
    <s v="Online"/>
    <s v="Returning"/>
    <s v="Bottoms"/>
    <s v="Slim Chino"/>
    <s v="Marcus Reed"/>
    <n v="3"/>
    <n v="70.72"/>
    <n v="0.3"/>
    <n v="148.51"/>
    <n v="212.16"/>
  </r>
  <r>
    <s v="K7-10845"/>
    <d v="2026-10-24T00:00:00"/>
    <s v="Texas"/>
    <s v="South"/>
    <s v="Online"/>
    <s v="Returning"/>
    <s v="Footwear"/>
    <s v="Leather Boot"/>
    <s v="Priya Nair"/>
    <n v="3"/>
    <n v="215.3"/>
    <n v="0"/>
    <n v="645.9"/>
    <n v="645.90000000000009"/>
  </r>
  <r>
    <s v="K7-10846"/>
    <d v="2026-09-22T00:00:00"/>
    <s v="New York"/>
    <s v="Northeast"/>
    <s v="Online"/>
    <s v="New"/>
    <s v="Accessories"/>
    <s v="Leather Belt"/>
    <s v="Grace Okafor"/>
    <n v="1"/>
    <n v="44.85"/>
    <n v="0"/>
    <n v="44.85"/>
    <n v="44.85"/>
  </r>
  <r>
    <s v="K7-10847"/>
    <d v="2026-04-04T00:00:00"/>
    <s v="New York"/>
    <s v="Northeast"/>
    <s v="Online"/>
    <s v="Returning"/>
    <s v="Outerwear"/>
    <s v="Denim Trucker"/>
    <s v="Ava Brooks"/>
    <n v="1"/>
    <n v="138.19"/>
    <n v="0.1"/>
    <n v="124.37"/>
    <n v="138.19"/>
  </r>
  <r>
    <s v="K7-10848"/>
    <d v="2026-04-25T00:00:00"/>
    <s v="Texas"/>
    <s v="South"/>
    <s v="Marketplace"/>
    <s v="Returning"/>
    <s v="Bottoms"/>
    <s v="Cargo Pant"/>
    <s v="Noor Haddad"/>
    <n v="4"/>
    <n v="86.21"/>
    <n v="0.3"/>
    <n v="241.39"/>
    <n v="344.84"/>
  </r>
  <r>
    <s v="K7-10849"/>
    <d v="2026-12-19T00:00:00"/>
    <s v="California"/>
    <s v="West"/>
    <s v="Online"/>
    <s v="Returning"/>
    <s v="Accessories"/>
    <s v="Knit Beanie"/>
    <s v="Priya Nair"/>
    <n v="2"/>
    <n v="24"/>
    <n v="0.15"/>
    <n v="40.799999999999997"/>
    <n v="48"/>
  </r>
  <r>
    <s v="K7-10850"/>
    <d v="2026-08-18T00:00:00"/>
    <s v="Florida"/>
    <s v="South"/>
    <s v="Marketplace"/>
    <s v="Returning"/>
    <s v="Tops"/>
    <s v="Classic Tee"/>
    <s v="Elena Vargas"/>
    <n v="10"/>
    <n v="31.09"/>
    <n v="0"/>
    <n v="310.89999999999998"/>
    <n v="310.89999999999998"/>
  </r>
  <r>
    <s v="K7-10851"/>
    <d v="2026-09-26T00:00:00"/>
    <s v="Washington"/>
    <s v="West"/>
    <s v="Marketplace"/>
    <s v="Returning"/>
    <s v="Tops"/>
    <s v="Classic Tee"/>
    <s v="Priya Nair"/>
    <n v="3"/>
    <n v="34.21"/>
    <n v="0.15"/>
    <n v="87.24"/>
    <n v="102.63"/>
  </r>
  <r>
    <s v="K7-10852"/>
    <d v="2026-03-18T00:00:00"/>
    <s v="Virginia"/>
    <s v="South"/>
    <s v="Retail Store"/>
    <s v="New"/>
    <s v="Footwear"/>
    <s v="Suede Loafer"/>
    <s v="Ava Brooks"/>
    <n v="2"/>
    <n v="152.97"/>
    <n v="0"/>
    <n v="305.94"/>
    <n v="305.94"/>
  </r>
  <r>
    <s v="K7-10853"/>
    <d v="2026-06-06T00:00:00"/>
    <s v="Nevada"/>
    <s v="West"/>
    <s v="Online"/>
    <s v="Returning"/>
    <s v="Dresses"/>
    <s v="Midi Slip Dress"/>
    <s v="Priya Nair"/>
    <n v="9"/>
    <n v="103.32"/>
    <n v="0.3"/>
    <n v="650.91999999999996"/>
    <n v="929.87999999999988"/>
  </r>
  <r>
    <s v="K7-10854"/>
    <d v="2026-10-14T00:00:00"/>
    <s v="Arizona"/>
    <s v="West"/>
    <s v="Wholesale"/>
    <s v="Returning"/>
    <s v="Tops"/>
    <s v="Oxford Shirt"/>
    <s v="Marcus Reed"/>
    <n v="14"/>
    <n v="67.2"/>
    <n v="0"/>
    <n v="940.8"/>
    <n v="940.80000000000007"/>
  </r>
  <r>
    <s v="K7-10855"/>
    <d v="2026-02-09T00:00:00"/>
    <s v="Michigan"/>
    <s v="Midwest"/>
    <s v="Online"/>
    <s v="Returning"/>
    <s v="Bottoms"/>
    <s v="Straight Jeans"/>
    <s v="Grace Okafor"/>
    <n v="2"/>
    <n v="87.09"/>
    <n v="0"/>
    <n v="174.18"/>
    <n v="174.18"/>
  </r>
  <r>
    <s v="K7-10856"/>
    <d v="2026-11-13T00:00:00"/>
    <s v="Florida"/>
    <s v="South"/>
    <s v="Retail Store"/>
    <s v="New"/>
    <s v="Dresses"/>
    <s v="Midi Slip Dress"/>
    <s v="Marcus Reed"/>
    <n v="13"/>
    <n v="105.45"/>
    <n v="0.3"/>
    <n v="959.6"/>
    <n v="1370.8500000000001"/>
  </r>
  <r>
    <s v="K7-10857"/>
    <d v="2026-12-26T00:00:00"/>
    <s v="Florida"/>
    <s v="South"/>
    <s v="Online"/>
    <s v="Returning"/>
    <s v="Accessories"/>
    <s v="Leather Belt"/>
    <s v="Ava Brooks"/>
    <n v="1"/>
    <n v="47.63"/>
    <n v="0.2"/>
    <n v="38.1"/>
    <n v="47.63"/>
  </r>
  <r>
    <s v="K7-10858"/>
    <d v="2026-07-17T00:00:00"/>
    <s v="Ohio"/>
    <s v="Midwest"/>
    <s v="Marketplace"/>
    <s v="Returning"/>
    <s v="Outerwear"/>
    <s v="Hooded Parka"/>
    <s v="Ava Brooks"/>
    <n v="4"/>
    <n v="221.63"/>
    <n v="0"/>
    <n v="886.52"/>
    <n v="886.52"/>
  </r>
  <r>
    <s v="K7-10859"/>
    <d v="2026-09-05T00:00:00"/>
    <s v="Maryland"/>
    <s v="South"/>
    <s v="Retail Store"/>
    <s v="New"/>
    <s v="Outerwear"/>
    <s v="Quilted Jacket"/>
    <s v="Dylan Foster"/>
    <n v="4"/>
    <n v="179.89"/>
    <n v="0"/>
    <n v="719.56"/>
    <n v="719.56"/>
  </r>
  <r>
    <s v="K7-10860"/>
    <d v="2026-05-20T00:00:00"/>
    <s v="New York"/>
    <s v="Northeast"/>
    <s v="Online"/>
    <s v="New"/>
    <s v="Bottoms"/>
    <s v="Tailored Short"/>
    <s v="Elena Vargas"/>
    <n v="2"/>
    <n v="61.86"/>
    <n v="0"/>
    <n v="123.72"/>
    <n v="123.72"/>
  </r>
  <r>
    <s v="K7-10861"/>
    <d v="2026-04-15T00:00:00"/>
    <s v="Texas"/>
    <s v="South"/>
    <s v="Retail Store"/>
    <s v="Returning"/>
    <s v="Tops"/>
    <s v="Oxford Shirt"/>
    <s v="Marcus Reed"/>
    <n v="4"/>
    <n v="67.77"/>
    <n v="0.1"/>
    <n v="243.97"/>
    <n v="271.08"/>
  </r>
  <r>
    <s v="K7-10862"/>
    <d v="2026-06-17T00:00:00"/>
    <s v="Maryland"/>
    <s v="South"/>
    <s v="Marketplace"/>
    <s v="New"/>
    <s v="Tops"/>
    <s v="Striped Polo"/>
    <s v="Dylan Foster"/>
    <n v="1"/>
    <n v="52.47"/>
    <n v="0"/>
    <n v="52.47"/>
    <n v="52.47"/>
  </r>
  <r>
    <s v="K7-10863"/>
    <d v="2026-02-21T00:00:00"/>
    <s v="Massachusetts"/>
    <s v="Northeast"/>
    <s v="Retail Store"/>
    <s v="Returning"/>
    <s v="Bottoms"/>
    <s v="Straight Jeans"/>
    <s v="Grace Okafor"/>
    <n v="3"/>
    <n v="98.07"/>
    <n v="0"/>
    <n v="294.20999999999998"/>
    <n v="294.20999999999998"/>
  </r>
  <r>
    <s v="K7-10864"/>
    <d v="2026-04-24T00:00:00"/>
    <s v="Texas"/>
    <s v="South"/>
    <s v="Marketplace"/>
    <s v="Returning"/>
    <s v="Tops"/>
    <s v="Striped Polo"/>
    <s v="Noor Haddad"/>
    <n v="2"/>
    <n v="51.93"/>
    <n v="0.05"/>
    <n v="98.67"/>
    <n v="103.86"/>
  </r>
  <r>
    <s v="K7-10865"/>
    <d v="2026-11-12T00:00:00"/>
    <s v="Pennsylvania"/>
    <s v="Northeast"/>
    <s v="Retail Store"/>
    <s v="New"/>
    <s v="Bottoms"/>
    <s v="Cargo Pant"/>
    <s v="Elena Vargas"/>
    <n v="6"/>
    <n v="85.6"/>
    <n v="0"/>
    <n v="513.6"/>
    <n v="513.59999999999991"/>
  </r>
  <r>
    <s v="K7-10866"/>
    <d v="2026-09-10T00:00:00"/>
    <s v="Massachusetts"/>
    <s v="Northeast"/>
    <s v="Marketplace"/>
    <s v="New"/>
    <s v="Bottoms"/>
    <s v="Slim Chino"/>
    <s v="Jonah Wright"/>
    <n v="4"/>
    <n v="75.7"/>
    <n v="0"/>
    <n v="302.8"/>
    <n v="302.8"/>
  </r>
  <r>
    <s v="K7-10867"/>
    <d v="2026-11-29T00:00:00"/>
    <s v="Nevada"/>
    <s v="West"/>
    <s v="Retail Store"/>
    <s v="Returning"/>
    <s v="Tops"/>
    <s v="Striped Polo"/>
    <s v="Priya Nair"/>
    <n v="1"/>
    <n v="53.07"/>
    <n v="0"/>
    <n v="53.07"/>
    <n v="53.07"/>
  </r>
  <r>
    <s v="K7-10868"/>
    <d v="2026-07-27T00:00:00"/>
    <s v="Georgia"/>
    <s v="South"/>
    <s v="Wholesale"/>
    <s v="Returning"/>
    <s v="Footwear"/>
    <s v="Leather Boot"/>
    <s v="Noor Haddad"/>
    <n v="1"/>
    <n v="203.17"/>
    <n v="0.05"/>
    <n v="193.01"/>
    <n v="203.17"/>
  </r>
  <r>
    <s v="K7-10869"/>
    <d v="2026-11-06T00:00:00"/>
    <s v="California"/>
    <s v="West"/>
    <s v="Retail Store"/>
    <s v="Returning"/>
    <s v="Footwear"/>
    <s v="Canvas Sneaker"/>
    <s v="Noor Haddad"/>
    <n v="1"/>
    <n v="87.4"/>
    <n v="0"/>
    <n v="87.4"/>
    <n v="87.4"/>
  </r>
  <r>
    <s v="K7-10870"/>
    <d v="2026-01-02T00:00:00"/>
    <s v="Michigan"/>
    <s v="Midwest"/>
    <s v="Retail Store"/>
    <s v="Returning"/>
    <s v="Accessories"/>
    <s v="Leather Belt"/>
    <s v="Ava Brooks"/>
    <n v="2"/>
    <n v="49.77"/>
    <n v="0"/>
    <n v="99.54"/>
    <n v="99.54"/>
  </r>
  <r>
    <s v="K7-10871"/>
    <d v="2026-08-25T00:00:00"/>
    <s v="South Carolina"/>
    <s v="South"/>
    <s v="Marketplace"/>
    <s v="New"/>
    <s v="Bottoms"/>
    <s v="Slim Chino"/>
    <s v="Priya Nair"/>
    <n v="2"/>
    <n v="71.760000000000005"/>
    <n v="0"/>
    <n v="143.52000000000001"/>
    <n v="143.52000000000001"/>
  </r>
  <r>
    <s v="K7-10872"/>
    <d v="2026-11-19T00:00:00"/>
    <s v="Nevada"/>
    <s v="West"/>
    <s v="Retail Store"/>
    <s v="Returning"/>
    <s v="Outerwear"/>
    <s v="Wool Overcoat"/>
    <s v="Elena Vargas"/>
    <n v="1"/>
    <n v="311.43"/>
    <n v="0"/>
    <n v="311.43"/>
    <n v="311.43"/>
  </r>
  <r>
    <s v="K7-10873"/>
    <d v="2026-03-04T00:00:00"/>
    <s v="Michigan"/>
    <s v="Midwest"/>
    <s v="Retail Store"/>
    <s v="New"/>
    <s v="Tops"/>
    <s v="Oxford Shirt"/>
    <s v="Priya Nair"/>
    <n v="2"/>
    <n v="68.150000000000006"/>
    <n v="0"/>
    <n v="136.30000000000001"/>
    <n v="136.30000000000001"/>
  </r>
  <r>
    <s v="K7-10874"/>
    <d v="2026-03-10T00:00:00"/>
    <s v="Wisconsin"/>
    <s v="Midwest"/>
    <s v="Wholesale"/>
    <s v="Returning"/>
    <s v="Dresses"/>
    <s v="Wrap Dress"/>
    <s v="Elena Vargas"/>
    <n v="1"/>
    <n v="111.77"/>
    <n v="0"/>
    <n v="111.77"/>
    <n v="111.77"/>
  </r>
  <r>
    <s v="K7-10875"/>
    <d v="2026-10-30T00:00:00"/>
    <s v="Arizona"/>
    <s v="West"/>
    <s v="Marketplace"/>
    <s v="New"/>
    <s v="Bottoms"/>
    <s v="Tailored Short"/>
    <s v="Priya Nair"/>
    <n v="2"/>
    <n v="55.13"/>
    <n v="0"/>
    <n v="110.26"/>
    <n v="110.26"/>
  </r>
  <r>
    <s v="K7-10876"/>
    <d v="2026-05-23T00:00:00"/>
    <s v="Alabama"/>
    <s v="South"/>
    <s v="Online"/>
    <s v="New"/>
    <s v="Accessories"/>
    <s v="Canvas Tote"/>
    <s v="Noor Haddad"/>
    <n v="5"/>
    <n v="39.14"/>
    <n v="0.2"/>
    <n v="156.56"/>
    <n v="195.7"/>
  </r>
  <r>
    <s v="K7-10877"/>
    <d v="2026-12-15T00:00:00"/>
    <s v="Wisconsin"/>
    <s v="Midwest"/>
    <s v="Online"/>
    <s v="New"/>
    <s v="Tops"/>
    <s v="Henley Long Sleeve"/>
    <s v="Marcus Reed"/>
    <n v="18"/>
    <n v="48.54"/>
    <n v="0.05"/>
    <n v="830.03"/>
    <n v="873.72"/>
  </r>
  <r>
    <s v="K7-10878"/>
    <d v="2026-11-12T00:00:00"/>
    <s v="New York"/>
    <s v="Northeast"/>
    <s v="Marketplace"/>
    <s v="New"/>
    <s v="Bottoms"/>
    <s v="Cargo Pant"/>
    <s v="Elena Vargas"/>
    <n v="5"/>
    <n v="89.25"/>
    <n v="0"/>
    <n v="446.25"/>
    <n v="446.25"/>
  </r>
  <r>
    <s v="K7-10879"/>
    <d v="2026-04-25T00:00:00"/>
    <s v="Louisiana"/>
    <s v="South"/>
    <s v="Online"/>
    <s v="New"/>
    <s v="Footwear"/>
    <s v="Leather Boot"/>
    <s v="Jonah Wright"/>
    <n v="2"/>
    <n v="203.61"/>
    <n v="0"/>
    <n v="407.22"/>
    <n v="407.22"/>
  </r>
  <r>
    <s v="K7-10880"/>
    <d v="2026-02-19T00:00:00"/>
    <s v="New York"/>
    <s v="Northeast"/>
    <s v="Marketplace"/>
    <s v="Returning"/>
    <s v="Footwear"/>
    <s v="Suede Loafer"/>
    <s v="Jonah Wright"/>
    <n v="8"/>
    <n v="156.13"/>
    <n v="0"/>
    <n v="1249.04"/>
    <n v="1249.04"/>
  </r>
  <r>
    <s v="K7-10881"/>
    <d v="2026-10-31T00:00:00"/>
    <s v="New York"/>
    <s v="Northeast"/>
    <s v="Wholesale"/>
    <s v="New"/>
    <s v="Dresses"/>
    <s v="Linen Shirt Dress"/>
    <s v="Ava Brooks"/>
    <n v="3"/>
    <n v="129.02000000000001"/>
    <n v="0.05"/>
    <n v="367.71"/>
    <n v="387.06000000000006"/>
  </r>
  <r>
    <s v="K7-10882"/>
    <d v="2026-08-02T00:00:00"/>
    <s v="New York"/>
    <s v="Northeast"/>
    <s v="Marketplace"/>
    <s v="Returning"/>
    <s v="Bottoms"/>
    <s v="Cargo Pant"/>
    <s v="Marcus Reed"/>
    <n v="6"/>
    <n v="90.26"/>
    <n v="0"/>
    <n v="541.55999999999995"/>
    <n v="541.56000000000006"/>
  </r>
  <r>
    <s v="K7-10883"/>
    <d v="2026-11-10T00:00:00"/>
    <s v="Florida"/>
    <s v="South"/>
    <s v="Online"/>
    <s v="Returning"/>
    <s v="Outerwear"/>
    <s v="Quilted Jacket"/>
    <s v="Elena Vargas"/>
    <n v="5"/>
    <n v="181.26"/>
    <n v="0"/>
    <n v="906.3"/>
    <n v="906.3"/>
  </r>
  <r>
    <s v="K7-10884"/>
    <d v="2026-11-11T00:00:00"/>
    <s v="California"/>
    <s v="West"/>
    <s v="Retail Store"/>
    <s v="Returning"/>
    <s v="Outerwear"/>
    <s v="Hooded Parka"/>
    <s v="Jonah Wright"/>
    <n v="8"/>
    <n v="228.91"/>
    <n v="0"/>
    <n v="1831.28"/>
    <n v="1831.28"/>
  </r>
  <r>
    <s v="K7-10885"/>
    <d v="2026-10-01T00:00:00"/>
    <s v="Texas"/>
    <s v="South"/>
    <s v="Marketplace"/>
    <s v="Returning"/>
    <s v="Tops"/>
    <s v="Classic Tee"/>
    <s v="Priya Nair"/>
    <n v="2"/>
    <n v="33.619999999999997"/>
    <n v="0"/>
    <n v="67.239999999999995"/>
    <n v="67.239999999999995"/>
  </r>
  <r>
    <s v="K7-10886"/>
    <d v="2026-03-08T00:00:00"/>
    <s v="Michigan"/>
    <s v="Midwest"/>
    <s v="Wholesale"/>
    <s v="Returning"/>
    <s v="Dresses"/>
    <s v="Midi Slip Dress"/>
    <s v="Elena Vargas"/>
    <n v="4"/>
    <n v="98.26"/>
    <n v="0"/>
    <n v="393.04"/>
    <n v="393.04"/>
  </r>
  <r>
    <s v="K7-10887"/>
    <d v="2026-04-23T00:00:00"/>
    <s v="Connecticut"/>
    <s v="Northeast"/>
    <s v="Online"/>
    <s v="New"/>
    <s v="Outerwear"/>
    <s v="Wool Overcoat"/>
    <s v="Elena Vargas"/>
    <n v="3"/>
    <n v="308.60000000000002"/>
    <n v="0"/>
    <n v="925.8"/>
    <n v="925.80000000000007"/>
  </r>
  <r>
    <s v="K7-10888"/>
    <d v="2026-04-17T00:00:00"/>
    <s v="New York"/>
    <s v="Northeast"/>
    <s v="Online"/>
    <s v="New"/>
    <s v="Dresses"/>
    <s v="Linen Shirt Dress"/>
    <s v="Priya Nair"/>
    <n v="6"/>
    <n v="137.63"/>
    <n v="0"/>
    <n v="825.78"/>
    <n v="825.78"/>
  </r>
  <r>
    <s v="K7-10889"/>
    <d v="2026-03-24T00:00:00"/>
    <s v="California"/>
    <s v="West"/>
    <s v="Wholesale"/>
    <s v="Returning"/>
    <s v="Accessories"/>
    <s v="Knit Beanie"/>
    <s v="Jonah Wright"/>
    <n v="1"/>
    <n v="26.17"/>
    <n v="0.2"/>
    <n v="20.94"/>
    <n v="26.17"/>
  </r>
  <r>
    <s v="K7-10890"/>
    <d v="2026-08-25T00:00:00"/>
    <s v="Michigan"/>
    <s v="Midwest"/>
    <s v="Online"/>
    <s v="New"/>
    <s v="Accessories"/>
    <s v="Canvas Tote"/>
    <s v="Dylan Foster"/>
    <n v="2"/>
    <n v="40.950000000000003"/>
    <n v="0"/>
    <n v="81.900000000000006"/>
    <n v="81.900000000000006"/>
  </r>
  <r>
    <s v="K7-10891"/>
    <d v="2026-04-22T00:00:00"/>
    <s v="Indiana"/>
    <s v="Midwest"/>
    <s v="Wholesale"/>
    <s v="Returning"/>
    <s v="Bottoms"/>
    <s v="Tailored Short"/>
    <s v="Dylan Foster"/>
    <n v="16"/>
    <n v="59.18"/>
    <n v="0"/>
    <n v="946.88"/>
    <n v="946.88"/>
  </r>
  <r>
    <s v="K7-10892"/>
    <d v="2026-11-16T00:00:00"/>
    <s v="New York"/>
    <s v="Northeast"/>
    <s v="Marketplace"/>
    <s v="Returning"/>
    <s v="Accessories"/>
    <s v="Canvas Tote"/>
    <s v="Noor Haddad"/>
    <n v="4"/>
    <n v="38.58"/>
    <n v="0"/>
    <n v="154.32"/>
    <n v="154.32"/>
  </r>
  <r>
    <s v="K7-10893"/>
    <d v="2026-11-22T00:00:00"/>
    <s v="New Jersey"/>
    <s v="Northeast"/>
    <s v="Online"/>
    <s v="New"/>
    <s v="Tops"/>
    <s v="Striped Polo"/>
    <s v="Marcus Reed"/>
    <n v="4"/>
    <n v="53.41"/>
    <n v="0"/>
    <n v="213.64"/>
    <n v="213.64"/>
  </r>
  <r>
    <s v="K7-10894"/>
    <d v="2026-09-17T00:00:00"/>
    <s v="Washington"/>
    <s v="West"/>
    <s v="Marketplace"/>
    <s v="New"/>
    <s v="Accessories"/>
    <s v="Knit Beanie"/>
    <s v="Ava Brooks"/>
    <n v="5"/>
    <n v="26.53"/>
    <n v="0"/>
    <n v="132.65"/>
    <n v="132.65"/>
  </r>
  <r>
    <s v="K7-10895"/>
    <d v="2026-10-15T00:00:00"/>
    <s v="Florida"/>
    <s v="South"/>
    <s v="Retail Store"/>
    <s v="New"/>
    <s v="Bottoms"/>
    <s v="Tailored Short"/>
    <s v="Marcus Reed"/>
    <n v="1"/>
    <n v="57.27"/>
    <n v="0"/>
    <n v="57.27"/>
    <n v="57.27"/>
  </r>
  <r>
    <s v="K7-10896"/>
    <d v="2026-11-06T00:00:00"/>
    <s v="Maryland"/>
    <s v="South"/>
    <s v="Marketplace"/>
    <s v="Returning"/>
    <s v="Outerwear"/>
    <s v="Hooded Parka"/>
    <s v="Dylan Foster"/>
    <n v="5"/>
    <n v="245.44"/>
    <n v="0"/>
    <n v="1227.2"/>
    <n v="1227.2"/>
  </r>
  <r>
    <s v="K7-10897"/>
    <d v="2026-12-16T00:00:00"/>
    <s v="Ohio"/>
    <s v="Midwest"/>
    <s v="Wholesale"/>
    <s v="New"/>
    <s v="Tops"/>
    <s v="Striped Polo"/>
    <s v="Jonah Wright"/>
    <n v="1"/>
    <n v="53.4"/>
    <n v="0.1"/>
    <n v="48.06"/>
    <n v="53.4"/>
  </r>
  <r>
    <s v="K7-10898"/>
    <d v="2026-06-30T00:00:00"/>
    <s v="Pennsylvania"/>
    <s v="Northeast"/>
    <s v="Retail Store"/>
    <s v="Returning"/>
    <s v="Bottoms"/>
    <s v="Cargo Pant"/>
    <s v="Ava Brooks"/>
    <n v="1"/>
    <n v="77.47"/>
    <n v="0.15"/>
    <n v="65.849999999999994"/>
    <n v="77.47"/>
  </r>
  <r>
    <s v="K7-10899"/>
    <d v="2026-11-30T00:00:00"/>
    <s v="Georgia"/>
    <s v="South"/>
    <s v="Retail Store"/>
    <s v="New"/>
    <s v="Bottoms"/>
    <s v="Tailored Short"/>
    <s v="Ava Brooks"/>
    <n v="4"/>
    <n v="54.56"/>
    <n v="0"/>
    <n v="218.24"/>
    <n v="218.24"/>
  </r>
  <r>
    <s v="K7-10900"/>
    <d v="2026-02-07T00:00:00"/>
    <s v="Texas"/>
    <s v="South"/>
    <s v="Retail Store"/>
    <s v="New"/>
    <s v="Outerwear"/>
    <s v="Hooded Parka"/>
    <s v="Ava Brooks"/>
    <n v="1"/>
    <n v="223.01"/>
    <n v="0.1"/>
    <n v="200.71"/>
    <n v="223.01"/>
  </r>
  <r>
    <s v="K7-10901"/>
    <d v="2026-05-09T00:00:00"/>
    <s v="California"/>
    <s v="West"/>
    <s v="Retail Store"/>
    <s v="Returning"/>
    <s v="Bottoms"/>
    <s v="Slim Chino"/>
    <s v="Marcus Reed"/>
    <n v="2"/>
    <n v="76.84"/>
    <n v="0"/>
    <n v="153.68"/>
    <n v="153.68"/>
  </r>
  <r>
    <s v="K7-10902"/>
    <d v="2026-08-04T00:00:00"/>
    <s v="Florida"/>
    <s v="South"/>
    <s v="Wholesale"/>
    <s v="New"/>
    <s v="Dresses"/>
    <s v="Wrap Dress"/>
    <s v="Dylan Foster"/>
    <n v="2"/>
    <n v="110.75"/>
    <n v="0.05"/>
    <n v="210.42"/>
    <n v="221.5"/>
  </r>
  <r>
    <s v="K7-10903"/>
    <d v="2026-09-27T00:00:00"/>
    <s v="Illinois"/>
    <s v="Midwest"/>
    <s v="Online"/>
    <s v="Returning"/>
    <s v="Accessories"/>
    <s v="Silk Scarf"/>
    <s v="Noor Haddad"/>
    <n v="1"/>
    <n v="63.8"/>
    <n v="0.3"/>
    <n v="44.66"/>
    <n v="63.8"/>
  </r>
  <r>
    <s v="K7-10904"/>
    <d v="2026-04-27T00:00:00"/>
    <s v="North Carolina"/>
    <s v="South"/>
    <s v="Online"/>
    <s v="Returning"/>
    <s v="Tops"/>
    <s v="Oxford Shirt"/>
    <s v="Elena Vargas"/>
    <n v="2"/>
    <n v="68.739999999999995"/>
    <n v="0"/>
    <n v="137.47999999999999"/>
    <n v="137.47999999999999"/>
  </r>
  <r>
    <s v="K7-10905"/>
    <d v="2026-02-28T00:00:00"/>
    <s v="Nevada"/>
    <s v="West"/>
    <s v="Online"/>
    <s v="Returning"/>
    <s v="Footwear"/>
    <s v="Suede Loafer"/>
    <s v="Noor Haddad"/>
    <n v="8"/>
    <n v="160.66999999999999"/>
    <n v="0"/>
    <n v="1285.3599999999999"/>
    <n v="1285.3599999999999"/>
  </r>
  <r>
    <s v="K7-10906"/>
    <d v="2026-04-03T00:00:00"/>
    <s v="Tennessee"/>
    <s v="South"/>
    <s v="Retail Store"/>
    <s v="Returning"/>
    <s v="Dresses"/>
    <s v="Wrap Dress"/>
    <s v="Elena Vargas"/>
    <n v="4"/>
    <n v="126.36"/>
    <n v="0"/>
    <n v="505.44"/>
    <n v="505.44"/>
  </r>
  <r>
    <s v="K7-10907"/>
    <d v="2026-07-24T00:00:00"/>
    <s v="Utah"/>
    <s v="West"/>
    <s v="Retail Store"/>
    <s v="Returning"/>
    <s v="Dresses"/>
    <s v="Midi Slip Dress"/>
    <s v="Grace Okafor"/>
    <n v="4"/>
    <n v="100.34"/>
    <n v="0"/>
    <n v="401.36"/>
    <n v="401.36"/>
  </r>
  <r>
    <s v="K7-10908"/>
    <d v="2026-07-10T00:00:00"/>
    <s v="California"/>
    <s v="West"/>
    <s v="Online"/>
    <s v="New"/>
    <s v="Outerwear"/>
    <s v="Hooded Parka"/>
    <s v="Noor Haddad"/>
    <n v="1"/>
    <n v="230.52"/>
    <n v="0"/>
    <n v="230.52"/>
    <n v="230.52"/>
  </r>
  <r>
    <s v="K7-10909"/>
    <d v="2026-11-09T00:00:00"/>
    <s v="Tennessee"/>
    <s v="South"/>
    <s v="Online"/>
    <s v="Returning"/>
    <s v="Tops"/>
    <s v="Striped Polo"/>
    <s v="Jonah Wright"/>
    <n v="2"/>
    <n v="52.36"/>
    <n v="0"/>
    <n v="104.72"/>
    <n v="104.72"/>
  </r>
  <r>
    <s v="K7-10910"/>
    <d v="2026-09-21T00:00:00"/>
    <s v="Michigan"/>
    <s v="Midwest"/>
    <s v="Online"/>
    <s v="New"/>
    <s v="Outerwear"/>
    <s v="Wool Overcoat"/>
    <s v="Jonah Wright"/>
    <n v="2"/>
    <n v="295.22000000000003"/>
    <n v="0"/>
    <n v="590.44000000000005"/>
    <n v="590.44000000000005"/>
  </r>
  <r>
    <s v="K7-10911"/>
    <d v="2026-01-29T00:00:00"/>
    <s v="Colorado"/>
    <s v="West"/>
    <s v="Retail Store"/>
    <s v="Returning"/>
    <s v="Bottoms"/>
    <s v="Slim Chino"/>
    <s v="Priya Nair"/>
    <n v="2"/>
    <n v="78.349999999999994"/>
    <n v="0.05"/>
    <n v="148.86000000000001"/>
    <n v="156.69999999999999"/>
  </r>
  <r>
    <s v="K7-10912"/>
    <d v="2026-08-15T00:00:00"/>
    <s v="Ohio"/>
    <s v="Midwest"/>
    <s v="Online"/>
    <s v="New"/>
    <s v="Accessories"/>
    <s v="Canvas Tote"/>
    <s v="Marcus Reed"/>
    <n v="3"/>
    <n v="37.020000000000003"/>
    <n v="0"/>
    <n v="111.06"/>
    <n v="111.06"/>
  </r>
  <r>
    <s v="K7-10913"/>
    <d v="2026-12-15T00:00:00"/>
    <s v="Oregon"/>
    <s v="West"/>
    <s v="Retail Store"/>
    <s v="Returning"/>
    <s v="Dresses"/>
    <s v="Midi Slip Dress"/>
    <s v="Priya Nair"/>
    <n v="2"/>
    <n v="95.93"/>
    <n v="0.1"/>
    <n v="172.67"/>
    <n v="191.86"/>
  </r>
  <r>
    <s v="K7-10914"/>
    <d v="2026-02-16T00:00:00"/>
    <s v="Arizona"/>
    <s v="West"/>
    <s v="Marketplace"/>
    <s v="New"/>
    <s v="Outerwear"/>
    <s v="Denim Trucker"/>
    <s v="Noor Haddad"/>
    <n v="4"/>
    <n v="132.38"/>
    <n v="0.2"/>
    <n v="423.62"/>
    <n v="529.52"/>
  </r>
  <r>
    <s v="K7-10915"/>
    <d v="2026-02-28T00:00:00"/>
    <s v="Michigan"/>
    <s v="Midwest"/>
    <s v="Online"/>
    <s v="New"/>
    <s v="Bottoms"/>
    <s v="Slim Chino"/>
    <s v="Jonah Wright"/>
    <n v="4"/>
    <n v="70.12"/>
    <n v="0.2"/>
    <n v="224.38"/>
    <n v="280.48"/>
  </r>
  <r>
    <s v="K7-10916"/>
    <d v="2026-06-11T00:00:00"/>
    <s v="Alabama"/>
    <s v="South"/>
    <s v="Retail Store"/>
    <s v="Returning"/>
    <s v="Tops"/>
    <s v="Oxford Shirt"/>
    <s v="Jonah Wright"/>
    <n v="7"/>
    <n v="72.16"/>
    <n v="0"/>
    <n v="505.12"/>
    <n v="505.12"/>
  </r>
  <r>
    <s v="K7-10917"/>
    <d v="2026-11-10T00:00:00"/>
    <s v="New Jersey"/>
    <s v="Northeast"/>
    <s v="Online"/>
    <s v="New"/>
    <s v="Tops"/>
    <s v="Henley Long Sleeve"/>
    <s v="Priya Nair"/>
    <n v="4"/>
    <n v="45.52"/>
    <n v="0.05"/>
    <n v="172.98"/>
    <n v="182.08"/>
  </r>
  <r>
    <s v="K7-10918"/>
    <d v="2026-01-15T00:00:00"/>
    <s v="Georgia"/>
    <s v="South"/>
    <s v="Online"/>
    <s v="New"/>
    <s v="Outerwear"/>
    <s v="Quilted Jacket"/>
    <s v="Noor Haddad"/>
    <n v="1"/>
    <n v="176.94"/>
    <n v="0"/>
    <n v="176.94"/>
    <n v="176.94"/>
  </r>
  <r>
    <s v="K7-10919"/>
    <d v="2026-03-18T00:00:00"/>
    <s v="Ohio"/>
    <s v="Midwest"/>
    <s v="Retail Store"/>
    <s v="Returning"/>
    <s v="Outerwear"/>
    <s v="Hooded Parka"/>
    <s v="Ava Brooks"/>
    <n v="1"/>
    <n v="237.44"/>
    <n v="0"/>
    <n v="237.44"/>
    <n v="237.44"/>
  </r>
  <r>
    <s v="K7-10920"/>
    <d v="2026-10-29T00:00:00"/>
    <s v="New York"/>
    <s v="Northeast"/>
    <s v="Online"/>
    <s v="Returning"/>
    <s v="Bottoms"/>
    <s v="Slim Chino"/>
    <s v="Marcus Reed"/>
    <n v="2"/>
    <n v="70.459999999999994"/>
    <n v="0.15"/>
    <n v="119.78"/>
    <n v="140.91999999999999"/>
  </r>
  <r>
    <s v="K7-10921"/>
    <d v="2026-11-05T00:00:00"/>
    <s v="Illinois"/>
    <s v="Midwest"/>
    <s v="Marketplace"/>
    <s v="Returning"/>
    <s v="Accessories"/>
    <s v="Knit Beanie"/>
    <s v="Ava Brooks"/>
    <n v="13"/>
    <n v="27.32"/>
    <n v="0.05"/>
    <n v="337.4"/>
    <n v="355.16"/>
  </r>
  <r>
    <s v="K7-10922"/>
    <d v="2026-01-25T00:00:00"/>
    <s v="Maryland"/>
    <s v="South"/>
    <s v="Marketplace"/>
    <s v="New"/>
    <s v="Accessories"/>
    <s v="Knit Beanie"/>
    <s v="Elena Vargas"/>
    <n v="1"/>
    <n v="26.62"/>
    <n v="0"/>
    <n v="26.62"/>
    <n v="26.62"/>
  </r>
  <r>
    <s v="K7-10923"/>
    <d v="2026-09-18T00:00:00"/>
    <s v="Virginia"/>
    <s v="South"/>
    <s v="Retail Store"/>
    <s v="Returning"/>
    <s v="Bottoms"/>
    <s v="Straight Jeans"/>
    <s v="Noor Haddad"/>
    <n v="5"/>
    <n v="94.67"/>
    <n v="0.15"/>
    <n v="402.35"/>
    <n v="473.35"/>
  </r>
  <r>
    <s v="K7-10924"/>
    <d v="2026-05-04T00:00:00"/>
    <s v="New York"/>
    <s v="Northeast"/>
    <s v="Retail Store"/>
    <s v="Returning"/>
    <s v="Tops"/>
    <s v="Oxford Shirt"/>
    <s v="Elena Vargas"/>
    <n v="2"/>
    <n v="64.569999999999993"/>
    <n v="0"/>
    <n v="129.13999999999999"/>
    <n v="129.13999999999999"/>
  </r>
  <r>
    <s v="K7-10925"/>
    <d v="2026-09-13T00:00:00"/>
    <s v="California"/>
    <s v="West"/>
    <s v="Retail Store"/>
    <s v="Returning"/>
    <s v="Bottoms"/>
    <s v="Cargo Pant"/>
    <s v="Ava Brooks"/>
    <n v="1"/>
    <n v="88.26"/>
    <n v="0"/>
    <n v="88.26"/>
    <n v="88.26"/>
  </r>
  <r>
    <s v="K7-10926"/>
    <d v="2026-01-16T00:00:00"/>
    <s v="Tennessee"/>
    <s v="South"/>
    <s v="Retail Store"/>
    <s v="New"/>
    <s v="Tops"/>
    <s v="Henley Long Sleeve"/>
    <s v="Marcus Reed"/>
    <n v="2"/>
    <n v="49.01"/>
    <n v="0"/>
    <n v="98.02"/>
    <n v="98.02"/>
  </r>
  <r>
    <s v="K7-10927"/>
    <d v="2026-07-31T00:00:00"/>
    <s v="Georgia"/>
    <s v="South"/>
    <s v="Retail Store"/>
    <s v="Returning"/>
    <s v="Tops"/>
    <s v="Striped Polo"/>
    <s v="Grace Okafor"/>
    <n v="2"/>
    <n v="58.28"/>
    <n v="0"/>
    <n v="116.56"/>
    <n v="116.56"/>
  </r>
  <r>
    <s v="K7-10928"/>
    <d v="2026-07-03T00:00:00"/>
    <s v="Virginia"/>
    <s v="South"/>
    <s v="Retail Store"/>
    <s v="New"/>
    <s v="Tops"/>
    <s v="Striped Polo"/>
    <s v="Marcus Reed"/>
    <n v="2"/>
    <n v="50.12"/>
    <n v="0"/>
    <n v="100.24"/>
    <n v="100.24"/>
  </r>
  <r>
    <s v="K7-10929"/>
    <d v="2026-11-16T00:00:00"/>
    <s v="Massachusetts"/>
    <s v="Northeast"/>
    <s v="Wholesale"/>
    <s v="Returning"/>
    <s v="Dresses"/>
    <s v="Midi Slip Dress"/>
    <s v="Ava Brooks"/>
    <n v="1"/>
    <n v="105.21"/>
    <n v="0"/>
    <n v="105.21"/>
    <n v="105.21"/>
  </r>
  <r>
    <s v="K7-10930"/>
    <d v="2026-09-13T00:00:00"/>
    <s v="New Jersey"/>
    <s v="Northeast"/>
    <s v="Online"/>
    <s v="Returning"/>
    <s v="Outerwear"/>
    <s v="Quilted Jacket"/>
    <s v="Dylan Foster"/>
    <n v="2"/>
    <n v="167.19"/>
    <n v="0.3"/>
    <n v="234.07"/>
    <n v="334.38"/>
  </r>
  <r>
    <s v="K7-10931"/>
    <d v="2026-05-21T00:00:00"/>
    <s v="California"/>
    <s v="West"/>
    <s v="Retail Store"/>
    <s v="Returning"/>
    <s v="Footwear"/>
    <s v="Leather Boot"/>
    <s v="Noor Haddad"/>
    <n v="1"/>
    <n v="209.09"/>
    <n v="0.05"/>
    <n v="198.64"/>
    <n v="209.09"/>
  </r>
  <r>
    <s v="K7-10932"/>
    <d v="2026-02-23T00:00:00"/>
    <s v="Tennessee"/>
    <s v="South"/>
    <s v="Marketplace"/>
    <s v="Returning"/>
    <s v="Outerwear"/>
    <s v="Quilted Jacket"/>
    <s v="Ava Brooks"/>
    <n v="1"/>
    <n v="161.53"/>
    <n v="0"/>
    <n v="161.53"/>
    <n v="161.53"/>
  </r>
  <r>
    <s v="K7-10933"/>
    <d v="2026-10-10T00:00:00"/>
    <s v="New York"/>
    <s v="Northeast"/>
    <s v="Marketplace"/>
    <s v="Returning"/>
    <s v="Tops"/>
    <s v="Henley Long Sleeve"/>
    <s v="Elena Vargas"/>
    <n v="4"/>
    <n v="43.21"/>
    <n v="0"/>
    <n v="172.84"/>
    <n v="172.84"/>
  </r>
  <r>
    <s v="K7-10934"/>
    <d v="2026-09-16T00:00:00"/>
    <s v="Pennsylvania"/>
    <s v="Northeast"/>
    <s v="Retail Store"/>
    <s v="New"/>
    <s v="Outerwear"/>
    <s v="Quilted Jacket"/>
    <s v="Priya Nair"/>
    <n v="1"/>
    <n v="180.69"/>
    <n v="0"/>
    <n v="180.69"/>
    <n v="180.69"/>
  </r>
  <r>
    <s v="K7-10935"/>
    <d v="2026-06-12T00:00:00"/>
    <s v="Texas"/>
    <s v="South"/>
    <s v="Marketplace"/>
    <s v="Returning"/>
    <s v="Footwear"/>
    <s v="Canvas Sneaker"/>
    <s v="Elena Vargas"/>
    <n v="5"/>
    <n v="95.71"/>
    <n v="0"/>
    <n v="478.55"/>
    <n v="478.54999999999995"/>
  </r>
  <r>
    <s v="K7-10936"/>
    <d v="2026-03-20T00:00:00"/>
    <s v="Louisiana"/>
    <s v="South"/>
    <s v="Marketplace"/>
    <s v="Returning"/>
    <s v="Accessories"/>
    <s v="Canvas Tote"/>
    <s v="Priya Nair"/>
    <n v="3"/>
    <n v="39.950000000000003"/>
    <n v="0"/>
    <n v="119.85"/>
    <n v="119.85000000000001"/>
  </r>
  <r>
    <s v="K7-10937"/>
    <d v="2026-07-25T00:00:00"/>
    <s v="North Carolina"/>
    <s v="South"/>
    <s v="Wholesale"/>
    <s v="New"/>
    <s v="Outerwear"/>
    <s v="Quilted Jacket"/>
    <s v="Ava Brooks"/>
    <n v="3"/>
    <n v="159.82"/>
    <n v="0.1"/>
    <n v="431.51"/>
    <n v="479.46"/>
  </r>
  <r>
    <s v="K7-10938"/>
    <d v="2026-03-27T00:00:00"/>
    <s v="California"/>
    <s v="West"/>
    <s v="Online"/>
    <s v="Returning"/>
    <s v="Footwear"/>
    <s v="Canvas Sneaker"/>
    <s v="Grace Okafor"/>
    <n v="2"/>
    <n v="91.54"/>
    <n v="0.1"/>
    <n v="164.77"/>
    <n v="183.08"/>
  </r>
  <r>
    <s v="K7-10939"/>
    <d v="2026-06-09T00:00:00"/>
    <s v="Alabama"/>
    <s v="South"/>
    <s v="Online"/>
    <s v="New"/>
    <s v="Accessories"/>
    <s v="Silk Scarf"/>
    <s v="Priya Nair"/>
    <n v="1"/>
    <n v="64.900000000000006"/>
    <n v="0"/>
    <n v="64.900000000000006"/>
    <n v="64.900000000000006"/>
  </r>
  <r>
    <s v="K7-10940"/>
    <d v="2026-04-17T00:00:00"/>
    <s v="Virginia"/>
    <s v="South"/>
    <s v="Retail Store"/>
    <s v="Returning"/>
    <s v="Tops"/>
    <s v="Classic Tee"/>
    <s v="Priya Nair"/>
    <n v="2"/>
    <n v="31.31"/>
    <n v="0"/>
    <n v="62.62"/>
    <n v="62.62"/>
  </r>
  <r>
    <s v="K7-10941"/>
    <d v="2026-06-26T00:00:00"/>
    <s v="Texas"/>
    <s v="South"/>
    <s v="Online"/>
    <s v="Returning"/>
    <s v="Tops"/>
    <s v="Classic Tee"/>
    <s v="Ava Brooks"/>
    <n v="1"/>
    <n v="31.52"/>
    <n v="0.1"/>
    <n v="28.37"/>
    <n v="31.52"/>
  </r>
  <r>
    <s v="K7-10942"/>
    <d v="2026-10-20T00:00:00"/>
    <s v="Wisconsin"/>
    <s v="Midwest"/>
    <s v="Retail Store"/>
    <s v="Returning"/>
    <s v="Bottoms"/>
    <s v="Straight Jeans"/>
    <s v="Priya Nair"/>
    <n v="1"/>
    <n v="85.81"/>
    <n v="0.15"/>
    <n v="72.94"/>
    <n v="85.81"/>
  </r>
  <r>
    <s v="K7-10943"/>
    <d v="2026-03-22T00:00:00"/>
    <s v="Alabama"/>
    <s v="South"/>
    <s v="Retail Store"/>
    <s v="New"/>
    <s v="Bottoms"/>
    <s v="Straight Jeans"/>
    <s v="Jonah Wright"/>
    <n v="3"/>
    <n v="95.21"/>
    <n v="0"/>
    <n v="285.63"/>
    <n v="285.63"/>
  </r>
  <r>
    <s v="K7-10944"/>
    <d v="2026-08-08T00:00:00"/>
    <s v="New York"/>
    <s v="Northeast"/>
    <s v="Marketplace"/>
    <s v="Returning"/>
    <s v="Bottoms"/>
    <s v="Slim Chino"/>
    <s v="Elena Vargas"/>
    <n v="3"/>
    <n v="81.7"/>
    <n v="0.1"/>
    <n v="220.59"/>
    <n v="245.10000000000002"/>
  </r>
  <r>
    <s v="K7-10945"/>
    <d v="2026-11-02T00:00:00"/>
    <s v="Massachusetts"/>
    <s v="Northeast"/>
    <s v="Online"/>
    <s v="New"/>
    <s v="Outerwear"/>
    <s v="Wool Overcoat"/>
    <s v="Elena Vargas"/>
    <n v="4"/>
    <n v="285.19"/>
    <n v="0.05"/>
    <n v="1083.72"/>
    <n v="1140.76"/>
  </r>
  <r>
    <s v="K7-10946"/>
    <d v="2026-12-13T00:00:00"/>
    <s v="New York"/>
    <s v="Northeast"/>
    <s v="Wholesale"/>
    <s v="Returning"/>
    <s v="Footwear"/>
    <s v="Canvas Sneaker"/>
    <s v="Noor Haddad"/>
    <n v="3"/>
    <n v="90.48"/>
    <n v="0.1"/>
    <n v="244.3"/>
    <n v="271.44"/>
  </r>
  <r>
    <s v="K7-10947"/>
    <d v="2026-02-24T00:00:00"/>
    <s v="North Carolina"/>
    <s v="South"/>
    <s v="Online"/>
    <s v="New"/>
    <s v="Tops"/>
    <s v="Oxford Shirt"/>
    <s v="Priya Nair"/>
    <n v="1"/>
    <n v="72.41"/>
    <n v="0"/>
    <n v="72.41"/>
    <n v="72.41"/>
  </r>
  <r>
    <s v="K7-10948"/>
    <d v="2026-08-28T00:00:00"/>
    <s v="North Carolina"/>
    <s v="South"/>
    <s v="Retail Store"/>
    <s v="Returning"/>
    <s v="Footwear"/>
    <s v="Suede Loafer"/>
    <s v="Dylan Foster"/>
    <n v="5"/>
    <n v="166.18"/>
    <n v="0"/>
    <n v="830.9"/>
    <n v="830.90000000000009"/>
  </r>
  <r>
    <s v="K7-10949"/>
    <d v="2026-01-09T00:00:00"/>
    <s v="California"/>
    <s v="West"/>
    <s v="Online"/>
    <s v="New"/>
    <s v="Footwear"/>
    <s v="Suede Loafer"/>
    <s v="Priya Nair"/>
    <n v="1"/>
    <n v="160.06"/>
    <n v="0.05"/>
    <n v="152.06"/>
    <n v="160.06"/>
  </r>
  <r>
    <s v="K7-10950"/>
    <d v="2026-06-08T00:00:00"/>
    <s v="Georgia"/>
    <s v="South"/>
    <s v="Marketplace"/>
    <s v="Returning"/>
    <s v="Footwear"/>
    <s v="Leather Boot"/>
    <s v="Noor Haddad"/>
    <n v="1"/>
    <n v="207.76"/>
    <n v="0"/>
    <n v="207.76"/>
    <n v="207.76"/>
  </r>
  <r>
    <s v="K7-10951"/>
    <d v="2026-05-23T00:00:00"/>
    <s v="Michigan"/>
    <s v="Midwest"/>
    <s v="Retail Store"/>
    <s v="New"/>
    <s v="Tops"/>
    <s v="Striped Polo"/>
    <s v="Noor Haddad"/>
    <n v="3"/>
    <n v="53.31"/>
    <n v="0.3"/>
    <n v="111.95"/>
    <n v="159.93"/>
  </r>
  <r>
    <s v="K7-10952"/>
    <d v="2026-10-14T00:00:00"/>
    <s v="Florida"/>
    <s v="South"/>
    <s v="Marketplace"/>
    <s v="Returning"/>
    <s v="Outerwear"/>
    <s v="Denim Trucker"/>
    <s v="Marcus Reed"/>
    <n v="3"/>
    <n v="133.79"/>
    <n v="0"/>
    <n v="401.37"/>
    <n v="401.37"/>
  </r>
  <r>
    <s v="K7-10953"/>
    <d v="2026-03-02T00:00:00"/>
    <s v="Missouri"/>
    <s v="Midwest"/>
    <s v="Wholesale"/>
    <s v="New"/>
    <s v="Accessories"/>
    <s v="Silk Scarf"/>
    <s v="Grace Okafor"/>
    <n v="5"/>
    <n v="58.24"/>
    <n v="0.15"/>
    <n v="247.52"/>
    <n v="291.2"/>
  </r>
  <r>
    <s v="K7-10954"/>
    <d v="2026-09-05T00:00:00"/>
    <s v="Washington"/>
    <s v="West"/>
    <s v="Marketplace"/>
    <s v="Returning"/>
    <s v="Accessories"/>
    <s v="Knit Beanie"/>
    <s v="Elena Vargas"/>
    <n v="1"/>
    <n v="24.68"/>
    <n v="0"/>
    <n v="24.68"/>
    <n v="24.68"/>
  </r>
  <r>
    <s v="K7-10955"/>
    <d v="2026-07-16T00:00:00"/>
    <s v="Indiana"/>
    <s v="Midwest"/>
    <s v="Online"/>
    <s v="New"/>
    <s v="Dresses"/>
    <s v="Wrap Dress"/>
    <s v="Jonah Wright"/>
    <n v="1"/>
    <n v="114.58"/>
    <n v="0"/>
    <n v="114.58"/>
    <n v="114.58"/>
  </r>
  <r>
    <s v="K7-10956"/>
    <d v="2026-08-27T00:00:00"/>
    <s v="South Carolina"/>
    <s v="South"/>
    <s v="Wholesale"/>
    <s v="New"/>
    <s v="Tops"/>
    <s v="Classic Tee"/>
    <s v="Jonah Wright"/>
    <n v="8"/>
    <n v="32.53"/>
    <n v="0.1"/>
    <n v="234.22"/>
    <n v="260.24"/>
  </r>
  <r>
    <s v="K7-10957"/>
    <d v="2026-01-01T00:00:00"/>
    <s v="Louisiana"/>
    <s v="South"/>
    <s v="Retail Store"/>
    <s v="Returning"/>
    <s v="Outerwear"/>
    <s v="Wool Overcoat"/>
    <s v="Priya Nair"/>
    <n v="1"/>
    <n v="280.11"/>
    <n v="0"/>
    <n v="280.11"/>
    <n v="280.11"/>
  </r>
  <r>
    <s v="K7-10958"/>
    <d v="2026-01-24T00:00:00"/>
    <s v="Tennessee"/>
    <s v="South"/>
    <s v="Online"/>
    <s v="New"/>
    <s v="Outerwear"/>
    <s v="Wool Overcoat"/>
    <s v="Grace Okafor"/>
    <n v="3"/>
    <n v="299.3"/>
    <n v="0"/>
    <n v="897.9"/>
    <n v="897.90000000000009"/>
  </r>
  <r>
    <s v="K7-10959"/>
    <d v="2026-05-24T00:00:00"/>
    <s v="Georgia"/>
    <s v="South"/>
    <s v="Marketplace"/>
    <s v="Returning"/>
    <s v="Outerwear"/>
    <s v="Denim Trucker"/>
    <s v="Dylan Foster"/>
    <n v="2"/>
    <n v="131.52000000000001"/>
    <n v="0"/>
    <n v="263.04000000000002"/>
    <n v="263.04000000000002"/>
  </r>
  <r>
    <s v="K7-10960"/>
    <d v="2026-03-03T00:00:00"/>
    <s v="New York"/>
    <s v="Northeast"/>
    <s v="Marketplace"/>
    <s v="New"/>
    <s v="Tops"/>
    <s v="Striped Polo"/>
    <s v="Dylan Foster"/>
    <n v="8"/>
    <n v="50.1"/>
    <n v="0"/>
    <n v="400.8"/>
    <n v="400.8"/>
  </r>
  <r>
    <s v="K7-10961"/>
    <d v="2026-10-05T00:00:00"/>
    <s v="Indiana"/>
    <s v="Midwest"/>
    <s v="Retail Store"/>
    <s v="New"/>
    <s v="Footwear"/>
    <s v="Suede Loafer"/>
    <s v="Ava Brooks"/>
    <n v="2"/>
    <n v="169.68"/>
    <n v="0.15"/>
    <n v="288.45999999999998"/>
    <n v="339.36"/>
  </r>
  <r>
    <s v="K7-10962"/>
    <d v="2026-08-31T00:00:00"/>
    <s v="Washington"/>
    <s v="West"/>
    <s v="Marketplace"/>
    <s v="Returning"/>
    <s v="Bottoms"/>
    <s v="Cargo Pant"/>
    <s v="Marcus Reed"/>
    <n v="2"/>
    <n v="78.150000000000006"/>
    <n v="0"/>
    <n v="156.30000000000001"/>
    <n v="156.30000000000001"/>
  </r>
  <r>
    <s v="K7-10963"/>
    <d v="2026-02-14T00:00:00"/>
    <s v="California"/>
    <s v="West"/>
    <s v="Online"/>
    <s v="New"/>
    <s v="Bottoms"/>
    <s v="Straight Jeans"/>
    <s v="Grace Okafor"/>
    <n v="1"/>
    <n v="96.68"/>
    <n v="0"/>
    <n v="96.68"/>
    <n v="96.68"/>
  </r>
  <r>
    <s v="K7-10964"/>
    <d v="2026-03-11T00:00:00"/>
    <s v="Washington"/>
    <s v="West"/>
    <s v="Retail Store"/>
    <s v="New"/>
    <s v="Outerwear"/>
    <s v="Hooded Parka"/>
    <s v="Marcus Reed"/>
    <n v="1"/>
    <n v="242.5"/>
    <n v="0.2"/>
    <n v="194"/>
    <n v="242.5"/>
  </r>
  <r>
    <s v="K7-10965"/>
    <d v="2026-05-05T00:00:00"/>
    <s v="Washington"/>
    <s v="West"/>
    <s v="Marketplace"/>
    <s v="Returning"/>
    <s v="Tops"/>
    <s v="Oxford Shirt"/>
    <s v="Priya Nair"/>
    <n v="8"/>
    <n v="72.239999999999995"/>
    <n v="0"/>
    <n v="577.91999999999996"/>
    <n v="577.91999999999996"/>
  </r>
  <r>
    <s v="K7-10966"/>
    <d v="2026-04-21T00:00:00"/>
    <s v="Ohio"/>
    <s v="Midwest"/>
    <s v="Online"/>
    <s v="New"/>
    <s v="Dresses"/>
    <s v="Wrap Dress"/>
    <s v="Grace Okafor"/>
    <n v="9"/>
    <n v="113.83"/>
    <n v="0.05"/>
    <n v="973.25"/>
    <n v="1024.47"/>
  </r>
  <r>
    <s v="K7-10967"/>
    <d v="2026-07-10T00:00:00"/>
    <s v="Ohio"/>
    <s v="Midwest"/>
    <s v="Online"/>
    <s v="Returning"/>
    <s v="Bottoms"/>
    <s v="Slim Chino"/>
    <s v="Jonah Wright"/>
    <n v="2"/>
    <n v="73.33"/>
    <n v="0.05"/>
    <n v="139.33000000000001"/>
    <n v="146.66"/>
  </r>
  <r>
    <s v="K7-10968"/>
    <d v="2026-07-23T00:00:00"/>
    <s v="Illinois"/>
    <s v="Midwest"/>
    <s v="Online"/>
    <s v="Returning"/>
    <s v="Tops"/>
    <s v="Classic Tee"/>
    <s v="Noor Haddad"/>
    <n v="3"/>
    <n v="34.25"/>
    <n v="0"/>
    <n v="102.75"/>
    <n v="102.75"/>
  </r>
  <r>
    <s v="K7-10969"/>
    <d v="2026-10-18T00:00:00"/>
    <s v="Indiana"/>
    <s v="Midwest"/>
    <s v="Retail Store"/>
    <s v="Returning"/>
    <s v="Bottoms"/>
    <s v="Tailored Short"/>
    <s v="Grace Okafor"/>
    <n v="14"/>
    <n v="54.03"/>
    <n v="0.05"/>
    <n v="718.6"/>
    <n v="756.42000000000007"/>
  </r>
  <r>
    <s v="K7-10970"/>
    <d v="2026-09-25T00:00:00"/>
    <s v="Illinois"/>
    <s v="Midwest"/>
    <s v="Wholesale"/>
    <s v="Returning"/>
    <s v="Dresses"/>
    <s v="Linen Shirt Dress"/>
    <s v="Ava Brooks"/>
    <n v="4"/>
    <n v="123.58"/>
    <n v="0"/>
    <n v="494.32"/>
    <n v="494.32"/>
  </r>
  <r>
    <s v="K7-10971"/>
    <d v="2026-04-20T00:00:00"/>
    <s v="Massachusetts"/>
    <s v="Northeast"/>
    <s v="Online"/>
    <s v="New"/>
    <s v="Outerwear"/>
    <s v="Hooded Parka"/>
    <s v="Marcus Reed"/>
    <n v="2"/>
    <n v="220.75"/>
    <n v="0.05"/>
    <n v="419.42"/>
    <n v="441.5"/>
  </r>
  <r>
    <s v="K7-10972"/>
    <d v="2026-01-26T00:00:00"/>
    <s v="New Jersey"/>
    <s v="Northeast"/>
    <s v="Online"/>
    <s v="Returning"/>
    <s v="Outerwear"/>
    <s v="Hooded Parka"/>
    <s v="Elena Vargas"/>
    <n v="1"/>
    <n v="241.72"/>
    <n v="0"/>
    <n v="241.72"/>
    <n v="241.72"/>
  </r>
  <r>
    <s v="K7-10973"/>
    <d v="2026-10-04T00:00:00"/>
    <s v="Colorado"/>
    <s v="West"/>
    <s v="Retail Store"/>
    <s v="Returning"/>
    <s v="Tops"/>
    <s v="Striped Polo"/>
    <s v="Jonah Wright"/>
    <n v="1"/>
    <n v="51.86"/>
    <n v="0.1"/>
    <n v="46.67"/>
    <n v="51.86"/>
  </r>
  <r>
    <s v="K7-10974"/>
    <d v="2026-08-25T00:00:00"/>
    <s v="Louisiana"/>
    <s v="South"/>
    <s v="Online"/>
    <s v="New"/>
    <s v="Footwear"/>
    <s v="Suede Loafer"/>
    <s v="Grace Okafor"/>
    <n v="2"/>
    <n v="146.31"/>
    <n v="0.05"/>
    <n v="277.99"/>
    <n v="292.62"/>
  </r>
  <r>
    <s v="K7-10975"/>
    <d v="2026-09-29T00:00:00"/>
    <s v="Florida"/>
    <s v="South"/>
    <s v="Online"/>
    <s v="New"/>
    <s v="Footwear"/>
    <s v="Suede Loafer"/>
    <s v="Ava Brooks"/>
    <n v="2"/>
    <n v="154.37"/>
    <n v="0"/>
    <n v="308.74"/>
    <n v="308.74"/>
  </r>
  <r>
    <s v="K7-10976"/>
    <d v="2026-07-03T00:00:00"/>
    <s v="Georgia"/>
    <s v="South"/>
    <s v="Retail Store"/>
    <s v="New"/>
    <s v="Tops"/>
    <s v="Striped Polo"/>
    <s v="Grace Okafor"/>
    <n v="5"/>
    <n v="55.45"/>
    <n v="0"/>
    <n v="277.25"/>
    <n v="277.25"/>
  </r>
  <r>
    <s v="K7-10977"/>
    <d v="2026-05-20T00:00:00"/>
    <s v="California"/>
    <s v="West"/>
    <s v="Online"/>
    <s v="Returning"/>
    <s v="Tops"/>
    <s v="Classic Tee"/>
    <s v="Ava Brooks"/>
    <n v="1"/>
    <n v="31.51"/>
    <n v="0"/>
    <n v="31.51"/>
    <n v="31.51"/>
  </r>
  <r>
    <s v="K7-10978"/>
    <d v="2026-08-12T00:00:00"/>
    <s v="Texas"/>
    <s v="South"/>
    <s v="Retail Store"/>
    <s v="New"/>
    <s v="Outerwear"/>
    <s v="Hooded Parka"/>
    <s v="Marcus Reed"/>
    <n v="3"/>
    <n v="253.11"/>
    <n v="0"/>
    <n v="759.33"/>
    <n v="759.33"/>
  </r>
  <r>
    <s v="K7-10979"/>
    <d v="2026-07-22T00:00:00"/>
    <s v="Missouri"/>
    <s v="Midwest"/>
    <s v="Online"/>
    <s v="Returning"/>
    <s v="Bottoms"/>
    <s v="Tailored Short"/>
    <s v="Grace Okafor"/>
    <n v="1"/>
    <n v="55.61"/>
    <n v="0"/>
    <n v="55.61"/>
    <n v="55.61"/>
  </r>
  <r>
    <s v="K7-10980"/>
    <d v="2026-03-26T00:00:00"/>
    <s v="Pennsylvania"/>
    <s v="Northeast"/>
    <s v="Online"/>
    <s v="Returning"/>
    <s v="Outerwear"/>
    <s v="Wool Overcoat"/>
    <s v="Priya Nair"/>
    <n v="1"/>
    <n v="308.58"/>
    <n v="0"/>
    <n v="308.58"/>
    <n v="308.58"/>
  </r>
  <r>
    <s v="K7-10981"/>
    <d v="2026-09-03T00:00:00"/>
    <s v="Oregon"/>
    <s v="West"/>
    <s v="Retail Store"/>
    <s v="New"/>
    <s v="Outerwear"/>
    <s v="Hooded Parka"/>
    <s v="Noor Haddad"/>
    <n v="6"/>
    <n v="231.43"/>
    <n v="0"/>
    <n v="1388.58"/>
    <n v="1388.58"/>
  </r>
  <r>
    <s v="K7-10982"/>
    <d v="2026-09-06T00:00:00"/>
    <s v="New Jersey"/>
    <s v="Northeast"/>
    <s v="Online"/>
    <s v="Returning"/>
    <s v="Outerwear"/>
    <s v="Wool Overcoat"/>
    <s v="Priya Nair"/>
    <n v="1"/>
    <n v="277.57"/>
    <n v="0"/>
    <n v="277.57"/>
    <n v="277.57"/>
  </r>
  <r>
    <s v="K7-10983"/>
    <d v="2026-08-23T00:00:00"/>
    <s v="Oregon"/>
    <s v="West"/>
    <s v="Online"/>
    <s v="New"/>
    <s v="Dresses"/>
    <s v="Midi Slip Dress"/>
    <s v="Dylan Foster"/>
    <n v="1"/>
    <n v="96.36"/>
    <n v="0"/>
    <n v="96.36"/>
    <n v="96.36"/>
  </r>
  <r>
    <s v="K7-10984"/>
    <d v="2026-12-16T00:00:00"/>
    <s v="Florida"/>
    <s v="South"/>
    <s v="Retail Store"/>
    <s v="Returning"/>
    <s v="Outerwear"/>
    <s v="Denim Trucker"/>
    <s v="Ava Brooks"/>
    <n v="10"/>
    <n v="127.56"/>
    <n v="0"/>
    <n v="1275.5999999999999"/>
    <n v="1275.5999999999999"/>
  </r>
  <r>
    <s v="K7-10985"/>
    <d v="2026-05-15T00:00:00"/>
    <s v="Nevada"/>
    <s v="West"/>
    <s v="Retail Store"/>
    <s v="New"/>
    <s v="Bottoms"/>
    <s v="Cargo Pant"/>
    <s v="Elena Vargas"/>
    <n v="8"/>
    <n v="90.63"/>
    <n v="0"/>
    <n v="725.04"/>
    <n v="725.04"/>
  </r>
  <r>
    <s v="K7-10986"/>
    <d v="2026-08-22T00:00:00"/>
    <s v="Missouri"/>
    <s v="Midwest"/>
    <s v="Online"/>
    <s v="New"/>
    <s v="Bottoms"/>
    <s v="Straight Jeans"/>
    <s v="Jonah Wright"/>
    <n v="1"/>
    <n v="86.14"/>
    <n v="0.05"/>
    <n v="81.83"/>
    <n v="86.14"/>
  </r>
  <r>
    <s v="K7-10987"/>
    <d v="2026-04-18T00:00:00"/>
    <s v="Virginia"/>
    <s v="South"/>
    <s v="Online"/>
    <s v="New"/>
    <s v="Outerwear"/>
    <s v="Denim Trucker"/>
    <s v="Grace Okafor"/>
    <n v="2"/>
    <n v="127.94"/>
    <n v="0"/>
    <n v="255.88"/>
    <n v="255.88"/>
  </r>
  <r>
    <s v="K7-10988"/>
    <d v="2026-05-26T00:00:00"/>
    <s v="Ohio"/>
    <s v="Midwest"/>
    <s v="Wholesale"/>
    <s v="New"/>
    <s v="Outerwear"/>
    <s v="Quilted Jacket"/>
    <s v="Jonah Wright"/>
    <n v="1"/>
    <n v="169.88"/>
    <n v="0"/>
    <n v="169.88"/>
    <n v="169.88"/>
  </r>
  <r>
    <s v="K7-10989"/>
    <d v="2026-10-11T00:00:00"/>
    <s v="Washington"/>
    <s v="West"/>
    <s v="Retail Store"/>
    <s v="New"/>
    <s v="Outerwear"/>
    <s v="Denim Trucker"/>
    <s v="Dylan Foster"/>
    <n v="1"/>
    <n v="132.91"/>
    <n v="0"/>
    <n v="132.91"/>
    <n v="132.91"/>
  </r>
  <r>
    <s v="K7-10990"/>
    <d v="2026-10-09T00:00:00"/>
    <s v="Illinois"/>
    <s v="Midwest"/>
    <s v="Online"/>
    <s v="Returning"/>
    <s v="Footwear"/>
    <s v="Suede Loafer"/>
    <s v="Grace Okafor"/>
    <n v="1"/>
    <n v="153.94"/>
    <n v="0"/>
    <n v="153.94"/>
    <n v="153.94"/>
  </r>
  <r>
    <s v="K7-10991"/>
    <d v="2026-11-06T00:00:00"/>
    <s v="Virginia"/>
    <s v="South"/>
    <s v="Retail Store"/>
    <s v="Returning"/>
    <s v="Tops"/>
    <s v="Classic Tee"/>
    <s v="Dylan Foster"/>
    <n v="4"/>
    <n v="31.72"/>
    <n v="0"/>
    <n v="126.88"/>
    <n v="126.88"/>
  </r>
  <r>
    <s v="K7-10992"/>
    <d v="2026-02-09T00:00:00"/>
    <s v="Florida"/>
    <s v="South"/>
    <s v="Online"/>
    <s v="Returning"/>
    <s v="Outerwear"/>
    <s v="Hooded Parka"/>
    <s v="Noor Haddad"/>
    <n v="4"/>
    <n v="221.99"/>
    <n v="0.3"/>
    <n v="621.57000000000005"/>
    <n v="887.96"/>
  </r>
  <r>
    <s v="K7-10993"/>
    <d v="2026-03-23T00:00:00"/>
    <s v="California"/>
    <s v="West"/>
    <s v="Online"/>
    <s v="Returning"/>
    <s v="Tops"/>
    <s v="Oxford Shirt"/>
    <s v="Jonah Wright"/>
    <n v="3"/>
    <n v="65.790000000000006"/>
    <n v="0"/>
    <n v="197.37"/>
    <n v="197.37"/>
  </r>
  <r>
    <s v="K7-10994"/>
    <d v="2026-11-28T00:00:00"/>
    <s v="California"/>
    <s v="West"/>
    <s v="Online"/>
    <s v="New"/>
    <s v="Footwear"/>
    <s v="Suede Loafer"/>
    <s v="Ava Brooks"/>
    <n v="6"/>
    <n v="166.79"/>
    <n v="0.15"/>
    <n v="850.63"/>
    <n v="1000.74"/>
  </r>
  <r>
    <s v="K7-10995"/>
    <d v="2026-11-09T00:00:00"/>
    <s v="Texas"/>
    <s v="South"/>
    <s v="Online"/>
    <s v="New"/>
    <s v="Bottoms"/>
    <s v="Straight Jeans"/>
    <s v="Marcus Reed"/>
    <n v="1"/>
    <n v="95.53"/>
    <n v="0"/>
    <n v="95.53"/>
    <n v="95.53"/>
  </r>
  <r>
    <s v="K7-10996"/>
    <d v="2026-03-23T00:00:00"/>
    <s v="California"/>
    <s v="West"/>
    <s v="Online"/>
    <s v="New"/>
    <s v="Outerwear"/>
    <s v="Quilted Jacket"/>
    <s v="Elena Vargas"/>
    <n v="5"/>
    <n v="170.07"/>
    <n v="0.15"/>
    <n v="722.8"/>
    <n v="850.34999999999991"/>
  </r>
  <r>
    <s v="K7-10997"/>
    <d v="2026-02-20T00:00:00"/>
    <s v="Louisiana"/>
    <s v="South"/>
    <s v="Retail Store"/>
    <s v="Returning"/>
    <s v="Outerwear"/>
    <s v="Quilted Jacket"/>
    <s v="Dylan Foster"/>
    <n v="3"/>
    <n v="155.71"/>
    <n v="0"/>
    <n v="467.13"/>
    <n v="467.13"/>
  </r>
  <r>
    <s v="K7-10998"/>
    <d v="2026-05-31T00:00:00"/>
    <s v="California"/>
    <s v="West"/>
    <s v="Marketplace"/>
    <s v="Returning"/>
    <s v="Outerwear"/>
    <s v="Wool Overcoat"/>
    <s v="Dylan Foster"/>
    <n v="6"/>
    <n v="303.51"/>
    <n v="0.2"/>
    <n v="1456.85"/>
    <n v="1821.06"/>
  </r>
  <r>
    <s v="K7-10999"/>
    <d v="2026-08-04T00:00:00"/>
    <s v="Illinois"/>
    <s v="Midwest"/>
    <s v="Online"/>
    <s v="Returning"/>
    <s v="Tops"/>
    <s v="Henley Long Sleeve"/>
    <s v="Grace Okafor"/>
    <n v="3"/>
    <n v="45.63"/>
    <n v="0"/>
    <n v="136.88999999999999"/>
    <n v="136.89000000000001"/>
  </r>
  <r>
    <s v="K7-11000"/>
    <d v="2026-09-23T00:00:00"/>
    <s v="Arizona"/>
    <s v="West"/>
    <s v="Online"/>
    <s v="Returning"/>
    <s v="Accessories"/>
    <s v="Knit Beanie"/>
    <s v="Grace Okafor"/>
    <n v="2"/>
    <n v="24.25"/>
    <n v="0"/>
    <n v="48.5"/>
    <n v="48.5"/>
  </r>
  <r>
    <s v="K7-11001"/>
    <d v="2026-09-24T00:00:00"/>
    <s v="New York"/>
    <s v="Northeast"/>
    <s v="Online"/>
    <s v="New"/>
    <s v="Outerwear"/>
    <s v="Denim Trucker"/>
    <s v="Grace Okafor"/>
    <n v="4"/>
    <n v="134.16999999999999"/>
    <n v="0"/>
    <n v="536.67999999999995"/>
    <n v="536.67999999999995"/>
  </r>
  <r>
    <s v="K7-11002"/>
    <d v="2026-05-10T00:00:00"/>
    <s v="California"/>
    <s v="West"/>
    <s v="Marketplace"/>
    <s v="New"/>
    <s v="Dresses"/>
    <s v="Midi Slip Dress"/>
    <s v="Dylan Foster"/>
    <n v="2"/>
    <n v="92.93"/>
    <n v="0"/>
    <n v="185.86"/>
    <n v="185.86"/>
  </r>
  <r>
    <s v="K7-11003"/>
    <d v="2026-11-14T00:00:00"/>
    <s v="Massachusetts"/>
    <s v="Northeast"/>
    <s v="Wholesale"/>
    <s v="New"/>
    <s v="Bottoms"/>
    <s v="Straight Jeans"/>
    <s v="Ava Brooks"/>
    <n v="1"/>
    <n v="89.78"/>
    <n v="0"/>
    <n v="89.78"/>
    <n v="89.78"/>
  </r>
  <r>
    <s v="K7-11004"/>
    <d v="2026-12-03T00:00:00"/>
    <s v="Virginia"/>
    <s v="South"/>
    <s v="Retail Store"/>
    <s v="Returning"/>
    <s v="Dresses"/>
    <s v="Midi Slip Dress"/>
    <s v="Dylan Foster"/>
    <n v="3"/>
    <n v="96.33"/>
    <n v="0"/>
    <n v="288.99"/>
    <n v="288.99"/>
  </r>
  <r>
    <s v="K7-11005"/>
    <d v="2026-10-04T00:00:00"/>
    <s v="Missouri"/>
    <s v="Midwest"/>
    <s v="Online"/>
    <s v="New"/>
    <s v="Footwear"/>
    <s v="Canvas Sneaker"/>
    <s v="Grace Okafor"/>
    <n v="5"/>
    <n v="96.04"/>
    <n v="0"/>
    <n v="480.2"/>
    <n v="480.20000000000005"/>
  </r>
  <r>
    <s v="K7-11006"/>
    <d v="2026-12-07T00:00:00"/>
    <s v="Connecticut"/>
    <s v="Northeast"/>
    <s v="Wholesale"/>
    <s v="Returning"/>
    <s v="Bottoms"/>
    <s v="Straight Jeans"/>
    <s v="Grace Okafor"/>
    <n v="7"/>
    <n v="90.21"/>
    <n v="0"/>
    <n v="631.47"/>
    <n v="631.46999999999991"/>
  </r>
  <r>
    <s v="K7-11007"/>
    <d v="2026-10-12T00:00:00"/>
    <s v="California"/>
    <s v="West"/>
    <s v="Online"/>
    <s v="Returning"/>
    <s v="Tops"/>
    <s v="Oxford Shirt"/>
    <s v="Elena Vargas"/>
    <n v="3"/>
    <n v="68.239999999999995"/>
    <n v="0"/>
    <n v="204.72"/>
    <n v="204.71999999999997"/>
  </r>
  <r>
    <s v="K7-11008"/>
    <d v="2026-04-26T00:00:00"/>
    <s v="Tennessee"/>
    <s v="South"/>
    <s v="Online"/>
    <s v="Returning"/>
    <s v="Footwear"/>
    <s v="Canvas Sneaker"/>
    <s v="Priya Nair"/>
    <n v="16"/>
    <n v="88.19"/>
    <n v="0.15"/>
    <n v="1199.3800000000001"/>
    <n v="1411.04"/>
  </r>
  <r>
    <s v="K7-11009"/>
    <d v="2026-08-13T00:00:00"/>
    <s v="Texas"/>
    <s v="South"/>
    <s v="Online"/>
    <s v="Returning"/>
    <s v="Footwear"/>
    <s v="Leather Boot"/>
    <s v="Ava Brooks"/>
    <n v="6"/>
    <n v="207.88"/>
    <n v="0.1"/>
    <n v="1122.55"/>
    <n v="1247.28"/>
  </r>
  <r>
    <s v="K7-11010"/>
    <d v="2026-11-05T00:00:00"/>
    <s v="Florida"/>
    <s v="South"/>
    <s v="Retail Store"/>
    <s v="Returning"/>
    <s v="Dresses"/>
    <s v="Midi Slip Dress"/>
    <s v="Priya Nair"/>
    <n v="4"/>
    <n v="98.79"/>
    <n v="0"/>
    <n v="395.16"/>
    <n v="395.16"/>
  </r>
  <r>
    <s v="K7-11011"/>
    <d v="2026-04-20T00:00:00"/>
    <s v="Minnesota"/>
    <s v="Midwest"/>
    <s v="Retail Store"/>
    <s v="New"/>
    <s v="Tops"/>
    <s v="Oxford Shirt"/>
    <s v="Priya Nair"/>
    <n v="3"/>
    <n v="72.900000000000006"/>
    <n v="0.3"/>
    <n v="153.09"/>
    <n v="218.70000000000002"/>
  </r>
  <r>
    <s v="K7-11012"/>
    <d v="2026-10-12T00:00:00"/>
    <s v="New York"/>
    <s v="Northeast"/>
    <s v="Marketplace"/>
    <s v="New"/>
    <s v="Tops"/>
    <s v="Classic Tee"/>
    <s v="Grace Okafor"/>
    <n v="2"/>
    <n v="30.82"/>
    <n v="0"/>
    <n v="61.64"/>
    <n v="61.64"/>
  </r>
  <r>
    <s v="K7-11013"/>
    <d v="2026-07-01T00:00:00"/>
    <s v="Washington"/>
    <s v="West"/>
    <s v="Retail Store"/>
    <s v="Returning"/>
    <s v="Dresses"/>
    <s v="Linen Shirt Dress"/>
    <s v="Noor Haddad"/>
    <n v="1"/>
    <n v="133.65"/>
    <n v="0"/>
    <n v="133.65"/>
    <n v="133.65"/>
  </r>
  <r>
    <s v="K7-11014"/>
    <d v="2026-10-17T00:00:00"/>
    <s v="Georgia"/>
    <s v="South"/>
    <s v="Online"/>
    <s v="Returning"/>
    <s v="Bottoms"/>
    <s v="Cargo Pant"/>
    <s v="Noor Haddad"/>
    <n v="2"/>
    <n v="88.21"/>
    <n v="0"/>
    <n v="176.42"/>
    <n v="176.42"/>
  </r>
  <r>
    <s v="K7-11015"/>
    <d v="2026-11-25T00:00:00"/>
    <s v="Missouri"/>
    <s v="Midwest"/>
    <s v="Retail Store"/>
    <s v="New"/>
    <s v="Tops"/>
    <s v="Classic Tee"/>
    <s v="Grace Okafor"/>
    <n v="4"/>
    <n v="30.44"/>
    <n v="0"/>
    <n v="121.76"/>
    <n v="121.76"/>
  </r>
  <r>
    <s v="K7-11016"/>
    <d v="2026-12-14T00:00:00"/>
    <s v="Minnesota"/>
    <s v="Midwest"/>
    <s v="Retail Store"/>
    <s v="Returning"/>
    <s v="Accessories"/>
    <s v="Silk Scarf"/>
    <s v="Jonah Wright"/>
    <n v="2"/>
    <n v="62.79"/>
    <n v="0.2"/>
    <n v="100.46"/>
    <n v="125.58"/>
  </r>
  <r>
    <s v="K7-11017"/>
    <d v="2026-07-22T00:00:00"/>
    <s v="Michigan"/>
    <s v="Midwest"/>
    <s v="Retail Store"/>
    <s v="Returning"/>
    <s v="Outerwear"/>
    <s v="Wool Overcoat"/>
    <s v="Priya Nair"/>
    <n v="1"/>
    <n v="275.91000000000003"/>
    <n v="0"/>
    <n v="275.91000000000003"/>
    <n v="275.91000000000003"/>
  </r>
  <r>
    <s v="K7-11018"/>
    <d v="2026-06-06T00:00:00"/>
    <s v="California"/>
    <s v="West"/>
    <s v="Retail Store"/>
    <s v="New"/>
    <s v="Footwear"/>
    <s v="Suede Loafer"/>
    <s v="Elena Vargas"/>
    <n v="3"/>
    <n v="160.47"/>
    <n v="0.1"/>
    <n v="433.27"/>
    <n v="481.40999999999997"/>
  </r>
  <r>
    <s v="K7-11019"/>
    <d v="2026-08-22T00:00:00"/>
    <s v="Florida"/>
    <s v="South"/>
    <s v="Marketplace"/>
    <s v="Returning"/>
    <s v="Outerwear"/>
    <s v="Denim Trucker"/>
    <s v="Noor Haddad"/>
    <n v="2"/>
    <n v="119.01"/>
    <n v="0"/>
    <n v="238.02"/>
    <n v="238.02"/>
  </r>
  <r>
    <s v="K7-11020"/>
    <d v="2026-12-22T00:00:00"/>
    <s v="New Jersey"/>
    <s v="Northeast"/>
    <s v="Marketplace"/>
    <s v="New"/>
    <s v="Dresses"/>
    <s v="Wrap Dress"/>
    <s v="Jonah Wright"/>
    <n v="3"/>
    <n v="118.83"/>
    <n v="0"/>
    <n v="356.49"/>
    <n v="356.49"/>
  </r>
  <r>
    <s v="K7-11021"/>
    <d v="2026-02-26T00:00:00"/>
    <s v="California"/>
    <s v="West"/>
    <s v="Retail Store"/>
    <s v="New"/>
    <s v="Tops"/>
    <s v="Oxford Shirt"/>
    <s v="Jonah Wright"/>
    <n v="1"/>
    <n v="66.37"/>
    <n v="0.1"/>
    <n v="59.73"/>
    <n v="66.37"/>
  </r>
  <r>
    <s v="K7-11022"/>
    <d v="2026-05-21T00:00:00"/>
    <s v="New Jersey"/>
    <s v="Northeast"/>
    <s v="Online"/>
    <s v="New"/>
    <s v="Footwear"/>
    <s v="Suede Loafer"/>
    <s v="Jonah Wright"/>
    <n v="1"/>
    <n v="170.15"/>
    <n v="0.15"/>
    <n v="144.63"/>
    <n v="170.15"/>
  </r>
  <r>
    <s v="K7-11023"/>
    <d v="2026-03-21T00:00:00"/>
    <s v="Texas"/>
    <s v="South"/>
    <s v="Online"/>
    <s v="New"/>
    <s v="Dresses"/>
    <s v="Midi Slip Dress"/>
    <s v="Jonah Wright"/>
    <n v="2"/>
    <n v="96.08"/>
    <n v="0"/>
    <n v="192.16"/>
    <n v="192.16"/>
  </r>
  <r>
    <s v="K7-11024"/>
    <d v="2026-10-18T00:00:00"/>
    <s v="Texas"/>
    <s v="South"/>
    <s v="Online"/>
    <s v="New"/>
    <s v="Footwear"/>
    <s v="Leather Boot"/>
    <s v="Grace Okafor"/>
    <n v="1"/>
    <n v="206.03"/>
    <n v="0"/>
    <n v="206.03"/>
    <n v="206.03"/>
  </r>
  <r>
    <s v="K7-11025"/>
    <d v="2026-10-11T00:00:00"/>
    <s v="Washington"/>
    <s v="West"/>
    <s v="Marketplace"/>
    <s v="Returning"/>
    <s v="Tops"/>
    <s v="Classic Tee"/>
    <s v="Noor Haddad"/>
    <n v="2"/>
    <n v="31.93"/>
    <n v="0"/>
    <n v="63.86"/>
    <n v="63.86"/>
  </r>
  <r>
    <s v="K7-11026"/>
    <d v="2026-06-15T00:00:00"/>
    <s v="California"/>
    <s v="West"/>
    <s v="Online"/>
    <s v="New"/>
    <s v="Dresses"/>
    <s v="Midi Slip Dress"/>
    <s v="Marcus Reed"/>
    <n v="1"/>
    <n v="100.35"/>
    <n v="0"/>
    <n v="100.35"/>
    <n v="100.35"/>
  </r>
  <r>
    <s v="K7-11027"/>
    <d v="2026-09-10T00:00:00"/>
    <s v="California"/>
    <s v="West"/>
    <s v="Marketplace"/>
    <s v="New"/>
    <s v="Dresses"/>
    <s v="Linen Shirt Dress"/>
    <s v="Priya Nair"/>
    <n v="2"/>
    <n v="123.46"/>
    <n v="0"/>
    <n v="246.92"/>
    <n v="246.92"/>
  </r>
  <r>
    <s v="K7-11028"/>
    <d v="2026-01-17T00:00:00"/>
    <s v="Wisconsin"/>
    <s v="Midwest"/>
    <s v="Online"/>
    <s v="New"/>
    <s v="Tops"/>
    <s v="Classic Tee"/>
    <s v="Elena Vargas"/>
    <n v="2"/>
    <n v="31.13"/>
    <n v="0.05"/>
    <n v="59.15"/>
    <n v="62.26"/>
  </r>
  <r>
    <s v="K7-11029"/>
    <d v="2026-10-18T00:00:00"/>
    <s v="California"/>
    <s v="West"/>
    <s v="Retail Store"/>
    <s v="Returning"/>
    <s v="Tops"/>
    <s v="Oxford Shirt"/>
    <s v="Marcus Reed"/>
    <n v="4"/>
    <n v="68.3"/>
    <n v="0.15"/>
    <n v="232.22"/>
    <n v="273.2"/>
  </r>
  <r>
    <s v="K7-11030"/>
    <d v="2026-06-27T00:00:00"/>
    <s v="Pennsylvania"/>
    <s v="Northeast"/>
    <s v="Retail Store"/>
    <s v="Returning"/>
    <s v="Accessories"/>
    <s v="Canvas Tote"/>
    <s v="Marcus Reed"/>
    <n v="9"/>
    <n v="35.369999999999997"/>
    <n v="0"/>
    <n v="318.33"/>
    <n v="318.33"/>
  </r>
  <r>
    <s v="K7-11031"/>
    <d v="2026-06-03T00:00:00"/>
    <s v="Michigan"/>
    <s v="Midwest"/>
    <s v="Retail Store"/>
    <s v="Returning"/>
    <s v="Outerwear"/>
    <s v="Denim Trucker"/>
    <s v="Ava Brooks"/>
    <n v="1"/>
    <n v="119.08"/>
    <n v="0"/>
    <n v="119.08"/>
    <n v="119.08"/>
  </r>
  <r>
    <s v="K7-11032"/>
    <d v="2026-09-29T00:00:00"/>
    <s v="Pennsylvania"/>
    <s v="Northeast"/>
    <s v="Retail Store"/>
    <s v="Returning"/>
    <s v="Bottoms"/>
    <s v="Tailored Short"/>
    <s v="Grace Okafor"/>
    <n v="11"/>
    <n v="60.98"/>
    <n v="0.05"/>
    <n v="637.24"/>
    <n v="670.78"/>
  </r>
  <r>
    <s v="K7-11033"/>
    <d v="2026-10-09T00:00:00"/>
    <s v="California"/>
    <s v="West"/>
    <s v="Online"/>
    <s v="Returning"/>
    <s v="Footwear"/>
    <s v="Suede Loafer"/>
    <s v="Dylan Foster"/>
    <n v="8"/>
    <n v="147.06"/>
    <n v="0"/>
    <n v="1176.48"/>
    <n v="1176.48"/>
  </r>
  <r>
    <s v="K7-11034"/>
    <d v="2026-07-30T00:00:00"/>
    <s v="New Jersey"/>
    <s v="Northeast"/>
    <s v="Wholesale"/>
    <s v="New"/>
    <s v="Accessories"/>
    <s v="Leather Belt"/>
    <s v="Marcus Reed"/>
    <n v="7"/>
    <n v="44.73"/>
    <n v="0.1"/>
    <n v="281.8"/>
    <n v="313.10999999999996"/>
  </r>
  <r>
    <s v="K7-11035"/>
    <d v="2026-06-25T00:00:00"/>
    <s v="Minnesota"/>
    <s v="Midwest"/>
    <s v="Retail Store"/>
    <s v="Returning"/>
    <s v="Outerwear"/>
    <s v="Wool Overcoat"/>
    <s v="Priya Nair"/>
    <n v="1"/>
    <n v="307.7"/>
    <n v="0.1"/>
    <n v="276.93"/>
    <n v="307.7"/>
  </r>
  <r>
    <s v="K7-11036"/>
    <d v="2026-06-21T00:00:00"/>
    <s v="South Carolina"/>
    <s v="South"/>
    <s v="Online"/>
    <s v="Returning"/>
    <s v="Tops"/>
    <s v="Classic Tee"/>
    <s v="Dylan Foster"/>
    <n v="5"/>
    <n v="32.76"/>
    <n v="0"/>
    <n v="163.80000000000001"/>
    <n v="163.79999999999998"/>
  </r>
  <r>
    <s v="K7-11037"/>
    <d v="2026-07-27T00:00:00"/>
    <s v="Ohio"/>
    <s v="Midwest"/>
    <s v="Marketplace"/>
    <s v="Returning"/>
    <s v="Bottoms"/>
    <s v="Slim Chino"/>
    <s v="Grace Okafor"/>
    <n v="5"/>
    <n v="70.989999999999995"/>
    <n v="0"/>
    <n v="354.95"/>
    <n v="354.95"/>
  </r>
  <r>
    <s v="K7-11038"/>
    <d v="2026-10-09T00:00:00"/>
    <s v="North Carolina"/>
    <s v="South"/>
    <s v="Retail Store"/>
    <s v="Returning"/>
    <s v="Tops"/>
    <s v="Striped Polo"/>
    <s v="Jonah Wright"/>
    <n v="14"/>
    <n v="52.05"/>
    <n v="0"/>
    <n v="728.7"/>
    <n v="728.69999999999993"/>
  </r>
  <r>
    <s v="K7-11039"/>
    <d v="2026-11-17T00:00:00"/>
    <s v="Georgia"/>
    <s v="South"/>
    <s v="Marketplace"/>
    <s v="Returning"/>
    <s v="Footwear"/>
    <s v="Leather Boot"/>
    <s v="Grace Okafor"/>
    <n v="4"/>
    <n v="206.12"/>
    <n v="0"/>
    <n v="824.48"/>
    <n v="824.48"/>
  </r>
  <r>
    <s v="K7-11040"/>
    <d v="2026-11-18T00:00:00"/>
    <s v="Wisconsin"/>
    <s v="Midwest"/>
    <s v="Marketplace"/>
    <s v="Returning"/>
    <s v="Outerwear"/>
    <s v="Wool Overcoat"/>
    <s v="Marcus Reed"/>
    <n v="4"/>
    <n v="296.60000000000002"/>
    <n v="0.05"/>
    <n v="1127.08"/>
    <n v="1186.4000000000001"/>
  </r>
  <r>
    <s v="K7-11041"/>
    <d v="2026-10-30T00:00:00"/>
    <s v="Utah"/>
    <s v="West"/>
    <s v="Retail Store"/>
    <s v="New"/>
    <s v="Accessories"/>
    <s v="Canvas Tote"/>
    <s v="Ava Brooks"/>
    <n v="2"/>
    <n v="36.86"/>
    <n v="0"/>
    <n v="73.72"/>
    <n v="73.72"/>
  </r>
  <r>
    <s v="K7-11042"/>
    <d v="2026-03-24T00:00:00"/>
    <s v="Missouri"/>
    <s v="Midwest"/>
    <s v="Marketplace"/>
    <s v="New"/>
    <s v="Bottoms"/>
    <s v="Straight Jeans"/>
    <s v="Ava Brooks"/>
    <n v="1"/>
    <n v="90.75"/>
    <n v="0"/>
    <n v="90.75"/>
    <n v="90.75"/>
  </r>
  <r>
    <s v="K7-11043"/>
    <d v="2026-07-11T00:00:00"/>
    <s v="Florida"/>
    <s v="South"/>
    <s v="Online"/>
    <s v="New"/>
    <s v="Footwear"/>
    <s v="Leather Boot"/>
    <s v="Elena Vargas"/>
    <n v="2"/>
    <n v="230.72"/>
    <n v="0.1"/>
    <n v="415.3"/>
    <n v="461.44"/>
  </r>
  <r>
    <s v="K7-11044"/>
    <d v="2026-02-18T00:00:00"/>
    <s v="Indiana"/>
    <s v="Midwest"/>
    <s v="Retail Store"/>
    <s v="Returning"/>
    <s v="Bottoms"/>
    <s v="Cargo Pant"/>
    <s v="Grace Okafor"/>
    <n v="1"/>
    <n v="79.56"/>
    <n v="0"/>
    <n v="79.56"/>
    <n v="79.56"/>
  </r>
  <r>
    <s v="K7-11045"/>
    <d v="2026-03-30T00:00:00"/>
    <s v="Colorado"/>
    <s v="West"/>
    <s v="Marketplace"/>
    <s v="Returning"/>
    <s v="Bottoms"/>
    <s v="Cargo Pant"/>
    <s v="Ava Brooks"/>
    <n v="1"/>
    <n v="79.87"/>
    <n v="0"/>
    <n v="79.87"/>
    <n v="79.87"/>
  </r>
  <r>
    <s v="K7-11046"/>
    <d v="2026-08-14T00:00:00"/>
    <s v="New York"/>
    <s v="Northeast"/>
    <s v="Retail Store"/>
    <s v="New"/>
    <s v="Bottoms"/>
    <s v="Tailored Short"/>
    <s v="Marcus Reed"/>
    <n v="5"/>
    <n v="56.47"/>
    <n v="0.05"/>
    <n v="268.23"/>
    <n v="282.35000000000002"/>
  </r>
  <r>
    <s v="K7-11047"/>
    <d v="2026-06-11T00:00:00"/>
    <s v="Alabama"/>
    <s v="South"/>
    <s v="Retail Store"/>
    <s v="Returning"/>
    <s v="Outerwear"/>
    <s v="Quilted Jacket"/>
    <s v="Jonah Wright"/>
    <n v="3"/>
    <n v="156"/>
    <n v="0"/>
    <n v="468"/>
    <n v="468"/>
  </r>
  <r>
    <s v="K7-11048"/>
    <d v="2026-11-13T00:00:00"/>
    <s v="Florida"/>
    <s v="South"/>
    <s v="Retail Store"/>
    <s v="Returning"/>
    <s v="Tops"/>
    <s v="Henley Long Sleeve"/>
    <s v="Noor Haddad"/>
    <n v="1"/>
    <n v="44.98"/>
    <n v="0"/>
    <n v="44.98"/>
    <n v="44.98"/>
  </r>
  <r>
    <s v="K7-11049"/>
    <d v="2026-02-02T00:00:00"/>
    <s v="New York"/>
    <s v="Northeast"/>
    <s v="Retail Store"/>
    <s v="New"/>
    <s v="Bottoms"/>
    <s v="Cargo Pant"/>
    <s v="Priya Nair"/>
    <n v="3"/>
    <n v="87.17"/>
    <n v="0"/>
    <n v="261.51"/>
    <n v="261.51"/>
  </r>
  <r>
    <s v="K7-11050"/>
    <d v="2026-01-04T00:00:00"/>
    <s v="Florida"/>
    <s v="South"/>
    <s v="Retail Store"/>
    <s v="Returning"/>
    <s v="Tops"/>
    <s v="Classic Tee"/>
    <s v="Jonah Wright"/>
    <n v="3"/>
    <n v="30.34"/>
    <n v="0.1"/>
    <n v="81.92"/>
    <n v="91.02"/>
  </r>
  <r>
    <s v="K7-11051"/>
    <d v="2026-02-23T00:00:00"/>
    <s v="Arizona"/>
    <s v="West"/>
    <s v="Retail Store"/>
    <s v="New"/>
    <s v="Dresses"/>
    <s v="Midi Slip Dress"/>
    <s v="Elena Vargas"/>
    <n v="1"/>
    <n v="99.48"/>
    <n v="0.05"/>
    <n v="94.51"/>
    <n v="99.48"/>
  </r>
  <r>
    <s v="K7-11052"/>
    <d v="2026-12-31T00:00:00"/>
    <s v="Illinois"/>
    <s v="Midwest"/>
    <s v="Online"/>
    <s v="Returning"/>
    <s v="Bottoms"/>
    <s v="Tailored Short"/>
    <s v="Ava Brooks"/>
    <n v="2"/>
    <n v="54.81"/>
    <n v="0"/>
    <n v="109.62"/>
    <n v="109.62"/>
  </r>
  <r>
    <s v="K7-11053"/>
    <d v="2026-12-26T00:00:00"/>
    <s v="California"/>
    <s v="West"/>
    <s v="Online"/>
    <s v="Returning"/>
    <s v="Footwear"/>
    <s v="Canvas Sneaker"/>
    <s v="Dylan Foster"/>
    <n v="2"/>
    <n v="86.71"/>
    <n v="0.2"/>
    <n v="138.74"/>
    <n v="173.42"/>
  </r>
  <r>
    <s v="K7-11054"/>
    <d v="2026-11-05T00:00:00"/>
    <s v="Oregon"/>
    <s v="West"/>
    <s v="Wholesale"/>
    <s v="Returning"/>
    <s v="Accessories"/>
    <s v="Leather Belt"/>
    <s v="Ava Brooks"/>
    <n v="1"/>
    <n v="44.71"/>
    <n v="0"/>
    <n v="44.71"/>
    <n v="44.71"/>
  </r>
  <r>
    <s v="K7-11055"/>
    <d v="2026-04-08T00:00:00"/>
    <s v="Utah"/>
    <s v="West"/>
    <s v="Online"/>
    <s v="New"/>
    <s v="Tops"/>
    <s v="Oxford Shirt"/>
    <s v="Jonah Wright"/>
    <n v="6"/>
    <n v="63.49"/>
    <n v="0"/>
    <n v="380.94"/>
    <n v="380.94"/>
  </r>
  <r>
    <s v="K7-11056"/>
    <d v="2026-11-20T00:00:00"/>
    <s v="Utah"/>
    <s v="West"/>
    <s v="Retail Store"/>
    <s v="Returning"/>
    <s v="Tops"/>
    <s v="Striped Polo"/>
    <s v="Elena Vargas"/>
    <n v="1"/>
    <n v="57.53"/>
    <n v="0"/>
    <n v="57.53"/>
    <n v="57.53"/>
  </r>
  <r>
    <s v="K7-11057"/>
    <d v="2026-10-27T00:00:00"/>
    <s v="New Jersey"/>
    <s v="Northeast"/>
    <s v="Online"/>
    <s v="New"/>
    <s v="Tops"/>
    <s v="Henley Long Sleeve"/>
    <s v="Ava Brooks"/>
    <n v="1"/>
    <n v="47.27"/>
    <n v="0"/>
    <n v="47.27"/>
    <n v="47.27"/>
  </r>
  <r>
    <s v="K7-11058"/>
    <d v="2026-11-13T00:00:00"/>
    <s v="Ohio"/>
    <s v="Midwest"/>
    <s v="Online"/>
    <s v="Returning"/>
    <s v="Footwear"/>
    <s v="Suede Loafer"/>
    <s v="Dylan Foster"/>
    <n v="4"/>
    <n v="168.32"/>
    <n v="0"/>
    <n v="673.28"/>
    <n v="673.28"/>
  </r>
  <r>
    <s v="K7-11059"/>
    <d v="2026-10-15T00:00:00"/>
    <s v="California"/>
    <s v="West"/>
    <s v="Retail Store"/>
    <s v="Returning"/>
    <s v="Bottoms"/>
    <s v="Straight Jeans"/>
    <s v="Noor Haddad"/>
    <n v="2"/>
    <n v="86.79"/>
    <n v="0"/>
    <n v="173.58"/>
    <n v="173.58"/>
  </r>
  <r>
    <s v="K7-11060"/>
    <d v="2026-03-05T00:00:00"/>
    <s v="Ohio"/>
    <s v="Midwest"/>
    <s v="Retail Store"/>
    <s v="Returning"/>
    <s v="Tops"/>
    <s v="Classic Tee"/>
    <s v="Priya Nair"/>
    <n v="5"/>
    <n v="33.36"/>
    <n v="0"/>
    <n v="166.8"/>
    <n v="166.8"/>
  </r>
  <r>
    <s v="K7-11061"/>
    <d v="2026-12-30T00:00:00"/>
    <s v="Florida"/>
    <s v="South"/>
    <s v="Retail Store"/>
    <s v="Returning"/>
    <s v="Dresses"/>
    <s v="Wrap Dress"/>
    <s v="Ava Brooks"/>
    <n v="2"/>
    <n v="109.76"/>
    <n v="0"/>
    <n v="219.52"/>
    <n v="219.52"/>
  </r>
  <r>
    <s v="K7-11062"/>
    <d v="2026-06-30T00:00:00"/>
    <s v="Pennsylvania"/>
    <s v="Northeast"/>
    <s v="Retail Store"/>
    <s v="New"/>
    <s v="Tops"/>
    <s v="Henley Long Sleeve"/>
    <s v="Marcus Reed"/>
    <n v="2"/>
    <n v="47.77"/>
    <n v="0.3"/>
    <n v="66.88"/>
    <n v="95.54"/>
  </r>
  <r>
    <s v="K7-11063"/>
    <d v="2026-03-09T00:00:00"/>
    <s v="Pennsylvania"/>
    <s v="Northeast"/>
    <s v="Wholesale"/>
    <s v="New"/>
    <s v="Dresses"/>
    <s v="Wrap Dress"/>
    <s v="Priya Nair"/>
    <n v="5"/>
    <n v="122"/>
    <n v="0.3"/>
    <n v="427"/>
    <n v="610"/>
  </r>
  <r>
    <s v="K7-11064"/>
    <d v="2026-07-18T00:00:00"/>
    <s v="California"/>
    <s v="West"/>
    <s v="Online"/>
    <s v="Returning"/>
    <s v="Accessories"/>
    <s v="Knit Beanie"/>
    <s v="Marcus Reed"/>
    <n v="1"/>
    <n v="27.41"/>
    <n v="0.1"/>
    <n v="24.67"/>
    <n v="27.41"/>
  </r>
  <r>
    <s v="K7-11065"/>
    <d v="2026-09-23T00:00:00"/>
    <s v="California"/>
    <s v="West"/>
    <s v="Marketplace"/>
    <s v="Returning"/>
    <s v="Outerwear"/>
    <s v="Hooded Parka"/>
    <s v="Dylan Foster"/>
    <n v="8"/>
    <n v="229.7"/>
    <n v="0.05"/>
    <n v="1745.72"/>
    <n v="1837.6"/>
  </r>
  <r>
    <s v="K7-11066"/>
    <d v="2026-02-24T00:00:00"/>
    <s v="New York"/>
    <s v="Northeast"/>
    <s v="Online"/>
    <s v="Returning"/>
    <s v="Accessories"/>
    <s v="Knit Beanie"/>
    <s v="Jonah Wright"/>
    <n v="1"/>
    <n v="24.22"/>
    <n v="0.05"/>
    <n v="23.01"/>
    <n v="24.22"/>
  </r>
  <r>
    <s v="K7-11067"/>
    <d v="2026-02-28T00:00:00"/>
    <s v="Illinois"/>
    <s v="Midwest"/>
    <s v="Online"/>
    <s v="New"/>
    <s v="Footwear"/>
    <s v="Suede Loafer"/>
    <s v="Marcus Reed"/>
    <n v="2"/>
    <n v="155.74"/>
    <n v="0"/>
    <n v="311.48"/>
    <n v="311.48"/>
  </r>
  <r>
    <s v="K7-11068"/>
    <d v="2026-11-26T00:00:00"/>
    <s v="Pennsylvania"/>
    <s v="Northeast"/>
    <s v="Marketplace"/>
    <s v="Returning"/>
    <s v="Bottoms"/>
    <s v="Tailored Short"/>
    <s v="Noor Haddad"/>
    <n v="2"/>
    <n v="61.31"/>
    <n v="0.1"/>
    <n v="110.36"/>
    <n v="122.62"/>
  </r>
  <r>
    <s v="K7-11069"/>
    <d v="2026-03-24T00:00:00"/>
    <s v="Minnesota"/>
    <s v="Midwest"/>
    <s v="Marketplace"/>
    <s v="New"/>
    <s v="Dresses"/>
    <s v="Wrap Dress"/>
    <s v="Marcus Reed"/>
    <n v="2"/>
    <n v="126.57"/>
    <n v="0"/>
    <n v="253.14"/>
    <n v="253.14"/>
  </r>
  <r>
    <s v="K7-11070"/>
    <d v="2026-08-09T00:00:00"/>
    <s v="Utah"/>
    <s v="West"/>
    <s v="Online"/>
    <s v="Returning"/>
    <s v="Outerwear"/>
    <s v="Wool Overcoat"/>
    <s v="Ava Brooks"/>
    <n v="4"/>
    <n v="283.17"/>
    <n v="0"/>
    <n v="1132.68"/>
    <n v="1132.68"/>
  </r>
  <r>
    <s v="K7-11071"/>
    <d v="2026-11-27T00:00:00"/>
    <s v="Michigan"/>
    <s v="Midwest"/>
    <s v="Retail Store"/>
    <s v="Returning"/>
    <s v="Accessories"/>
    <s v="Canvas Tote"/>
    <s v="Priya Nair"/>
    <n v="10"/>
    <n v="38.590000000000003"/>
    <n v="0"/>
    <n v="385.9"/>
    <n v="385.90000000000003"/>
  </r>
  <r>
    <s v="K7-11072"/>
    <d v="2026-08-21T00:00:00"/>
    <s v="Florida"/>
    <s v="South"/>
    <s v="Retail Store"/>
    <s v="New"/>
    <s v="Bottoms"/>
    <s v="Slim Chino"/>
    <s v="Elena Vargas"/>
    <n v="2"/>
    <n v="77.52"/>
    <n v="0"/>
    <n v="155.04"/>
    <n v="155.04"/>
  </r>
  <r>
    <s v="K7-11073"/>
    <d v="2026-07-19T00:00:00"/>
    <s v="South Carolina"/>
    <s v="South"/>
    <s v="Online"/>
    <s v="Returning"/>
    <s v="Outerwear"/>
    <s v="Quilted Jacket"/>
    <s v="Dylan Foster"/>
    <n v="9"/>
    <n v="172.37"/>
    <n v="0"/>
    <n v="1551.33"/>
    <n v="1551.33"/>
  </r>
  <r>
    <s v="K7-11074"/>
    <d v="2026-09-28T00:00:00"/>
    <s v="California"/>
    <s v="West"/>
    <s v="Online"/>
    <s v="Returning"/>
    <s v="Accessories"/>
    <s v="Knit Beanie"/>
    <s v="Ava Brooks"/>
    <n v="15"/>
    <n v="27.94"/>
    <n v="0"/>
    <n v="419.1"/>
    <n v="419.1"/>
  </r>
  <r>
    <s v="K7-11075"/>
    <d v="2026-03-02T00:00:00"/>
    <s v="Virginia"/>
    <s v="South"/>
    <s v="Retail Store"/>
    <s v="Returning"/>
    <s v="Dresses"/>
    <s v="Linen Shirt Dress"/>
    <s v="Grace Okafor"/>
    <n v="3"/>
    <n v="131.55000000000001"/>
    <n v="0.2"/>
    <n v="315.72000000000003"/>
    <n v="394.65000000000003"/>
  </r>
  <r>
    <s v="K7-11076"/>
    <d v="2026-03-10T00:00:00"/>
    <s v="Wisconsin"/>
    <s v="Midwest"/>
    <s v="Retail Store"/>
    <s v="New"/>
    <s v="Outerwear"/>
    <s v="Quilted Jacket"/>
    <s v="Noor Haddad"/>
    <n v="6"/>
    <n v="170.21"/>
    <n v="0"/>
    <n v="1021.26"/>
    <n v="1021.26"/>
  </r>
  <r>
    <s v="K7-11077"/>
    <d v="2026-09-14T00:00:00"/>
    <s v="Georgia"/>
    <s v="South"/>
    <s v="Online"/>
    <s v="New"/>
    <s v="Tops"/>
    <s v="Oxford Shirt"/>
    <s v="Marcus Reed"/>
    <n v="11"/>
    <n v="70.099999999999994"/>
    <n v="0"/>
    <n v="771.1"/>
    <n v="771.09999999999991"/>
  </r>
  <r>
    <s v="K7-11078"/>
    <d v="2026-06-21T00:00:00"/>
    <s v="Idaho"/>
    <s v="West"/>
    <s v="Online"/>
    <s v="Returning"/>
    <s v="Accessories"/>
    <s v="Canvas Tote"/>
    <s v="Grace Okafor"/>
    <n v="2"/>
    <n v="39.01"/>
    <n v="0"/>
    <n v="78.02"/>
    <n v="78.02"/>
  </r>
  <r>
    <s v="K7-11079"/>
    <d v="2026-02-04T00:00:00"/>
    <s v="Arizona"/>
    <s v="West"/>
    <s v="Wholesale"/>
    <s v="Returning"/>
    <s v="Bottoms"/>
    <s v="Cargo Pant"/>
    <s v="Ava Brooks"/>
    <n v="8"/>
    <n v="78.75"/>
    <n v="0"/>
    <n v="630"/>
    <n v="630"/>
  </r>
  <r>
    <s v="K7-11080"/>
    <d v="2026-03-26T00:00:00"/>
    <s v="Indiana"/>
    <s v="Midwest"/>
    <s v="Retail Store"/>
    <s v="New"/>
    <s v="Tops"/>
    <s v="Classic Tee"/>
    <s v="Grace Okafor"/>
    <n v="4"/>
    <n v="31.82"/>
    <n v="0.2"/>
    <n v="101.82"/>
    <n v="127.28"/>
  </r>
  <r>
    <s v="K7-11081"/>
    <d v="2026-07-20T00:00:00"/>
    <s v="Virginia"/>
    <s v="South"/>
    <s v="Marketplace"/>
    <s v="New"/>
    <s v="Tops"/>
    <s v="Classic Tee"/>
    <s v="Grace Okafor"/>
    <n v="9"/>
    <n v="31.45"/>
    <n v="0"/>
    <n v="283.05"/>
    <n v="283.05"/>
  </r>
  <r>
    <s v="K7-11082"/>
    <d v="2026-11-16T00:00:00"/>
    <s v="Arizona"/>
    <s v="West"/>
    <s v="Online"/>
    <s v="Returning"/>
    <s v="Accessories"/>
    <s v="Leather Belt"/>
    <s v="Noor Haddad"/>
    <n v="8"/>
    <n v="47.16"/>
    <n v="0.1"/>
    <n v="339.55"/>
    <n v="377.28"/>
  </r>
  <r>
    <s v="K7-11083"/>
    <d v="2026-04-28T00:00:00"/>
    <s v="Texas"/>
    <s v="South"/>
    <s v="Wholesale"/>
    <s v="New"/>
    <s v="Outerwear"/>
    <s v="Hooded Parka"/>
    <s v="Dylan Foster"/>
    <n v="2"/>
    <n v="240.75"/>
    <n v="0"/>
    <n v="481.5"/>
    <n v="481.5"/>
  </r>
  <r>
    <s v="K7-11084"/>
    <d v="2026-04-05T00:00:00"/>
    <s v="New York"/>
    <s v="Northeast"/>
    <s v="Online"/>
    <s v="New"/>
    <s v="Accessories"/>
    <s v="Canvas Tote"/>
    <s v="Priya Nair"/>
    <n v="2"/>
    <n v="40.64"/>
    <n v="0"/>
    <n v="81.28"/>
    <n v="81.28"/>
  </r>
  <r>
    <s v="K7-11085"/>
    <d v="2026-10-21T00:00:00"/>
    <s v="Maryland"/>
    <s v="South"/>
    <s v="Retail Store"/>
    <s v="New"/>
    <s v="Outerwear"/>
    <s v="Denim Trucker"/>
    <s v="Jonah Wright"/>
    <n v="10"/>
    <n v="131.53"/>
    <n v="0"/>
    <n v="1315.3"/>
    <n v="1315.3"/>
  </r>
  <r>
    <s v="K7-11086"/>
    <d v="2026-10-13T00:00:00"/>
    <s v="Arizona"/>
    <s v="West"/>
    <s v="Wholesale"/>
    <s v="Returning"/>
    <s v="Outerwear"/>
    <s v="Quilted Jacket"/>
    <s v="Jonah Wright"/>
    <n v="5"/>
    <n v="177.99"/>
    <n v="0.3"/>
    <n v="622.97"/>
    <n v="889.95"/>
  </r>
  <r>
    <s v="K7-11087"/>
    <d v="2026-11-14T00:00:00"/>
    <s v="Virginia"/>
    <s v="South"/>
    <s v="Marketplace"/>
    <s v="New"/>
    <s v="Bottoms"/>
    <s v="Slim Chino"/>
    <s v="Grace Okafor"/>
    <n v="4"/>
    <n v="71.39"/>
    <n v="0.1"/>
    <n v="257"/>
    <n v="285.56"/>
  </r>
  <r>
    <s v="K7-11088"/>
    <d v="2026-10-09T00:00:00"/>
    <s v="Florida"/>
    <s v="South"/>
    <s v="Online"/>
    <s v="Returning"/>
    <s v="Footwear"/>
    <s v="Suede Loafer"/>
    <s v="Ava Brooks"/>
    <n v="1"/>
    <n v="164.66"/>
    <n v="0"/>
    <n v="164.66"/>
    <n v="164.66"/>
  </r>
  <r>
    <s v="K7-11089"/>
    <d v="2026-01-01T00:00:00"/>
    <s v="Missouri"/>
    <s v="Midwest"/>
    <s v="Online"/>
    <s v="New"/>
    <s v="Tops"/>
    <s v="Oxford Shirt"/>
    <s v="Noor Haddad"/>
    <n v="2"/>
    <n v="69.31"/>
    <n v="0"/>
    <n v="138.62"/>
    <n v="138.62"/>
  </r>
  <r>
    <s v="K7-11090"/>
    <d v="2026-06-21T00:00:00"/>
    <s v="Louisiana"/>
    <s v="South"/>
    <s v="Online"/>
    <s v="Returning"/>
    <s v="Dresses"/>
    <s v="Linen Shirt Dress"/>
    <s v="Dylan Foster"/>
    <n v="1"/>
    <n v="139.12"/>
    <n v="0"/>
    <n v="139.12"/>
    <n v="139.12"/>
  </r>
  <r>
    <s v="K7-11091"/>
    <d v="2026-03-18T00:00:00"/>
    <s v="Ohio"/>
    <s v="Midwest"/>
    <s v="Wholesale"/>
    <s v="Returning"/>
    <s v="Footwear"/>
    <s v="Canvas Sneaker"/>
    <s v="Elena Vargas"/>
    <n v="4"/>
    <n v="90.1"/>
    <n v="0"/>
    <n v="360.4"/>
    <n v="360.4"/>
  </r>
  <r>
    <s v="K7-11092"/>
    <d v="2026-05-13T00:00:00"/>
    <s v="North Carolina"/>
    <s v="South"/>
    <s v="Marketplace"/>
    <s v="Returning"/>
    <s v="Outerwear"/>
    <s v="Hooded Parka"/>
    <s v="Noor Haddad"/>
    <n v="4"/>
    <n v="236.11"/>
    <n v="0.05"/>
    <n v="897.22"/>
    <n v="944.44"/>
  </r>
  <r>
    <s v="K7-11093"/>
    <d v="2026-08-12T00:00:00"/>
    <s v="Georgia"/>
    <s v="South"/>
    <s v="Marketplace"/>
    <s v="Returning"/>
    <s v="Bottoms"/>
    <s v="Cargo Pant"/>
    <s v="Elena Vargas"/>
    <n v="3"/>
    <n v="88.48"/>
    <n v="0.1"/>
    <n v="238.9"/>
    <n v="265.44"/>
  </r>
  <r>
    <s v="K7-11094"/>
    <d v="2026-02-27T00:00:00"/>
    <s v="Washington"/>
    <s v="West"/>
    <s v="Online"/>
    <s v="Returning"/>
    <s v="Accessories"/>
    <s v="Silk Scarf"/>
    <s v="Noor Haddad"/>
    <n v="1"/>
    <n v="61.1"/>
    <n v="0.1"/>
    <n v="54.99"/>
    <n v="61.1"/>
  </r>
  <r>
    <s v="K7-11095"/>
    <d v="2026-09-08T00:00:00"/>
    <s v="Louisiana"/>
    <s v="South"/>
    <s v="Retail Store"/>
    <s v="New"/>
    <s v="Accessories"/>
    <s v="Knit Beanie"/>
    <s v="Jonah Wright"/>
    <n v="1"/>
    <n v="26.8"/>
    <n v="0"/>
    <n v="26.8"/>
    <n v="26.8"/>
  </r>
  <r>
    <s v="K7-11096"/>
    <d v="2026-02-12T00:00:00"/>
    <s v="Pennsylvania"/>
    <s v="Northeast"/>
    <s v="Retail Store"/>
    <s v="New"/>
    <s v="Footwear"/>
    <s v="Suede Loafer"/>
    <s v="Dylan Foster"/>
    <n v="4"/>
    <n v="153.52000000000001"/>
    <n v="0.2"/>
    <n v="491.26"/>
    <n v="614.08000000000004"/>
  </r>
  <r>
    <s v="K7-11097"/>
    <d v="2026-06-12T00:00:00"/>
    <s v="Oregon"/>
    <s v="West"/>
    <s v="Marketplace"/>
    <s v="Returning"/>
    <s v="Bottoms"/>
    <s v="Slim Chino"/>
    <s v="Grace Okafor"/>
    <n v="1"/>
    <n v="77.12"/>
    <n v="0"/>
    <n v="77.12"/>
    <n v="77.12"/>
  </r>
  <r>
    <s v="K7-11098"/>
    <d v="2026-11-28T00:00:00"/>
    <s v="Illinois"/>
    <s v="Midwest"/>
    <s v="Online"/>
    <s v="New"/>
    <s v="Bottoms"/>
    <s v="Straight Jeans"/>
    <s v="Priya Nair"/>
    <n v="1"/>
    <n v="98.24"/>
    <n v="0"/>
    <n v="98.24"/>
    <n v="98.24"/>
  </r>
  <r>
    <s v="K7-11099"/>
    <d v="2026-07-13T00:00:00"/>
    <s v="Maryland"/>
    <s v="South"/>
    <s v="Online"/>
    <s v="New"/>
    <s v="Accessories"/>
    <s v="Leather Belt"/>
    <s v="Priya Nair"/>
    <n v="1"/>
    <n v="44.9"/>
    <n v="0"/>
    <n v="44.9"/>
    <n v="44.9"/>
  </r>
  <r>
    <s v="K7-11100"/>
    <d v="2026-04-16T00:00:00"/>
    <s v="New York"/>
    <s v="Northeast"/>
    <s v="Online"/>
    <s v="New"/>
    <s v="Outerwear"/>
    <s v="Denim Trucker"/>
    <s v="Ava Brooks"/>
    <n v="4"/>
    <n v="136.35"/>
    <n v="0"/>
    <n v="545.4"/>
    <n v="545.4"/>
  </r>
  <r>
    <s v="K7-11101"/>
    <d v="2026-01-11T00:00:00"/>
    <s v="California"/>
    <s v="West"/>
    <s v="Online"/>
    <s v="Returning"/>
    <s v="Tops"/>
    <s v="Classic Tee"/>
    <s v="Priya Nair"/>
    <n v="2"/>
    <n v="32.83"/>
    <n v="0"/>
    <n v="65.66"/>
    <n v="65.66"/>
  </r>
  <r>
    <s v="K7-11102"/>
    <d v="2026-09-24T00:00:00"/>
    <s v="New York"/>
    <s v="Northeast"/>
    <s v="Marketplace"/>
    <s v="Returning"/>
    <s v="Bottoms"/>
    <s v="Straight Jeans"/>
    <s v="Ava Brooks"/>
    <n v="2"/>
    <n v="96.95"/>
    <n v="0"/>
    <n v="193.9"/>
    <n v="193.9"/>
  </r>
  <r>
    <s v="K7-11103"/>
    <d v="2026-03-14T00:00:00"/>
    <s v="Illinois"/>
    <s v="Midwest"/>
    <s v="Online"/>
    <s v="Returning"/>
    <s v="Outerwear"/>
    <s v="Quilted Jacket"/>
    <s v="Dylan Foster"/>
    <n v="4"/>
    <n v="165.9"/>
    <n v="0"/>
    <n v="663.6"/>
    <n v="663.6"/>
  </r>
  <r>
    <s v="K7-11104"/>
    <d v="2026-05-30T00:00:00"/>
    <s v="North Carolina"/>
    <s v="South"/>
    <s v="Online"/>
    <s v="New"/>
    <s v="Dresses"/>
    <s v="Linen Shirt Dress"/>
    <s v="Priya Nair"/>
    <n v="1"/>
    <n v="127.29"/>
    <n v="0"/>
    <n v="127.29"/>
    <n v="127.29"/>
  </r>
  <r>
    <s v="K7-11105"/>
    <d v="2026-07-10T00:00:00"/>
    <s v="Oregon"/>
    <s v="West"/>
    <s v="Online"/>
    <s v="New"/>
    <s v="Outerwear"/>
    <s v="Quilted Jacket"/>
    <s v="Elena Vargas"/>
    <n v="1"/>
    <n v="162.97999999999999"/>
    <n v="0"/>
    <n v="162.97999999999999"/>
    <n v="162.97999999999999"/>
  </r>
  <r>
    <s v="K7-11106"/>
    <d v="2026-04-17T00:00:00"/>
    <s v="California"/>
    <s v="West"/>
    <s v="Online"/>
    <s v="New"/>
    <s v="Dresses"/>
    <s v="Linen Shirt Dress"/>
    <s v="Priya Nair"/>
    <n v="3"/>
    <n v="130.32"/>
    <n v="0"/>
    <n v="390.96"/>
    <n v="390.96"/>
  </r>
  <r>
    <s v="K7-11107"/>
    <d v="2026-11-06T00:00:00"/>
    <s v="South Carolina"/>
    <s v="South"/>
    <s v="Retail Store"/>
    <s v="New"/>
    <s v="Outerwear"/>
    <s v="Hooded Parka"/>
    <s v="Priya Nair"/>
    <n v="1"/>
    <n v="242.68"/>
    <n v="0"/>
    <n v="242.68"/>
    <n v="242.68"/>
  </r>
  <r>
    <s v="K7-11108"/>
    <d v="2026-03-24T00:00:00"/>
    <s v="Connecticut"/>
    <s v="Northeast"/>
    <s v="Online"/>
    <s v="Returning"/>
    <s v="Tops"/>
    <s v="Oxford Shirt"/>
    <s v="Dylan Foster"/>
    <n v="10"/>
    <n v="64.989999999999995"/>
    <n v="0"/>
    <n v="649.9"/>
    <n v="649.9"/>
  </r>
  <r>
    <s v="K7-11109"/>
    <d v="2026-04-04T00:00:00"/>
    <s v="Pennsylvania"/>
    <s v="Northeast"/>
    <s v="Retail Store"/>
    <s v="Returning"/>
    <s v="Footwear"/>
    <s v="Suede Loafer"/>
    <s v="Priya Nair"/>
    <n v="2"/>
    <n v="170.03"/>
    <n v="0"/>
    <n v="340.06"/>
    <n v="340.06"/>
  </r>
  <r>
    <s v="K7-11110"/>
    <d v="2026-05-28T00:00:00"/>
    <s v="Connecticut"/>
    <s v="Northeast"/>
    <s v="Marketplace"/>
    <s v="Returning"/>
    <s v="Outerwear"/>
    <s v="Quilted Jacket"/>
    <s v="Noor Haddad"/>
    <n v="1"/>
    <n v="164.41"/>
    <n v="0"/>
    <n v="164.41"/>
    <n v="164.41"/>
  </r>
  <r>
    <s v="K7-11111"/>
    <d v="2026-06-15T00:00:00"/>
    <s v="Florida"/>
    <s v="South"/>
    <s v="Online"/>
    <s v="New"/>
    <s v="Dresses"/>
    <s v="Midi Slip Dress"/>
    <s v="Ava Brooks"/>
    <n v="1"/>
    <n v="103.86"/>
    <n v="0"/>
    <n v="103.86"/>
    <n v="103.86"/>
  </r>
  <r>
    <s v="K7-11112"/>
    <d v="2026-05-24T00:00:00"/>
    <s v="Tennessee"/>
    <s v="South"/>
    <s v="Online"/>
    <s v="New"/>
    <s v="Dresses"/>
    <s v="Linen Shirt Dress"/>
    <s v="Marcus Reed"/>
    <n v="8"/>
    <n v="144.6"/>
    <n v="0"/>
    <n v="1156.8"/>
    <n v="1156.8"/>
  </r>
  <r>
    <s v="K7-11113"/>
    <d v="2026-03-25T00:00:00"/>
    <s v="Florida"/>
    <s v="South"/>
    <s v="Online"/>
    <s v="Returning"/>
    <s v="Tops"/>
    <s v="Henley Long Sleeve"/>
    <s v="Jonah Wright"/>
    <n v="6"/>
    <n v="44.57"/>
    <n v="0.1"/>
    <n v="240.68"/>
    <n v="267.42"/>
  </r>
  <r>
    <s v="K7-11114"/>
    <d v="2026-08-31T00:00:00"/>
    <s v="Texas"/>
    <s v="South"/>
    <s v="Online"/>
    <s v="Returning"/>
    <s v="Tops"/>
    <s v="Striped Polo"/>
    <s v="Noor Haddad"/>
    <n v="1"/>
    <n v="53.83"/>
    <n v="0"/>
    <n v="53.83"/>
    <n v="53.83"/>
  </r>
  <r>
    <s v="K7-11115"/>
    <d v="2026-01-15T00:00:00"/>
    <s v="Florida"/>
    <s v="South"/>
    <s v="Marketplace"/>
    <s v="Returning"/>
    <s v="Bottoms"/>
    <s v="Slim Chino"/>
    <s v="Jonah Wright"/>
    <n v="3"/>
    <n v="79.48"/>
    <n v="0"/>
    <n v="238.44"/>
    <n v="238.44"/>
  </r>
  <r>
    <s v="K7-11116"/>
    <d v="2026-07-31T00:00:00"/>
    <s v="Florida"/>
    <s v="South"/>
    <s v="Retail Store"/>
    <s v="New"/>
    <s v="Footwear"/>
    <s v="Leather Boot"/>
    <s v="Dylan Foster"/>
    <n v="1"/>
    <n v="226.92"/>
    <n v="0.05"/>
    <n v="215.57"/>
    <n v="226.92"/>
  </r>
  <r>
    <s v="K7-11117"/>
    <d v="2026-12-13T00:00:00"/>
    <s v="Virginia"/>
    <s v="South"/>
    <s v="Retail Store"/>
    <s v="Returning"/>
    <s v="Tops"/>
    <s v="Henley Long Sleeve"/>
    <s v="Dylan Foster"/>
    <n v="3"/>
    <n v="46.71"/>
    <n v="0"/>
    <n v="140.13"/>
    <n v="140.13"/>
  </r>
  <r>
    <s v="K7-11118"/>
    <d v="2026-09-17T00:00:00"/>
    <s v="Florida"/>
    <s v="South"/>
    <s v="Retail Store"/>
    <s v="New"/>
    <s v="Bottoms"/>
    <s v="Cargo Pant"/>
    <s v="Marcus Reed"/>
    <n v="3"/>
    <n v="90.05"/>
    <n v="0"/>
    <n v="270.14999999999998"/>
    <n v="270.14999999999998"/>
  </r>
  <r>
    <s v="K7-11119"/>
    <d v="2026-12-09T00:00:00"/>
    <s v="Indiana"/>
    <s v="Midwest"/>
    <s v="Online"/>
    <s v="Returning"/>
    <s v="Footwear"/>
    <s v="Leather Boot"/>
    <s v="Noor Haddad"/>
    <n v="1"/>
    <n v="210.95"/>
    <n v="0"/>
    <n v="210.95"/>
    <n v="210.95"/>
  </r>
  <r>
    <s v="K7-11120"/>
    <d v="2026-03-28T00:00:00"/>
    <s v="Indiana"/>
    <s v="Midwest"/>
    <s v="Online"/>
    <s v="New"/>
    <s v="Accessories"/>
    <s v="Silk Scarf"/>
    <s v="Jonah Wright"/>
    <n v="6"/>
    <n v="57.3"/>
    <n v="0"/>
    <n v="343.8"/>
    <n v="343.79999999999995"/>
  </r>
  <r>
    <s v="K7-11121"/>
    <d v="2026-05-11T00:00:00"/>
    <s v="Massachusetts"/>
    <s v="Northeast"/>
    <s v="Retail Store"/>
    <s v="Returning"/>
    <s v="Footwear"/>
    <s v="Canvas Sneaker"/>
    <s v="Jonah Wright"/>
    <n v="4"/>
    <n v="86.81"/>
    <n v="0"/>
    <n v="347.24"/>
    <n v="347.24"/>
  </r>
  <r>
    <s v="K7-11122"/>
    <d v="2026-09-16T00:00:00"/>
    <s v="New Jersey"/>
    <s v="Northeast"/>
    <s v="Online"/>
    <s v="Returning"/>
    <s v="Footwear"/>
    <s v="Suede Loafer"/>
    <s v="Ava Brooks"/>
    <n v="1"/>
    <n v="148.02000000000001"/>
    <n v="0"/>
    <n v="148.02000000000001"/>
    <n v="148.02000000000001"/>
  </r>
  <r>
    <s v="K7-11123"/>
    <d v="2026-10-12T00:00:00"/>
    <s v="Utah"/>
    <s v="West"/>
    <s v="Retail Store"/>
    <s v="New"/>
    <s v="Footwear"/>
    <s v="Suede Loafer"/>
    <s v="Elena Vargas"/>
    <n v="2"/>
    <n v="170.36"/>
    <n v="0"/>
    <n v="340.72"/>
    <n v="340.72"/>
  </r>
  <r>
    <s v="K7-11124"/>
    <d v="2026-07-26T00:00:00"/>
    <s v="California"/>
    <s v="West"/>
    <s v="Retail Store"/>
    <s v="New"/>
    <s v="Outerwear"/>
    <s v="Hooded Parka"/>
    <s v="Ava Brooks"/>
    <n v="1"/>
    <n v="233.11"/>
    <n v="0"/>
    <n v="233.11"/>
    <n v="233.11"/>
  </r>
  <r>
    <s v="K7-11125"/>
    <d v="2026-09-20T00:00:00"/>
    <s v="Louisiana"/>
    <s v="South"/>
    <s v="Retail Store"/>
    <s v="New"/>
    <s v="Dresses"/>
    <s v="Midi Slip Dress"/>
    <s v="Grace Okafor"/>
    <n v="1"/>
    <n v="104.01"/>
    <n v="0"/>
    <n v="104.01"/>
    <n v="104.01"/>
  </r>
  <r>
    <s v="K7-11126"/>
    <d v="2026-02-22T00:00:00"/>
    <s v="Michigan"/>
    <s v="Midwest"/>
    <s v="Retail Store"/>
    <s v="New"/>
    <s v="Dresses"/>
    <s v="Linen Shirt Dress"/>
    <s v="Grace Okafor"/>
    <n v="2"/>
    <n v="137.13999999999999"/>
    <n v="0"/>
    <n v="274.27999999999997"/>
    <n v="274.27999999999997"/>
  </r>
  <r>
    <s v="K7-11127"/>
    <d v="2026-10-01T00:00:00"/>
    <s v="Texas"/>
    <s v="South"/>
    <s v="Online"/>
    <s v="New"/>
    <s v="Dresses"/>
    <s v="Linen Shirt Dress"/>
    <s v="Jonah Wright"/>
    <n v="3"/>
    <n v="144.36000000000001"/>
    <n v="0"/>
    <n v="433.08"/>
    <n v="433.08000000000004"/>
  </r>
  <r>
    <s v="K7-11128"/>
    <d v="2026-04-19T00:00:00"/>
    <s v="Alabama"/>
    <s v="South"/>
    <s v="Retail Store"/>
    <s v="Returning"/>
    <s v="Accessories"/>
    <s v="Knit Beanie"/>
    <s v="Ava Brooks"/>
    <n v="5"/>
    <n v="24.81"/>
    <n v="0.05"/>
    <n v="117.85"/>
    <n v="124.05"/>
  </r>
  <r>
    <s v="K7-11129"/>
    <d v="2026-04-19T00:00:00"/>
    <s v="Tennessee"/>
    <s v="South"/>
    <s v="Online"/>
    <s v="New"/>
    <s v="Dresses"/>
    <s v="Linen Shirt Dress"/>
    <s v="Dylan Foster"/>
    <n v="2"/>
    <n v="139.78"/>
    <n v="0"/>
    <n v="279.56"/>
    <n v="279.56"/>
  </r>
  <r>
    <s v="K7-11130"/>
    <d v="2026-04-06T00:00:00"/>
    <s v="Illinois"/>
    <s v="Midwest"/>
    <s v="Retail Store"/>
    <s v="Returning"/>
    <s v="Outerwear"/>
    <s v="Denim Trucker"/>
    <s v="Priya Nair"/>
    <n v="1"/>
    <n v="126.22"/>
    <n v="0.1"/>
    <n v="113.6"/>
    <n v="126.22"/>
  </r>
  <r>
    <s v="K7-11131"/>
    <d v="2026-09-21T00:00:00"/>
    <s v="Arizona"/>
    <s v="West"/>
    <s v="Wholesale"/>
    <s v="Returning"/>
    <s v="Tops"/>
    <s v="Classic Tee"/>
    <s v="Elena Vargas"/>
    <n v="2"/>
    <n v="32.6"/>
    <n v="0"/>
    <n v="65.2"/>
    <n v="65.2"/>
  </r>
  <r>
    <s v="K7-11132"/>
    <d v="2026-01-07T00:00:00"/>
    <s v="Colorado"/>
    <s v="West"/>
    <s v="Retail Store"/>
    <s v="Returning"/>
    <s v="Bottoms"/>
    <s v="Tailored Short"/>
    <s v="Grace Okafor"/>
    <n v="2"/>
    <n v="58.27"/>
    <n v="0"/>
    <n v="116.54"/>
    <n v="116.54"/>
  </r>
  <r>
    <s v="K7-11133"/>
    <d v="2026-06-18T00:00:00"/>
    <s v="Washington"/>
    <s v="West"/>
    <s v="Online"/>
    <s v="Returning"/>
    <s v="Bottoms"/>
    <s v="Slim Chino"/>
    <s v="Priya Nair"/>
    <n v="3"/>
    <n v="72.3"/>
    <n v="0.3"/>
    <n v="151.83000000000001"/>
    <n v="216.89999999999998"/>
  </r>
  <r>
    <s v="K7-11134"/>
    <d v="2026-08-24T00:00:00"/>
    <s v="Georgia"/>
    <s v="South"/>
    <s v="Online"/>
    <s v="New"/>
    <s v="Tops"/>
    <s v="Henley Long Sleeve"/>
    <s v="Jonah Wright"/>
    <n v="2"/>
    <n v="49.19"/>
    <n v="0.2"/>
    <n v="78.7"/>
    <n v="98.38"/>
  </r>
  <r>
    <s v="K7-11135"/>
    <d v="2026-05-14T00:00:00"/>
    <s v="New Jersey"/>
    <s v="Northeast"/>
    <s v="Retail Store"/>
    <s v="New"/>
    <s v="Accessories"/>
    <s v="Leather Belt"/>
    <s v="Jonah Wright"/>
    <n v="3"/>
    <n v="46.94"/>
    <n v="0.15"/>
    <n v="119.7"/>
    <n v="140.82"/>
  </r>
  <r>
    <s v="K7-11136"/>
    <d v="2026-09-11T00:00:00"/>
    <s v="Texas"/>
    <s v="South"/>
    <s v="Online"/>
    <s v="Returning"/>
    <s v="Footwear"/>
    <s v="Canvas Sneaker"/>
    <s v="Dylan Foster"/>
    <n v="8"/>
    <n v="90.12"/>
    <n v="0"/>
    <n v="720.96"/>
    <n v="720.96"/>
  </r>
  <r>
    <s v="K7-11137"/>
    <d v="2026-11-25T00:00:00"/>
    <s v="New York"/>
    <s v="Northeast"/>
    <s v="Retail Store"/>
    <s v="Returning"/>
    <s v="Tops"/>
    <s v="Oxford Shirt"/>
    <s v="Jonah Wright"/>
    <n v="5"/>
    <n v="67.040000000000006"/>
    <n v="0.05"/>
    <n v="318.44"/>
    <n v="335.20000000000005"/>
  </r>
  <r>
    <s v="K7-11138"/>
    <d v="2026-06-17T00:00:00"/>
    <s v="Texas"/>
    <s v="South"/>
    <s v="Online"/>
    <s v="Returning"/>
    <s v="Outerwear"/>
    <s v="Hooded Parka"/>
    <s v="Noor Haddad"/>
    <n v="3"/>
    <n v="224.5"/>
    <n v="0.3"/>
    <n v="471.45"/>
    <n v="673.5"/>
  </r>
  <r>
    <s v="K7-11139"/>
    <d v="2026-07-08T00:00:00"/>
    <s v="Illinois"/>
    <s v="Midwest"/>
    <s v="Wholesale"/>
    <s v="Returning"/>
    <s v="Bottoms"/>
    <s v="Slim Chino"/>
    <s v="Dylan Foster"/>
    <n v="1"/>
    <n v="79.760000000000005"/>
    <n v="0.3"/>
    <n v="55.83"/>
    <n v="79.760000000000005"/>
  </r>
  <r>
    <s v="K7-11140"/>
    <d v="2026-07-17T00:00:00"/>
    <s v="Michigan"/>
    <s v="Midwest"/>
    <s v="Online"/>
    <s v="Returning"/>
    <s v="Bottoms"/>
    <s v="Straight Jeans"/>
    <s v="Ava Brooks"/>
    <n v="4"/>
    <n v="95.84"/>
    <n v="0.1"/>
    <n v="345.02"/>
    <n v="383.36"/>
  </r>
  <r>
    <s v="K7-11141"/>
    <d v="2026-04-06T00:00:00"/>
    <s v="Georgia"/>
    <s v="South"/>
    <s v="Retail Store"/>
    <s v="New"/>
    <s v="Outerwear"/>
    <s v="Hooded Parka"/>
    <s v="Elena Vargas"/>
    <n v="11"/>
    <n v="239.79"/>
    <n v="0"/>
    <n v="2637.69"/>
    <n v="2637.69"/>
  </r>
  <r>
    <s v="K7-11142"/>
    <d v="2026-10-29T00:00:00"/>
    <s v="Illinois"/>
    <s v="Midwest"/>
    <s v="Online"/>
    <s v="New"/>
    <s v="Dresses"/>
    <s v="Midi Slip Dress"/>
    <s v="Dylan Foster"/>
    <n v="2"/>
    <n v="91.23"/>
    <n v="0"/>
    <n v="182.46"/>
    <n v="182.46"/>
  </r>
  <r>
    <s v="K7-11143"/>
    <d v="2026-09-30T00:00:00"/>
    <s v="Georgia"/>
    <s v="South"/>
    <s v="Online"/>
    <s v="Returning"/>
    <s v="Footwear"/>
    <s v="Leather Boot"/>
    <s v="Priya Nair"/>
    <n v="3"/>
    <n v="204"/>
    <n v="0.05"/>
    <n v="581.4"/>
    <n v="612"/>
  </r>
  <r>
    <s v="K7-11144"/>
    <d v="2026-02-03T00:00:00"/>
    <s v="Texas"/>
    <s v="South"/>
    <s v="Online"/>
    <s v="New"/>
    <s v="Tops"/>
    <s v="Striped Polo"/>
    <s v="Ava Brooks"/>
    <n v="6"/>
    <n v="56.41"/>
    <n v="0.15"/>
    <n v="287.69"/>
    <n v="338.46"/>
  </r>
  <r>
    <s v="K7-11145"/>
    <d v="2026-11-06T00:00:00"/>
    <s v="Florida"/>
    <s v="South"/>
    <s v="Retail Store"/>
    <s v="New"/>
    <s v="Bottoms"/>
    <s v="Tailored Short"/>
    <s v="Grace Okafor"/>
    <n v="6"/>
    <n v="56.94"/>
    <n v="0"/>
    <n v="341.64"/>
    <n v="341.64"/>
  </r>
  <r>
    <s v="K7-11146"/>
    <d v="2026-04-17T00:00:00"/>
    <s v="Arizona"/>
    <s v="West"/>
    <s v="Online"/>
    <s v="Returning"/>
    <s v="Dresses"/>
    <s v="Midi Slip Dress"/>
    <s v="Dylan Foster"/>
    <n v="4"/>
    <n v="101.9"/>
    <n v="0"/>
    <n v="407.6"/>
    <n v="407.6"/>
  </r>
  <r>
    <s v="K7-11147"/>
    <d v="2026-11-18T00:00:00"/>
    <s v="Florida"/>
    <s v="South"/>
    <s v="Retail Store"/>
    <s v="Returning"/>
    <s v="Bottoms"/>
    <s v="Slim Chino"/>
    <s v="Noor Haddad"/>
    <n v="5"/>
    <n v="74.27"/>
    <n v="0"/>
    <n v="371.35"/>
    <n v="371.34999999999997"/>
  </r>
  <r>
    <s v="K7-11148"/>
    <d v="2026-04-02T00:00:00"/>
    <s v="Georgia"/>
    <s v="South"/>
    <s v="Marketplace"/>
    <s v="Returning"/>
    <s v="Bottoms"/>
    <s v="Straight Jeans"/>
    <s v="Ava Brooks"/>
    <n v="5"/>
    <n v="91.01"/>
    <n v="0"/>
    <n v="455.05"/>
    <n v="455.05"/>
  </r>
  <r>
    <s v="K7-11149"/>
    <d v="2026-01-03T00:00:00"/>
    <s v="California"/>
    <s v="West"/>
    <s v="Online"/>
    <s v="New"/>
    <s v="Footwear"/>
    <s v="Suede Loafer"/>
    <s v="Dylan Foster"/>
    <n v="1"/>
    <n v="170.56"/>
    <n v="0"/>
    <n v="170.56"/>
    <n v="170.56"/>
  </r>
  <r>
    <s v="K7-11150"/>
    <d v="2026-12-22T00:00:00"/>
    <s v="California"/>
    <s v="West"/>
    <s v="Retail Store"/>
    <s v="New"/>
    <s v="Footwear"/>
    <s v="Leather Boot"/>
    <s v="Ava Brooks"/>
    <n v="7"/>
    <n v="217.9"/>
    <n v="0"/>
    <n v="1525.3"/>
    <n v="1525.3"/>
  </r>
  <r>
    <s v="K7-11151"/>
    <d v="2026-11-17T00:00:00"/>
    <s v="Alabama"/>
    <s v="South"/>
    <s v="Online"/>
    <s v="Returning"/>
    <s v="Footwear"/>
    <s v="Leather Boot"/>
    <s v="Priya Nair"/>
    <n v="1"/>
    <n v="230.6"/>
    <n v="0"/>
    <n v="230.6"/>
    <n v="230.6"/>
  </r>
  <r>
    <s v="K7-11152"/>
    <d v="2026-10-22T00:00:00"/>
    <s v="Nevada"/>
    <s v="West"/>
    <s v="Online"/>
    <s v="Returning"/>
    <s v="Bottoms"/>
    <s v="Cargo Pant"/>
    <s v="Priya Nair"/>
    <n v="1"/>
    <n v="79.099999999999994"/>
    <n v="0"/>
    <n v="79.099999999999994"/>
    <n v="79.099999999999994"/>
  </r>
  <r>
    <s v="K7-11153"/>
    <d v="2026-11-06T00:00:00"/>
    <s v="Oregon"/>
    <s v="West"/>
    <s v="Online"/>
    <s v="Returning"/>
    <s v="Bottoms"/>
    <s v="Slim Chino"/>
    <s v="Dylan Foster"/>
    <n v="1"/>
    <n v="78.22"/>
    <n v="0.1"/>
    <n v="70.400000000000006"/>
    <n v="78.22"/>
  </r>
  <r>
    <s v="K7-11154"/>
    <d v="2026-11-14T00:00:00"/>
    <s v="Texas"/>
    <s v="South"/>
    <s v="Retail Store"/>
    <s v="Returning"/>
    <s v="Dresses"/>
    <s v="Midi Slip Dress"/>
    <s v="Jonah Wright"/>
    <n v="2"/>
    <n v="101.31"/>
    <n v="0"/>
    <n v="202.62"/>
    <n v="202.62"/>
  </r>
  <r>
    <s v="K7-11155"/>
    <d v="2026-06-16T00:00:00"/>
    <s v="Missouri"/>
    <s v="Midwest"/>
    <s v="Online"/>
    <s v="Returning"/>
    <s v="Bottoms"/>
    <s v="Slim Chino"/>
    <s v="Marcus Reed"/>
    <n v="5"/>
    <n v="79.08"/>
    <n v="0"/>
    <n v="395.4"/>
    <n v="395.4"/>
  </r>
  <r>
    <s v="K7-11156"/>
    <d v="2026-08-10T00:00:00"/>
    <s v="Michigan"/>
    <s v="Midwest"/>
    <s v="Wholesale"/>
    <s v="New"/>
    <s v="Accessories"/>
    <s v="Knit Beanie"/>
    <s v="Priya Nair"/>
    <n v="14"/>
    <n v="24.85"/>
    <n v="0.2"/>
    <n v="278.32"/>
    <n v="347.90000000000003"/>
  </r>
  <r>
    <s v="K7-11157"/>
    <d v="2026-09-06T00:00:00"/>
    <s v="Virginia"/>
    <s v="South"/>
    <s v="Online"/>
    <s v="New"/>
    <s v="Outerwear"/>
    <s v="Quilted Jacket"/>
    <s v="Grace Okafor"/>
    <n v="4"/>
    <n v="162.74"/>
    <n v="0.15"/>
    <n v="553.32000000000005"/>
    <n v="650.96"/>
  </r>
  <r>
    <s v="K7-11158"/>
    <d v="2026-10-02T00:00:00"/>
    <s v="New Jersey"/>
    <s v="Northeast"/>
    <s v="Wholesale"/>
    <s v="Returning"/>
    <s v="Dresses"/>
    <s v="Midi Slip Dress"/>
    <s v="Marcus Reed"/>
    <n v="8"/>
    <n v="93.26"/>
    <n v="0.1"/>
    <n v="671.47"/>
    <n v="746.08"/>
  </r>
  <r>
    <s v="K7-11159"/>
    <d v="2026-02-21T00:00:00"/>
    <s v="California"/>
    <s v="West"/>
    <s v="Wholesale"/>
    <s v="Returning"/>
    <s v="Outerwear"/>
    <s v="Quilted Jacket"/>
    <s v="Marcus Reed"/>
    <n v="4"/>
    <n v="155.9"/>
    <n v="0"/>
    <n v="623.6"/>
    <n v="623.6"/>
  </r>
  <r>
    <s v="K7-11160"/>
    <d v="2026-08-22T00:00:00"/>
    <s v="Indiana"/>
    <s v="Midwest"/>
    <s v="Online"/>
    <s v="Returning"/>
    <s v="Accessories"/>
    <s v="Canvas Tote"/>
    <s v="Elena Vargas"/>
    <n v="8"/>
    <n v="36.799999999999997"/>
    <n v="0"/>
    <n v="294.39999999999998"/>
    <n v="294.39999999999998"/>
  </r>
  <r>
    <s v="K7-11161"/>
    <d v="2026-04-05T00:00:00"/>
    <s v="Maryland"/>
    <s v="South"/>
    <s v="Online"/>
    <s v="New"/>
    <s v="Footwear"/>
    <s v="Suede Loafer"/>
    <s v="Grace Okafor"/>
    <n v="3"/>
    <n v="169.57"/>
    <n v="0"/>
    <n v="508.71"/>
    <n v="508.71"/>
  </r>
  <r>
    <s v="K7-11162"/>
    <d v="2026-10-22T00:00:00"/>
    <s v="California"/>
    <s v="West"/>
    <s v="Marketplace"/>
    <s v="Returning"/>
    <s v="Bottoms"/>
    <s v="Straight Jeans"/>
    <s v="Elena Vargas"/>
    <n v="4"/>
    <n v="93.1"/>
    <n v="0"/>
    <n v="372.4"/>
    <n v="372.4"/>
  </r>
  <r>
    <s v="K7-11163"/>
    <d v="2026-07-23T00:00:00"/>
    <s v="Washington"/>
    <s v="West"/>
    <s v="Retail Store"/>
    <s v="Returning"/>
    <s v="Tops"/>
    <s v="Classic Tee"/>
    <s v="Ava Brooks"/>
    <n v="1"/>
    <n v="32.56"/>
    <n v="0.05"/>
    <n v="30.93"/>
    <n v="32.56"/>
  </r>
  <r>
    <s v="K7-11164"/>
    <d v="2026-12-05T00:00:00"/>
    <s v="Wisconsin"/>
    <s v="Midwest"/>
    <s v="Online"/>
    <s v="Returning"/>
    <s v="Tops"/>
    <s v="Henley Long Sleeve"/>
    <s v="Jonah Wright"/>
    <n v="5"/>
    <n v="49.2"/>
    <n v="0"/>
    <n v="246"/>
    <n v="246"/>
  </r>
  <r>
    <s v="K7-11165"/>
    <d v="2026-09-24T00:00:00"/>
    <s v="Texas"/>
    <s v="South"/>
    <s v="Retail Store"/>
    <s v="Returning"/>
    <s v="Footwear"/>
    <s v="Suede Loafer"/>
    <s v="Noor Haddad"/>
    <n v="4"/>
    <n v="158.52000000000001"/>
    <n v="0.1"/>
    <n v="570.66999999999996"/>
    <n v="634.08000000000004"/>
  </r>
  <r>
    <s v="K7-11166"/>
    <d v="2026-10-13T00:00:00"/>
    <s v="New York"/>
    <s v="Northeast"/>
    <s v="Online"/>
    <s v="New"/>
    <s v="Tops"/>
    <s v="Classic Tee"/>
    <s v="Jonah Wright"/>
    <n v="1"/>
    <n v="29.89"/>
    <n v="0.15"/>
    <n v="25.41"/>
    <n v="29.89"/>
  </r>
  <r>
    <s v="K7-11167"/>
    <d v="2026-10-08T00:00:00"/>
    <s v="Florida"/>
    <s v="South"/>
    <s v="Retail Store"/>
    <s v="New"/>
    <s v="Tops"/>
    <s v="Henley Long Sleeve"/>
    <s v="Grace Okafor"/>
    <n v="6"/>
    <n v="45.19"/>
    <n v="0"/>
    <n v="271.14"/>
    <n v="271.14"/>
  </r>
  <r>
    <s v="K7-11168"/>
    <d v="2026-08-18T00:00:00"/>
    <s v="Nevada"/>
    <s v="West"/>
    <s v="Retail Store"/>
    <s v="Returning"/>
    <s v="Tops"/>
    <s v="Oxford Shirt"/>
    <s v="Elena Vargas"/>
    <n v="3"/>
    <n v="66.489999999999995"/>
    <n v="0.05"/>
    <n v="189.5"/>
    <n v="199.46999999999997"/>
  </r>
  <r>
    <s v="K7-11169"/>
    <d v="2026-04-04T00:00:00"/>
    <s v="Tennessee"/>
    <s v="South"/>
    <s v="Retail Store"/>
    <s v="New"/>
    <s v="Tops"/>
    <s v="Oxford Shirt"/>
    <s v="Marcus Reed"/>
    <n v="6"/>
    <n v="72.22"/>
    <n v="0"/>
    <n v="433.32"/>
    <n v="433.32"/>
  </r>
  <r>
    <s v="K7-11170"/>
    <d v="2026-06-08T00:00:00"/>
    <s v="Illinois"/>
    <s v="Midwest"/>
    <s v="Online"/>
    <s v="Returning"/>
    <s v="Footwear"/>
    <s v="Leather Boot"/>
    <s v="Jonah Wright"/>
    <n v="5"/>
    <n v="229.87"/>
    <n v="0.1"/>
    <n v="1034.4100000000001"/>
    <n v="1149.3499999999999"/>
  </r>
  <r>
    <s v="K7-11171"/>
    <d v="2026-07-31T00:00:00"/>
    <s v="Massachusetts"/>
    <s v="Northeast"/>
    <s v="Online"/>
    <s v="Returning"/>
    <s v="Outerwear"/>
    <s v="Denim Trucker"/>
    <s v="Jonah Wright"/>
    <n v="7"/>
    <n v="122.73"/>
    <n v="0"/>
    <n v="859.11"/>
    <n v="859.11"/>
  </r>
  <r>
    <s v="K7-11172"/>
    <d v="2026-12-01T00:00:00"/>
    <s v="Illinois"/>
    <s v="Midwest"/>
    <s v="Online"/>
    <s v="New"/>
    <s v="Dresses"/>
    <s v="Linen Shirt Dress"/>
    <s v="Grace Okafor"/>
    <n v="5"/>
    <n v="126.49"/>
    <n v="0.15"/>
    <n v="537.58000000000004"/>
    <n v="632.44999999999993"/>
  </r>
  <r>
    <s v="K7-11173"/>
    <d v="2026-11-16T00:00:00"/>
    <s v="Nevada"/>
    <s v="West"/>
    <s v="Online"/>
    <s v="Returning"/>
    <s v="Tops"/>
    <s v="Classic Tee"/>
    <s v="Grace Okafor"/>
    <n v="4"/>
    <n v="30.31"/>
    <n v="0"/>
    <n v="121.24"/>
    <n v="121.24"/>
  </r>
  <r>
    <s v="K7-11174"/>
    <d v="2026-06-04T00:00:00"/>
    <s v="Louisiana"/>
    <s v="South"/>
    <s v="Retail Store"/>
    <s v="Returning"/>
    <s v="Bottoms"/>
    <s v="Tailored Short"/>
    <s v="Priya Nair"/>
    <n v="4"/>
    <n v="56.91"/>
    <n v="0.3"/>
    <n v="159.35"/>
    <n v="227.64"/>
  </r>
  <r>
    <s v="K7-11175"/>
    <d v="2026-05-21T00:00:00"/>
    <s v="Alabama"/>
    <s v="South"/>
    <s v="Marketplace"/>
    <s v="New"/>
    <s v="Tops"/>
    <s v="Oxford Shirt"/>
    <s v="Ava Brooks"/>
    <n v="3"/>
    <n v="64.22"/>
    <n v="0"/>
    <n v="192.66"/>
    <n v="192.66"/>
  </r>
  <r>
    <s v="K7-11176"/>
    <d v="2026-11-09T00:00:00"/>
    <s v="Florida"/>
    <s v="South"/>
    <s v="Online"/>
    <s v="Returning"/>
    <s v="Outerwear"/>
    <s v="Wool Overcoat"/>
    <s v="Noor Haddad"/>
    <n v="6"/>
    <n v="288.83999999999997"/>
    <n v="0"/>
    <n v="1733.04"/>
    <n v="1733.04"/>
  </r>
  <r>
    <s v="K7-11177"/>
    <d v="2026-05-20T00:00:00"/>
    <s v="Massachusetts"/>
    <s v="Northeast"/>
    <s v="Retail Store"/>
    <s v="New"/>
    <s v="Accessories"/>
    <s v="Silk Scarf"/>
    <s v="Ava Brooks"/>
    <n v="3"/>
    <n v="64.88"/>
    <n v="0.3"/>
    <n v="136.25"/>
    <n v="194.64"/>
  </r>
  <r>
    <s v="K7-11178"/>
    <d v="2026-10-24T00:00:00"/>
    <s v="Arizona"/>
    <s v="West"/>
    <s v="Online"/>
    <s v="Returning"/>
    <s v="Tops"/>
    <s v="Oxford Shirt"/>
    <s v="Dylan Foster"/>
    <n v="2"/>
    <n v="68.47"/>
    <n v="0"/>
    <n v="136.94"/>
    <n v="136.94"/>
  </r>
  <r>
    <s v="K7-11179"/>
    <d v="2026-03-25T00:00:00"/>
    <s v="Pennsylvania"/>
    <s v="Northeast"/>
    <s v="Retail Store"/>
    <s v="New"/>
    <s v="Tops"/>
    <s v="Striped Polo"/>
    <s v="Elena Vargas"/>
    <n v="2"/>
    <n v="54.17"/>
    <n v="0.15"/>
    <n v="92.09"/>
    <n v="108.34"/>
  </r>
  <r>
    <s v="K7-11180"/>
    <d v="2026-02-12T00:00:00"/>
    <s v="California"/>
    <s v="West"/>
    <s v="Wholesale"/>
    <s v="Returning"/>
    <s v="Outerwear"/>
    <s v="Denim Trucker"/>
    <s v="Noor Haddad"/>
    <n v="1"/>
    <n v="121.19"/>
    <n v="0"/>
    <n v="121.19"/>
    <n v="121.19"/>
  </r>
  <r>
    <s v="K7-11181"/>
    <d v="2026-09-09T00:00:00"/>
    <s v="Nevada"/>
    <s v="West"/>
    <s v="Online"/>
    <s v="Returning"/>
    <s v="Accessories"/>
    <s v="Leather Belt"/>
    <s v="Marcus Reed"/>
    <n v="5"/>
    <n v="45.48"/>
    <n v="0.05"/>
    <n v="216.03"/>
    <n v="227.39999999999998"/>
  </r>
  <r>
    <s v="K7-11182"/>
    <d v="2026-08-23T00:00:00"/>
    <s v="Indiana"/>
    <s v="Midwest"/>
    <s v="Retail Store"/>
    <s v="Returning"/>
    <s v="Dresses"/>
    <s v="Midi Slip Dress"/>
    <s v="Noor Haddad"/>
    <n v="10"/>
    <n v="91.83"/>
    <n v="0"/>
    <n v="918.3"/>
    <n v="918.3"/>
  </r>
  <r>
    <s v="K7-11183"/>
    <d v="2026-10-16T00:00:00"/>
    <s v="New Jersey"/>
    <s v="Northeast"/>
    <s v="Online"/>
    <s v="Returning"/>
    <s v="Bottoms"/>
    <s v="Slim Chino"/>
    <s v="Grace Okafor"/>
    <n v="6"/>
    <n v="77.180000000000007"/>
    <n v="0"/>
    <n v="463.08"/>
    <n v="463.08000000000004"/>
  </r>
  <r>
    <s v="K7-11184"/>
    <d v="2026-12-05T00:00:00"/>
    <s v="Massachusetts"/>
    <s v="Northeast"/>
    <s v="Marketplace"/>
    <s v="Returning"/>
    <s v="Outerwear"/>
    <s v="Quilted Jacket"/>
    <s v="Elena Vargas"/>
    <n v="1"/>
    <n v="164.79"/>
    <n v="0.15"/>
    <n v="140.07"/>
    <n v="164.79"/>
  </r>
  <r>
    <s v="K7-11185"/>
    <d v="2026-08-05T00:00:00"/>
    <s v="Alabama"/>
    <s v="South"/>
    <s v="Marketplace"/>
    <s v="New"/>
    <s v="Accessories"/>
    <s v="Leather Belt"/>
    <s v="Jonah Wright"/>
    <n v="1"/>
    <n v="47.55"/>
    <n v="0.05"/>
    <n v="45.17"/>
    <n v="47.55"/>
  </r>
  <r>
    <s v="K7-11186"/>
    <d v="2026-07-08T00:00:00"/>
    <s v="Oregon"/>
    <s v="West"/>
    <s v="Wholesale"/>
    <s v="Returning"/>
    <s v="Bottoms"/>
    <s v="Cargo Pant"/>
    <s v="Ava Brooks"/>
    <n v="1"/>
    <n v="89.37"/>
    <n v="0"/>
    <n v="89.37"/>
    <n v="89.37"/>
  </r>
  <r>
    <s v="K7-11187"/>
    <d v="2026-02-02T00:00:00"/>
    <s v="Michigan"/>
    <s v="Midwest"/>
    <s v="Online"/>
    <s v="Returning"/>
    <s v="Footwear"/>
    <s v="Leather Boot"/>
    <s v="Dylan Foster"/>
    <n v="1"/>
    <n v="224.21"/>
    <n v="0"/>
    <n v="224.21"/>
    <n v="224.21"/>
  </r>
  <r>
    <s v="K7-11188"/>
    <d v="2026-08-05T00:00:00"/>
    <s v="Indiana"/>
    <s v="Midwest"/>
    <s v="Wholesale"/>
    <s v="Returning"/>
    <s v="Tops"/>
    <s v="Classic Tee"/>
    <s v="Elena Vargas"/>
    <n v="1"/>
    <n v="33.590000000000003"/>
    <n v="0"/>
    <n v="33.590000000000003"/>
    <n v="33.590000000000003"/>
  </r>
  <r>
    <s v="K7-11189"/>
    <d v="2026-10-10T00:00:00"/>
    <s v="Florida"/>
    <s v="South"/>
    <s v="Online"/>
    <s v="Returning"/>
    <s v="Tops"/>
    <s v="Oxford Shirt"/>
    <s v="Elena Vargas"/>
    <n v="5"/>
    <n v="72.41"/>
    <n v="0"/>
    <n v="362.05"/>
    <n v="362.04999999999995"/>
  </r>
  <r>
    <s v="K7-11190"/>
    <d v="2026-02-08T00:00:00"/>
    <s v="Illinois"/>
    <s v="Midwest"/>
    <s v="Retail Store"/>
    <s v="New"/>
    <s v="Bottoms"/>
    <s v="Cargo Pant"/>
    <s v="Grace Okafor"/>
    <n v="3"/>
    <n v="85.29"/>
    <n v="0"/>
    <n v="255.87"/>
    <n v="255.87"/>
  </r>
  <r>
    <s v="K7-11191"/>
    <d v="2026-03-15T00:00:00"/>
    <s v="Massachusetts"/>
    <s v="Northeast"/>
    <s v="Marketplace"/>
    <s v="New"/>
    <s v="Tops"/>
    <s v="Striped Polo"/>
    <s v="Ava Brooks"/>
    <n v="3"/>
    <n v="57.15"/>
    <n v="0"/>
    <n v="171.45"/>
    <n v="171.45"/>
  </r>
  <r>
    <s v="K7-11192"/>
    <d v="2026-09-10T00:00:00"/>
    <s v="Texas"/>
    <s v="South"/>
    <s v="Marketplace"/>
    <s v="New"/>
    <s v="Tops"/>
    <s v="Oxford Shirt"/>
    <s v="Grace Okafor"/>
    <n v="3"/>
    <n v="73.069999999999993"/>
    <n v="0.05"/>
    <n v="208.25"/>
    <n v="219.20999999999998"/>
  </r>
  <r>
    <s v="K7-11193"/>
    <d v="2026-05-10T00:00:00"/>
    <s v="Pennsylvania"/>
    <s v="Northeast"/>
    <s v="Retail Store"/>
    <s v="Returning"/>
    <s v="Bottoms"/>
    <s v="Straight Jeans"/>
    <s v="Elena Vargas"/>
    <n v="5"/>
    <n v="90.98"/>
    <n v="0"/>
    <n v="454.9"/>
    <n v="454.90000000000003"/>
  </r>
  <r>
    <s v="K7-11194"/>
    <d v="2026-09-01T00:00:00"/>
    <s v="Florida"/>
    <s v="South"/>
    <s v="Online"/>
    <s v="New"/>
    <s v="Outerwear"/>
    <s v="Wool Overcoat"/>
    <s v="Noor Haddad"/>
    <n v="4"/>
    <n v="298.19"/>
    <n v="0"/>
    <n v="1192.76"/>
    <n v="1192.76"/>
  </r>
  <r>
    <s v="K7-11195"/>
    <d v="2026-06-19T00:00:00"/>
    <s v="Utah"/>
    <s v="West"/>
    <s v="Marketplace"/>
    <s v="Returning"/>
    <s v="Tops"/>
    <s v="Oxford Shirt"/>
    <s v="Priya Nair"/>
    <n v="1"/>
    <n v="69.19"/>
    <n v="0.15"/>
    <n v="58.81"/>
    <n v="69.19"/>
  </r>
  <r>
    <s v="K7-11196"/>
    <d v="2026-09-05T00:00:00"/>
    <s v="Nevada"/>
    <s v="West"/>
    <s v="Online"/>
    <s v="Returning"/>
    <s v="Tops"/>
    <s v="Classic Tee"/>
    <s v="Marcus Reed"/>
    <n v="15"/>
    <n v="34.25"/>
    <n v="0"/>
    <n v="513.75"/>
    <n v="513.75"/>
  </r>
  <r>
    <s v="K7-11197"/>
    <d v="2026-11-02T00:00:00"/>
    <s v="California"/>
    <s v="West"/>
    <s v="Online"/>
    <s v="New"/>
    <s v="Outerwear"/>
    <s v="Quilted Jacket"/>
    <s v="Noor Haddad"/>
    <n v="5"/>
    <n v="162.87"/>
    <n v="0"/>
    <n v="814.35"/>
    <n v="814.35"/>
  </r>
  <r>
    <s v="K7-11198"/>
    <d v="2026-06-14T00:00:00"/>
    <s v="California"/>
    <s v="West"/>
    <s v="Marketplace"/>
    <s v="Returning"/>
    <s v="Tops"/>
    <s v="Oxford Shirt"/>
    <s v="Grace Okafor"/>
    <n v="1"/>
    <n v="71.92"/>
    <n v="0.2"/>
    <n v="57.54"/>
    <n v="71.92"/>
  </r>
  <r>
    <s v="K7-11199"/>
    <d v="2026-06-12T00:00:00"/>
    <s v="Nevada"/>
    <s v="West"/>
    <s v="Retail Store"/>
    <s v="New"/>
    <s v="Footwear"/>
    <s v="Canvas Sneaker"/>
    <s v="Marcus Reed"/>
    <n v="5"/>
    <n v="86.28"/>
    <n v="0"/>
    <n v="431.4"/>
    <n v="431.4"/>
  </r>
  <r>
    <s v="K7-11200"/>
    <d v="2026-12-11T00:00:00"/>
    <s v="Georgia"/>
    <s v="South"/>
    <s v="Online"/>
    <s v="Returning"/>
    <s v="Tops"/>
    <s v="Oxford Shirt"/>
    <s v="Dylan Foster"/>
    <n v="3"/>
    <n v="64.28"/>
    <n v="0"/>
    <n v="192.84"/>
    <n v="192.84"/>
  </r>
  <r>
    <s v="K7-11201"/>
    <d v="2026-07-19T00:00:00"/>
    <s v="Pennsylvania"/>
    <s v="Northeast"/>
    <s v="Online"/>
    <s v="Returning"/>
    <s v="Tops"/>
    <s v="Striped Polo"/>
    <s v="Dylan Foster"/>
    <n v="4"/>
    <n v="54.07"/>
    <n v="0"/>
    <n v="216.28"/>
    <n v="216.28"/>
  </r>
  <r>
    <s v="K7-11202"/>
    <d v="2026-04-25T00:00:00"/>
    <s v="Wisconsin"/>
    <s v="Midwest"/>
    <s v="Marketplace"/>
    <s v="Returning"/>
    <s v="Bottoms"/>
    <s v="Cargo Pant"/>
    <s v="Elena Vargas"/>
    <n v="1"/>
    <n v="82.1"/>
    <n v="0"/>
    <n v="82.1"/>
    <n v="82.1"/>
  </r>
  <r>
    <s v="K7-11203"/>
    <d v="2026-03-01T00:00:00"/>
    <s v="Pennsylvania"/>
    <s v="Northeast"/>
    <s v="Wholesale"/>
    <s v="New"/>
    <s v="Outerwear"/>
    <s v="Hooded Parka"/>
    <s v="Noor Haddad"/>
    <n v="2"/>
    <n v="233.11"/>
    <n v="0"/>
    <n v="466.22"/>
    <n v="466.22"/>
  </r>
  <r>
    <s v="K7-11204"/>
    <d v="2026-12-19T00:00:00"/>
    <s v="California"/>
    <s v="West"/>
    <s v="Wholesale"/>
    <s v="New"/>
    <s v="Dresses"/>
    <s v="Linen Shirt Dress"/>
    <s v="Noor Haddad"/>
    <n v="5"/>
    <n v="131.58000000000001"/>
    <n v="0"/>
    <n v="657.9"/>
    <n v="657.90000000000009"/>
  </r>
  <r>
    <s v="K7-11205"/>
    <d v="2026-07-18T00:00:00"/>
    <s v="Georgia"/>
    <s v="South"/>
    <s v="Online"/>
    <s v="Returning"/>
    <s v="Footwear"/>
    <s v="Leather Boot"/>
    <s v="Jonah Wright"/>
    <n v="4"/>
    <n v="209.46"/>
    <n v="0"/>
    <n v="837.84"/>
    <n v="837.84"/>
  </r>
  <r>
    <s v="K7-11206"/>
    <d v="2026-04-29T00:00:00"/>
    <s v="New York"/>
    <s v="Northeast"/>
    <s v="Online"/>
    <s v="Returning"/>
    <s v="Dresses"/>
    <s v="Wrap Dress"/>
    <s v="Grace Okafor"/>
    <n v="1"/>
    <n v="115.28"/>
    <n v="0"/>
    <n v="115.28"/>
    <n v="115.28"/>
  </r>
  <r>
    <s v="K7-11207"/>
    <d v="2026-06-28T00:00:00"/>
    <s v="Colorado"/>
    <s v="West"/>
    <s v="Online"/>
    <s v="New"/>
    <s v="Accessories"/>
    <s v="Silk Scarf"/>
    <s v="Elena Vargas"/>
    <n v="1"/>
    <n v="65.069999999999993"/>
    <n v="0"/>
    <n v="65.069999999999993"/>
    <n v="65.069999999999993"/>
  </r>
  <r>
    <s v="K7-11208"/>
    <d v="2026-03-25T00:00:00"/>
    <s v="Georgia"/>
    <s v="South"/>
    <s v="Retail Store"/>
    <s v="Returning"/>
    <s v="Outerwear"/>
    <s v="Denim Trucker"/>
    <s v="Noor Haddad"/>
    <n v="1"/>
    <n v="136.07"/>
    <n v="0"/>
    <n v="136.07"/>
    <n v="136.07"/>
  </r>
  <r>
    <s v="K7-11209"/>
    <d v="2026-06-29T00:00:00"/>
    <s v="Texas"/>
    <s v="South"/>
    <s v="Wholesale"/>
    <s v="Returning"/>
    <s v="Outerwear"/>
    <s v="Wool Overcoat"/>
    <s v="Marcus Reed"/>
    <n v="1"/>
    <n v="287.8"/>
    <n v="0"/>
    <n v="287.8"/>
    <n v="287.8"/>
  </r>
  <r>
    <s v="K7-11210"/>
    <d v="2026-04-22T00:00:00"/>
    <s v="Washington"/>
    <s v="West"/>
    <s v="Wholesale"/>
    <s v="Returning"/>
    <s v="Accessories"/>
    <s v="Knit Beanie"/>
    <s v="Elena Vargas"/>
    <n v="3"/>
    <n v="25.11"/>
    <n v="0"/>
    <n v="75.33"/>
    <n v="75.33"/>
  </r>
  <r>
    <s v="K7-11211"/>
    <d v="2026-07-18T00:00:00"/>
    <s v="California"/>
    <s v="West"/>
    <s v="Online"/>
    <s v="Returning"/>
    <s v="Tops"/>
    <s v="Henley Long Sleeve"/>
    <s v="Grace Okafor"/>
    <n v="1"/>
    <n v="48.06"/>
    <n v="0"/>
    <n v="48.06"/>
    <n v="48.06"/>
  </r>
  <r>
    <s v="K7-11212"/>
    <d v="2026-02-02T00:00:00"/>
    <s v="Michigan"/>
    <s v="Midwest"/>
    <s v="Online"/>
    <s v="Returning"/>
    <s v="Accessories"/>
    <s v="Silk Scarf"/>
    <s v="Grace Okafor"/>
    <n v="1"/>
    <n v="60.56"/>
    <n v="0"/>
    <n v="60.56"/>
    <n v="60.56"/>
  </r>
  <r>
    <s v="K7-11213"/>
    <d v="2026-11-27T00:00:00"/>
    <s v="Georgia"/>
    <s v="South"/>
    <s v="Marketplace"/>
    <s v="Returning"/>
    <s v="Footwear"/>
    <s v="Leather Boot"/>
    <s v="Priya Nair"/>
    <n v="1"/>
    <n v="225.71"/>
    <n v="0"/>
    <n v="225.71"/>
    <n v="225.71"/>
  </r>
  <r>
    <s v="K7-11214"/>
    <d v="2026-02-13T00:00:00"/>
    <s v="Washington"/>
    <s v="West"/>
    <s v="Online"/>
    <s v="Returning"/>
    <s v="Tops"/>
    <s v="Oxford Shirt"/>
    <s v="Dylan Foster"/>
    <n v="5"/>
    <n v="67.66"/>
    <n v="0.05"/>
    <n v="321.38"/>
    <n v="338.29999999999995"/>
  </r>
  <r>
    <s v="K7-11215"/>
    <d v="2026-04-05T00:00:00"/>
    <s v="Georgia"/>
    <s v="South"/>
    <s v="Online"/>
    <s v="Returning"/>
    <s v="Bottoms"/>
    <s v="Straight Jeans"/>
    <s v="Dylan Foster"/>
    <n v="6"/>
    <n v="92.97"/>
    <n v="0"/>
    <n v="557.82000000000005"/>
    <n v="557.81999999999994"/>
  </r>
  <r>
    <s v="K7-11216"/>
    <d v="2026-01-28T00:00:00"/>
    <s v="Georgia"/>
    <s v="South"/>
    <s v="Retail Store"/>
    <s v="New"/>
    <s v="Bottoms"/>
    <s v="Slim Chino"/>
    <s v="Dylan Foster"/>
    <n v="1"/>
    <n v="70.989999999999995"/>
    <n v="0.15"/>
    <n v="60.34"/>
    <n v="70.989999999999995"/>
  </r>
  <r>
    <s v="K7-11217"/>
    <d v="2026-02-17T00:00:00"/>
    <s v="North Carolina"/>
    <s v="South"/>
    <s v="Retail Store"/>
    <s v="New"/>
    <s v="Outerwear"/>
    <s v="Quilted Jacket"/>
    <s v="Marcus Reed"/>
    <n v="1"/>
    <n v="157.76"/>
    <n v="0"/>
    <n v="157.76"/>
    <n v="157.76"/>
  </r>
  <r>
    <s v="K7-11218"/>
    <d v="2026-11-17T00:00:00"/>
    <s v="Pennsylvania"/>
    <s v="Northeast"/>
    <s v="Marketplace"/>
    <s v="New"/>
    <s v="Tops"/>
    <s v="Henley Long Sleeve"/>
    <s v="Elena Vargas"/>
    <n v="2"/>
    <n v="47.79"/>
    <n v="0"/>
    <n v="95.58"/>
    <n v="95.58"/>
  </r>
  <r>
    <s v="K7-11219"/>
    <d v="2026-09-28T00:00:00"/>
    <s v="Georgia"/>
    <s v="South"/>
    <s v="Wholesale"/>
    <s v="Returning"/>
    <s v="Bottoms"/>
    <s v="Tailored Short"/>
    <s v="Priya Nair"/>
    <n v="5"/>
    <n v="57.94"/>
    <n v="0.1"/>
    <n v="260.73"/>
    <n v="289.7"/>
  </r>
  <r>
    <s v="K7-11220"/>
    <d v="2026-12-25T00:00:00"/>
    <s v="Pennsylvania"/>
    <s v="Northeast"/>
    <s v="Online"/>
    <s v="Returning"/>
    <s v="Bottoms"/>
    <s v="Tailored Short"/>
    <s v="Priya Nair"/>
    <n v="1"/>
    <n v="56.47"/>
    <n v="0.1"/>
    <n v="50.82"/>
    <n v="56.47"/>
  </r>
  <r>
    <s v="K7-11221"/>
    <d v="2026-06-26T00:00:00"/>
    <s v="New York"/>
    <s v="Northeast"/>
    <s v="Online"/>
    <s v="Returning"/>
    <s v="Footwear"/>
    <s v="Suede Loafer"/>
    <s v="Elena Vargas"/>
    <n v="1"/>
    <n v="169.56"/>
    <n v="0.1"/>
    <n v="152.6"/>
    <n v="169.56"/>
  </r>
  <r>
    <s v="K7-11222"/>
    <d v="2026-07-10T00:00:00"/>
    <s v="New York"/>
    <s v="Northeast"/>
    <s v="Online"/>
    <s v="New"/>
    <s v="Bottoms"/>
    <s v="Cargo Pant"/>
    <s v="Elena Vargas"/>
    <n v="1"/>
    <n v="87.55"/>
    <n v="0"/>
    <n v="87.55"/>
    <n v="87.55"/>
  </r>
  <r>
    <s v="K7-11223"/>
    <d v="2026-12-18T00:00:00"/>
    <s v="Georgia"/>
    <s v="South"/>
    <s v="Retail Store"/>
    <s v="New"/>
    <s v="Tops"/>
    <s v="Oxford Shirt"/>
    <s v="Priya Nair"/>
    <n v="2"/>
    <n v="71.239999999999995"/>
    <n v="0.1"/>
    <n v="128.22999999999999"/>
    <n v="142.47999999999999"/>
  </r>
  <r>
    <s v="K7-11224"/>
    <d v="2026-07-26T00:00:00"/>
    <s v="Michigan"/>
    <s v="Midwest"/>
    <s v="Online"/>
    <s v="New"/>
    <s v="Accessories"/>
    <s v="Leather Belt"/>
    <s v="Jonah Wright"/>
    <n v="2"/>
    <n v="47.66"/>
    <n v="0.1"/>
    <n v="85.79"/>
    <n v="95.32"/>
  </r>
  <r>
    <s v="K7-11225"/>
    <d v="2026-04-27T00:00:00"/>
    <s v="Washington"/>
    <s v="West"/>
    <s v="Marketplace"/>
    <s v="New"/>
    <s v="Bottoms"/>
    <s v="Slim Chino"/>
    <s v="Ava Brooks"/>
    <n v="3"/>
    <n v="77.55"/>
    <n v="0"/>
    <n v="232.65"/>
    <n v="232.64999999999998"/>
  </r>
  <r>
    <s v="K7-11226"/>
    <d v="2026-07-17T00:00:00"/>
    <s v="Pennsylvania"/>
    <s v="Northeast"/>
    <s v="Retail Store"/>
    <s v="New"/>
    <s v="Tops"/>
    <s v="Oxford Shirt"/>
    <s v="Noor Haddad"/>
    <n v="1"/>
    <n v="71.010000000000005"/>
    <n v="0"/>
    <n v="71.010000000000005"/>
    <n v="71.010000000000005"/>
  </r>
  <r>
    <s v="K7-11227"/>
    <d v="2026-05-25T00:00:00"/>
    <s v="Arizona"/>
    <s v="West"/>
    <s v="Retail Store"/>
    <s v="New"/>
    <s v="Bottoms"/>
    <s v="Slim Chino"/>
    <s v="Dylan Foster"/>
    <n v="11"/>
    <n v="72.81"/>
    <n v="0.05"/>
    <n v="760.86"/>
    <n v="800.91000000000008"/>
  </r>
  <r>
    <s v="K7-11228"/>
    <d v="2026-09-25T00:00:00"/>
    <s v="Illinois"/>
    <s v="Midwest"/>
    <s v="Wholesale"/>
    <s v="New"/>
    <s v="Outerwear"/>
    <s v="Wool Overcoat"/>
    <s v="Priya Nair"/>
    <n v="6"/>
    <n v="275.27999999999997"/>
    <n v="0.1"/>
    <n v="1486.51"/>
    <n v="1651.6799999999998"/>
  </r>
  <r>
    <s v="K7-11229"/>
    <d v="2026-10-10T00:00:00"/>
    <s v="Pennsylvania"/>
    <s v="Northeast"/>
    <s v="Retail Store"/>
    <s v="New"/>
    <s v="Accessories"/>
    <s v="Knit Beanie"/>
    <s v="Marcus Reed"/>
    <n v="5"/>
    <n v="27.22"/>
    <n v="0.1"/>
    <n v="122.49"/>
    <n v="136.1"/>
  </r>
  <r>
    <s v="K7-11230"/>
    <d v="2026-12-15T00:00:00"/>
    <s v="Pennsylvania"/>
    <s v="Northeast"/>
    <s v="Online"/>
    <s v="Returning"/>
    <s v="Tops"/>
    <s v="Classic Tee"/>
    <s v="Priya Nair"/>
    <n v="1"/>
    <n v="32.729999999999997"/>
    <n v="0"/>
    <n v="32.729999999999997"/>
    <n v="32.729999999999997"/>
  </r>
  <r>
    <s v="K7-11231"/>
    <d v="2026-09-18T00:00:00"/>
    <s v="Ohio"/>
    <s v="Midwest"/>
    <s v="Online"/>
    <s v="Returning"/>
    <s v="Outerwear"/>
    <s v="Hooded Parka"/>
    <s v="Dylan Foster"/>
    <n v="3"/>
    <n v="253.74"/>
    <n v="0.1"/>
    <n v="685.1"/>
    <n v="761.22"/>
  </r>
  <r>
    <s v="K7-11232"/>
    <d v="2026-05-12T00:00:00"/>
    <s v="Texas"/>
    <s v="South"/>
    <s v="Online"/>
    <s v="Returning"/>
    <s v="Dresses"/>
    <s v="Linen Shirt Dress"/>
    <s v="Noor Haddad"/>
    <n v="5"/>
    <n v="135.6"/>
    <n v="0"/>
    <n v="678"/>
    <n v="678"/>
  </r>
  <r>
    <s v="K7-11233"/>
    <d v="2026-10-28T00:00:00"/>
    <s v="New Jersey"/>
    <s v="Northeast"/>
    <s v="Retail Store"/>
    <s v="Returning"/>
    <s v="Footwear"/>
    <s v="Canvas Sneaker"/>
    <s v="Dylan Foster"/>
    <n v="8"/>
    <n v="91.38"/>
    <n v="0"/>
    <n v="731.04"/>
    <n v="731.04"/>
  </r>
  <r>
    <s v="K7-11234"/>
    <d v="2026-02-16T00:00:00"/>
    <s v="Florida"/>
    <s v="South"/>
    <s v="Marketplace"/>
    <s v="Returning"/>
    <s v="Accessories"/>
    <s v="Silk Scarf"/>
    <s v="Priya Nair"/>
    <n v="2"/>
    <n v="66.489999999999995"/>
    <n v="0"/>
    <n v="132.97999999999999"/>
    <n v="132.97999999999999"/>
  </r>
  <r>
    <s v="K7-11235"/>
    <d v="2026-02-05T00:00:00"/>
    <s v="Illinois"/>
    <s v="Midwest"/>
    <s v="Online"/>
    <s v="Returning"/>
    <s v="Dresses"/>
    <s v="Wrap Dress"/>
    <s v="Jonah Wright"/>
    <n v="4"/>
    <n v="118.76"/>
    <n v="0"/>
    <n v="475.04"/>
    <n v="475.04"/>
  </r>
  <r>
    <s v="K7-11236"/>
    <d v="2026-12-25T00:00:00"/>
    <s v="Illinois"/>
    <s v="Midwest"/>
    <s v="Retail Store"/>
    <s v="Returning"/>
    <s v="Bottoms"/>
    <s v="Tailored Short"/>
    <s v="Dylan Foster"/>
    <n v="3"/>
    <n v="57.78"/>
    <n v="0.15"/>
    <n v="147.34"/>
    <n v="173.34"/>
  </r>
  <r>
    <s v="K7-11237"/>
    <d v="2026-03-31T00:00:00"/>
    <s v="Texas"/>
    <s v="South"/>
    <s v="Online"/>
    <s v="Returning"/>
    <s v="Accessories"/>
    <s v="Leather Belt"/>
    <s v="Priya Nair"/>
    <n v="8"/>
    <n v="51.35"/>
    <n v="0"/>
    <n v="410.8"/>
    <n v="410.8"/>
  </r>
  <r>
    <s v="K7-11238"/>
    <d v="2026-12-01T00:00:00"/>
    <s v="Florida"/>
    <s v="South"/>
    <s v="Online"/>
    <s v="New"/>
    <s v="Tops"/>
    <s v="Striped Polo"/>
    <s v="Ava Brooks"/>
    <n v="13"/>
    <n v="51.72"/>
    <n v="0"/>
    <n v="672.36"/>
    <n v="672.36"/>
  </r>
  <r>
    <s v="K7-11239"/>
    <d v="2026-12-02T00:00:00"/>
    <s v="Virginia"/>
    <s v="South"/>
    <s v="Wholesale"/>
    <s v="New"/>
    <s v="Outerwear"/>
    <s v="Wool Overcoat"/>
    <s v="Noor Haddad"/>
    <n v="1"/>
    <n v="279.54000000000002"/>
    <n v="0"/>
    <n v="279.54000000000002"/>
    <n v="279.54000000000002"/>
  </r>
  <r>
    <s v="K7-11240"/>
    <d v="2026-08-03T00:00:00"/>
    <s v="Texas"/>
    <s v="South"/>
    <s v="Online"/>
    <s v="Returning"/>
    <s v="Bottoms"/>
    <s v="Tailored Short"/>
    <s v="Ava Brooks"/>
    <n v="1"/>
    <n v="55.55"/>
    <n v="0"/>
    <n v="55.55"/>
    <n v="55.55"/>
  </r>
  <r>
    <s v="K7-11241"/>
    <d v="2026-06-08T00:00:00"/>
    <s v="Louisiana"/>
    <s v="South"/>
    <s v="Online"/>
    <s v="Returning"/>
    <s v="Outerwear"/>
    <s v="Hooded Parka"/>
    <s v="Priya Nair"/>
    <n v="2"/>
    <n v="251.66"/>
    <n v="0"/>
    <n v="503.32"/>
    <n v="503.32"/>
  </r>
  <r>
    <s v="K7-11242"/>
    <d v="2026-12-06T00:00:00"/>
    <s v="North Carolina"/>
    <s v="South"/>
    <s v="Online"/>
    <s v="New"/>
    <s v="Accessories"/>
    <s v="Leather Belt"/>
    <s v="Elena Vargas"/>
    <n v="10"/>
    <n v="51.47"/>
    <n v="0"/>
    <n v="514.70000000000005"/>
    <n v="514.70000000000005"/>
  </r>
  <r>
    <s v="K7-11243"/>
    <d v="2026-06-15T00:00:00"/>
    <s v="New York"/>
    <s v="Northeast"/>
    <s v="Online"/>
    <s v="New"/>
    <s v="Accessories"/>
    <s v="Canvas Tote"/>
    <s v="Ava Brooks"/>
    <n v="1"/>
    <n v="37.51"/>
    <n v="0"/>
    <n v="37.51"/>
    <n v="37.51"/>
  </r>
  <r>
    <s v="K7-11244"/>
    <d v="2026-09-04T00:00:00"/>
    <s v="New York"/>
    <s v="Northeast"/>
    <s v="Retail Store"/>
    <s v="Returning"/>
    <s v="Bottoms"/>
    <s v="Straight Jeans"/>
    <s v="Dylan Foster"/>
    <n v="8"/>
    <n v="92.54"/>
    <n v="0.1"/>
    <n v="666.29"/>
    <n v="740.32"/>
  </r>
  <r>
    <s v="K7-11245"/>
    <d v="2026-01-14T00:00:00"/>
    <s v="Alabama"/>
    <s v="South"/>
    <s v="Online"/>
    <s v="Returning"/>
    <s v="Outerwear"/>
    <s v="Denim Trucker"/>
    <s v="Dylan Foster"/>
    <n v="1"/>
    <n v="131.02000000000001"/>
    <n v="0"/>
    <n v="131.02000000000001"/>
    <n v="131.02000000000001"/>
  </r>
  <r>
    <s v="K7-11246"/>
    <d v="2026-08-07T00:00:00"/>
    <s v="Texas"/>
    <s v="South"/>
    <s v="Online"/>
    <s v="New"/>
    <s v="Dresses"/>
    <s v="Midi Slip Dress"/>
    <s v="Dylan Foster"/>
    <n v="8"/>
    <n v="95.01"/>
    <n v="0"/>
    <n v="760.08"/>
    <n v="760.08"/>
  </r>
  <r>
    <s v="K7-11247"/>
    <d v="2026-09-29T00:00:00"/>
    <s v="New York"/>
    <s v="Northeast"/>
    <s v="Online"/>
    <s v="New"/>
    <s v="Dresses"/>
    <s v="Wrap Dress"/>
    <s v="Dylan Foster"/>
    <n v="5"/>
    <n v="115.92"/>
    <n v="0"/>
    <n v="579.6"/>
    <n v="579.6"/>
  </r>
  <r>
    <s v="K7-11248"/>
    <d v="2026-01-06T00:00:00"/>
    <s v="Texas"/>
    <s v="South"/>
    <s v="Online"/>
    <s v="New"/>
    <s v="Bottoms"/>
    <s v="Slim Chino"/>
    <s v="Grace Okafor"/>
    <n v="2"/>
    <n v="79.010000000000005"/>
    <n v="0"/>
    <n v="158.02000000000001"/>
    <n v="158.02000000000001"/>
  </r>
  <r>
    <s v="K7-11249"/>
    <d v="2026-05-31T00:00:00"/>
    <s v="Washington"/>
    <s v="West"/>
    <s v="Retail Store"/>
    <s v="New"/>
    <s v="Bottoms"/>
    <s v="Tailored Short"/>
    <s v="Grace Okafor"/>
    <n v="6"/>
    <n v="54.94"/>
    <n v="0.1"/>
    <n v="296.68"/>
    <n v="329.64"/>
  </r>
  <r>
    <s v="K7-11250"/>
    <d v="2026-10-11T00:00:00"/>
    <s v="California"/>
    <s v="West"/>
    <s v="Online"/>
    <s v="Returning"/>
    <s v="Tops"/>
    <s v="Oxford Shirt"/>
    <s v="Noor Haddad"/>
    <n v="4"/>
    <n v="73.33"/>
    <n v="0"/>
    <n v="293.32"/>
    <n v="293.32"/>
  </r>
  <r>
    <s v="K7-11251"/>
    <d v="2026-04-02T00:00:00"/>
    <s v="Texas"/>
    <s v="South"/>
    <s v="Retail Store"/>
    <s v="Returning"/>
    <s v="Bottoms"/>
    <s v="Straight Jeans"/>
    <s v="Dylan Foster"/>
    <n v="2"/>
    <n v="93.07"/>
    <n v="0"/>
    <n v="186.14"/>
    <n v="186.14"/>
  </r>
  <r>
    <s v="K7-11252"/>
    <d v="2026-09-01T00:00:00"/>
    <s v="Colorado"/>
    <s v="West"/>
    <s v="Wholesale"/>
    <s v="New"/>
    <s v="Outerwear"/>
    <s v="Denim Trucker"/>
    <s v="Grace Okafor"/>
    <n v="1"/>
    <n v="129.80000000000001"/>
    <n v="0.05"/>
    <n v="123.31"/>
    <n v="129.80000000000001"/>
  </r>
  <r>
    <s v="K7-11253"/>
    <d v="2026-09-29T00:00:00"/>
    <s v="Florida"/>
    <s v="South"/>
    <s v="Online"/>
    <s v="Returning"/>
    <s v="Accessories"/>
    <s v="Leather Belt"/>
    <s v="Ava Brooks"/>
    <n v="1"/>
    <n v="46.31"/>
    <n v="0.05"/>
    <n v="43.99"/>
    <n v="46.31"/>
  </r>
  <r>
    <s v="K7-11254"/>
    <d v="2026-08-09T00:00:00"/>
    <s v="Texas"/>
    <s v="South"/>
    <s v="Marketplace"/>
    <s v="Returning"/>
    <s v="Footwear"/>
    <s v="Leather Boot"/>
    <s v="Ava Brooks"/>
    <n v="5"/>
    <n v="203.13"/>
    <n v="0"/>
    <n v="1015.65"/>
    <n v="1015.65"/>
  </r>
  <r>
    <s v="K7-11255"/>
    <d v="2026-09-15T00:00:00"/>
    <s v="New York"/>
    <s v="Northeast"/>
    <s v="Online"/>
    <s v="New"/>
    <s v="Dresses"/>
    <s v="Wrap Dress"/>
    <s v="Marcus Reed"/>
    <n v="2"/>
    <n v="119.25"/>
    <n v="0.05"/>
    <n v="226.57"/>
    <n v="238.5"/>
  </r>
  <r>
    <s v="K7-11256"/>
    <d v="2026-03-28T00:00:00"/>
    <s v="Indiana"/>
    <s v="Midwest"/>
    <s v="Online"/>
    <s v="Returning"/>
    <s v="Accessories"/>
    <s v="Silk Scarf"/>
    <s v="Jonah Wright"/>
    <n v="1"/>
    <n v="59.07"/>
    <n v="0"/>
    <n v="59.07"/>
    <n v="59.07"/>
  </r>
  <r>
    <s v="K7-11257"/>
    <d v="2026-04-01T00:00:00"/>
    <s v="Pennsylvania"/>
    <s v="Northeast"/>
    <s v="Online"/>
    <s v="Returning"/>
    <s v="Tops"/>
    <s v="Henley Long Sleeve"/>
    <s v="Grace Okafor"/>
    <n v="3"/>
    <n v="49.27"/>
    <n v="0.05"/>
    <n v="140.41999999999999"/>
    <n v="147.81"/>
  </r>
  <r>
    <s v="K7-11258"/>
    <d v="2026-04-29T00:00:00"/>
    <s v="North Carolina"/>
    <s v="South"/>
    <s v="Online"/>
    <s v="Returning"/>
    <s v="Tops"/>
    <s v="Henley Long Sleeve"/>
    <s v="Priya Nair"/>
    <n v="1"/>
    <n v="46.28"/>
    <n v="0"/>
    <n v="46.28"/>
    <n v="46.28"/>
  </r>
  <r>
    <s v="K7-11259"/>
    <d v="2026-04-22T00:00:00"/>
    <s v="Alabama"/>
    <s v="South"/>
    <s v="Marketplace"/>
    <s v="Returning"/>
    <s v="Footwear"/>
    <s v="Leather Boot"/>
    <s v="Grace Okafor"/>
    <n v="5"/>
    <n v="206.71"/>
    <n v="0.05"/>
    <n v="981.87"/>
    <n v="1033.55"/>
  </r>
  <r>
    <s v="K7-11260"/>
    <d v="2026-04-27T00:00:00"/>
    <s v="New York"/>
    <s v="Northeast"/>
    <s v="Wholesale"/>
    <s v="Returning"/>
    <s v="Accessories"/>
    <s v="Canvas Tote"/>
    <s v="Grace Okafor"/>
    <n v="3"/>
    <n v="39.369999999999997"/>
    <n v="0.05"/>
    <n v="112.2"/>
    <n v="118.10999999999999"/>
  </r>
  <r>
    <s v="K7-11261"/>
    <d v="2026-04-24T00:00:00"/>
    <s v="New York"/>
    <s v="Northeast"/>
    <s v="Online"/>
    <s v="New"/>
    <s v="Dresses"/>
    <s v="Wrap Dress"/>
    <s v="Dylan Foster"/>
    <n v="2"/>
    <n v="122.24"/>
    <n v="0"/>
    <n v="244.48"/>
    <n v="244.48"/>
  </r>
  <r>
    <s v="K7-11262"/>
    <d v="2026-01-29T00:00:00"/>
    <s v="Ohio"/>
    <s v="Midwest"/>
    <s v="Online"/>
    <s v="New"/>
    <s v="Bottoms"/>
    <s v="Cargo Pant"/>
    <s v="Jonah Wright"/>
    <n v="1"/>
    <n v="81.08"/>
    <n v="0"/>
    <n v="81.08"/>
    <n v="81.08"/>
  </r>
  <r>
    <s v="K7-11263"/>
    <d v="2026-07-14T00:00:00"/>
    <s v="Maryland"/>
    <s v="South"/>
    <s v="Online"/>
    <s v="New"/>
    <s v="Outerwear"/>
    <s v="Hooded Parka"/>
    <s v="Jonah Wright"/>
    <n v="9"/>
    <n v="248.43"/>
    <n v="0.15"/>
    <n v="1900.49"/>
    <n v="2235.87"/>
  </r>
  <r>
    <s v="K7-11264"/>
    <d v="2026-08-16T00:00:00"/>
    <s v="Virginia"/>
    <s v="South"/>
    <s v="Marketplace"/>
    <s v="Returning"/>
    <s v="Accessories"/>
    <s v="Silk Scarf"/>
    <s v="Noor Haddad"/>
    <n v="1"/>
    <n v="62.06"/>
    <n v="0"/>
    <n v="62.06"/>
    <n v="62.06"/>
  </r>
  <r>
    <s v="K7-11265"/>
    <d v="2026-09-12T00:00:00"/>
    <s v="Texas"/>
    <s v="South"/>
    <s v="Marketplace"/>
    <s v="Returning"/>
    <s v="Accessories"/>
    <s v="Leather Belt"/>
    <s v="Ava Brooks"/>
    <n v="4"/>
    <n v="49.66"/>
    <n v="0.3"/>
    <n v="139.05000000000001"/>
    <n v="198.64"/>
  </r>
  <r>
    <s v="K7-11266"/>
    <d v="2026-03-19T00:00:00"/>
    <s v="Florida"/>
    <s v="South"/>
    <s v="Retail Store"/>
    <s v="Returning"/>
    <s v="Bottoms"/>
    <s v="Tailored Short"/>
    <s v="Marcus Reed"/>
    <n v="2"/>
    <n v="59"/>
    <n v="0"/>
    <n v="118"/>
    <n v="118"/>
  </r>
  <r>
    <s v="K7-11267"/>
    <d v="2026-04-09T00:00:00"/>
    <s v="Connecticut"/>
    <s v="Northeast"/>
    <s v="Online"/>
    <s v="Returning"/>
    <s v="Dresses"/>
    <s v="Wrap Dress"/>
    <s v="Elena Vargas"/>
    <n v="2"/>
    <n v="114.15"/>
    <n v="0"/>
    <n v="228.3"/>
    <n v="228.3"/>
  </r>
  <r>
    <s v="K7-11268"/>
    <d v="2026-11-15T00:00:00"/>
    <s v="Alabama"/>
    <s v="South"/>
    <s v="Retail Store"/>
    <s v="Returning"/>
    <s v="Tops"/>
    <s v="Henley Long Sleeve"/>
    <s v="Jonah Wright"/>
    <n v="1"/>
    <n v="43.01"/>
    <n v="0.15"/>
    <n v="36.56"/>
    <n v="43.01"/>
  </r>
  <r>
    <s v="K7-11269"/>
    <d v="2026-10-23T00:00:00"/>
    <s v="Indiana"/>
    <s v="Midwest"/>
    <s v="Marketplace"/>
    <s v="Returning"/>
    <s v="Footwear"/>
    <s v="Canvas Sneaker"/>
    <s v="Elena Vargas"/>
    <n v="2"/>
    <n v="84.49"/>
    <n v="0.15"/>
    <n v="143.63"/>
    <n v="168.98"/>
  </r>
  <r>
    <s v="K7-11270"/>
    <d v="2026-07-18T00:00:00"/>
    <s v="Texas"/>
    <s v="South"/>
    <s v="Retail Store"/>
    <s v="New"/>
    <s v="Accessories"/>
    <s v="Canvas Tote"/>
    <s v="Noor Haddad"/>
    <n v="4"/>
    <n v="39.909999999999997"/>
    <n v="0"/>
    <n v="159.63999999999999"/>
    <n v="159.63999999999999"/>
  </r>
  <r>
    <s v="K7-11271"/>
    <d v="2026-09-26T00:00:00"/>
    <s v="Illinois"/>
    <s v="Midwest"/>
    <s v="Retail Store"/>
    <s v="Returning"/>
    <s v="Dresses"/>
    <s v="Midi Slip Dress"/>
    <s v="Noor Haddad"/>
    <n v="1"/>
    <n v="92.61"/>
    <n v="0.15"/>
    <n v="78.72"/>
    <n v="92.61"/>
  </r>
  <r>
    <s v="K7-11272"/>
    <d v="2026-02-04T00:00:00"/>
    <s v="Arizona"/>
    <s v="West"/>
    <s v="Online"/>
    <s v="New"/>
    <s v="Accessories"/>
    <s v="Knit Beanie"/>
    <s v="Jonah Wright"/>
    <n v="3"/>
    <n v="27.87"/>
    <n v="0"/>
    <n v="83.61"/>
    <n v="83.61"/>
  </r>
  <r>
    <s v="K7-11273"/>
    <d v="2026-04-19T00:00:00"/>
    <s v="Massachusetts"/>
    <s v="Northeast"/>
    <s v="Online"/>
    <s v="New"/>
    <s v="Footwear"/>
    <s v="Suede Loafer"/>
    <s v="Noor Haddad"/>
    <n v="2"/>
    <n v="157.61000000000001"/>
    <n v="0"/>
    <n v="315.22000000000003"/>
    <n v="315.22000000000003"/>
  </r>
  <r>
    <s v="K7-11274"/>
    <d v="2026-12-09T00:00:00"/>
    <s v="Massachusetts"/>
    <s v="Northeast"/>
    <s v="Online"/>
    <s v="New"/>
    <s v="Dresses"/>
    <s v="Midi Slip Dress"/>
    <s v="Jonah Wright"/>
    <n v="3"/>
    <n v="101.16"/>
    <n v="0"/>
    <n v="303.48"/>
    <n v="303.48"/>
  </r>
  <r>
    <s v="K7-11275"/>
    <d v="2026-03-08T00:00:00"/>
    <s v="Texas"/>
    <s v="South"/>
    <s v="Online"/>
    <s v="New"/>
    <s v="Outerwear"/>
    <s v="Quilted Jacket"/>
    <s v="Noor Haddad"/>
    <n v="5"/>
    <n v="170.16"/>
    <n v="0.05"/>
    <n v="808.26"/>
    <n v="850.8"/>
  </r>
  <r>
    <s v="K7-11276"/>
    <d v="2026-09-16T00:00:00"/>
    <s v="Washington"/>
    <s v="West"/>
    <s v="Retail Store"/>
    <s v="Returning"/>
    <s v="Footwear"/>
    <s v="Suede Loafer"/>
    <s v="Marcus Reed"/>
    <n v="3"/>
    <n v="170.54"/>
    <n v="0.1"/>
    <n v="460.46"/>
    <n v="511.62"/>
  </r>
  <r>
    <s v="K7-11277"/>
    <d v="2026-06-28T00:00:00"/>
    <s v="Colorado"/>
    <s v="West"/>
    <s v="Marketplace"/>
    <s v="New"/>
    <s v="Tops"/>
    <s v="Oxford Shirt"/>
    <s v="Marcus Reed"/>
    <n v="1"/>
    <n v="71.48"/>
    <n v="0"/>
    <n v="71.48"/>
    <n v="71.48"/>
  </r>
  <r>
    <s v="K7-11278"/>
    <d v="2026-06-09T00:00:00"/>
    <s v="Pennsylvania"/>
    <s v="Northeast"/>
    <s v="Marketplace"/>
    <s v="Returning"/>
    <s v="Bottoms"/>
    <s v="Cargo Pant"/>
    <s v="Ava Brooks"/>
    <n v="9"/>
    <n v="80.63"/>
    <n v="0"/>
    <n v="725.67"/>
    <n v="725.67"/>
  </r>
  <r>
    <s v="K7-11279"/>
    <d v="2026-08-02T00:00:00"/>
    <s v="New York"/>
    <s v="Northeast"/>
    <s v="Retail Store"/>
    <s v="Returning"/>
    <s v="Tops"/>
    <s v="Oxford Shirt"/>
    <s v="Noor Haddad"/>
    <n v="2"/>
    <n v="70.38"/>
    <n v="0"/>
    <n v="140.76"/>
    <n v="140.76"/>
  </r>
  <r>
    <s v="K7-11280"/>
    <d v="2026-06-12T00:00:00"/>
    <s v="Pennsylvania"/>
    <s v="Northeast"/>
    <s v="Retail Store"/>
    <s v="Returning"/>
    <s v="Footwear"/>
    <s v="Leather Boot"/>
    <s v="Dylan Foster"/>
    <n v="13"/>
    <n v="215.04"/>
    <n v="0"/>
    <n v="2795.52"/>
    <n v="2795.52"/>
  </r>
  <r>
    <s v="K7-11281"/>
    <d v="2026-10-01T00:00:00"/>
    <s v="Ohio"/>
    <s v="Midwest"/>
    <s v="Online"/>
    <s v="Returning"/>
    <s v="Footwear"/>
    <s v="Canvas Sneaker"/>
    <s v="Grace Okafor"/>
    <n v="2"/>
    <n v="87.84"/>
    <n v="0"/>
    <n v="175.68"/>
    <n v="175.68"/>
  </r>
  <r>
    <s v="K7-11282"/>
    <d v="2026-03-14T00:00:00"/>
    <s v="Utah"/>
    <s v="West"/>
    <s v="Online"/>
    <s v="New"/>
    <s v="Accessories"/>
    <s v="Silk Scarf"/>
    <s v="Jonah Wright"/>
    <n v="4"/>
    <n v="57.25"/>
    <n v="0"/>
    <n v="229"/>
    <n v="229"/>
  </r>
  <r>
    <s v="K7-11283"/>
    <d v="2026-04-07T00:00:00"/>
    <s v="Florida"/>
    <s v="South"/>
    <s v="Retail Store"/>
    <s v="Returning"/>
    <s v="Footwear"/>
    <s v="Leather Boot"/>
    <s v="Elena Vargas"/>
    <n v="1"/>
    <n v="226.29"/>
    <n v="0"/>
    <n v="226.29"/>
    <n v="226.29"/>
  </r>
  <r>
    <s v="K7-11284"/>
    <d v="2026-05-07T00:00:00"/>
    <s v="Missouri"/>
    <s v="Midwest"/>
    <s v="Marketplace"/>
    <s v="Returning"/>
    <s v="Outerwear"/>
    <s v="Quilted Jacket"/>
    <s v="Jonah Wright"/>
    <n v="2"/>
    <n v="162.38999999999999"/>
    <n v="0"/>
    <n v="324.77999999999997"/>
    <n v="324.77999999999997"/>
  </r>
  <r>
    <s v="K7-11285"/>
    <d v="2026-01-14T00:00:00"/>
    <s v="California"/>
    <s v="West"/>
    <s v="Online"/>
    <s v="Returning"/>
    <s v="Bottoms"/>
    <s v="Cargo Pant"/>
    <s v="Dylan Foster"/>
    <n v="1"/>
    <n v="83.12"/>
    <n v="0.05"/>
    <n v="78.959999999999994"/>
    <n v="83.12"/>
  </r>
  <r>
    <s v="K7-11286"/>
    <d v="2026-03-19T00:00:00"/>
    <s v="Oregon"/>
    <s v="West"/>
    <s v="Online"/>
    <s v="Returning"/>
    <s v="Bottoms"/>
    <s v="Cargo Pant"/>
    <s v="Noor Haddad"/>
    <n v="2"/>
    <n v="78.72"/>
    <n v="0.05"/>
    <n v="149.57"/>
    <n v="157.44"/>
  </r>
  <r>
    <s v="K7-11287"/>
    <d v="2026-03-24T00:00:00"/>
    <s v="New York"/>
    <s v="Northeast"/>
    <s v="Online"/>
    <s v="Returning"/>
    <s v="Outerwear"/>
    <s v="Quilted Jacket"/>
    <s v="Ava Brooks"/>
    <n v="3"/>
    <n v="158.13999999999999"/>
    <n v="0"/>
    <n v="474.42"/>
    <n v="474.41999999999996"/>
  </r>
  <r>
    <s v="K7-11288"/>
    <d v="2026-06-27T00:00:00"/>
    <s v="New Jersey"/>
    <s v="Northeast"/>
    <s v="Wholesale"/>
    <s v="Returning"/>
    <s v="Accessories"/>
    <s v="Silk Scarf"/>
    <s v="Jonah Wright"/>
    <n v="5"/>
    <n v="66.06"/>
    <n v="0"/>
    <n v="330.3"/>
    <n v="330.3"/>
  </r>
  <r>
    <s v="K7-11289"/>
    <d v="2026-02-10T00:00:00"/>
    <s v="Indiana"/>
    <s v="Midwest"/>
    <s v="Retail Store"/>
    <s v="Returning"/>
    <s v="Bottoms"/>
    <s v="Cargo Pant"/>
    <s v="Jonah Wright"/>
    <n v="2"/>
    <n v="78"/>
    <n v="0.2"/>
    <n v="124.8"/>
    <n v="156"/>
  </r>
  <r>
    <s v="K7-11290"/>
    <d v="2026-08-22T00:00:00"/>
    <s v="Tennessee"/>
    <s v="South"/>
    <s v="Online"/>
    <s v="Returning"/>
    <s v="Accessories"/>
    <s v="Leather Belt"/>
    <s v="Jonah Wright"/>
    <n v="2"/>
    <n v="51"/>
    <n v="0"/>
    <n v="102"/>
    <n v="102"/>
  </r>
  <r>
    <s v="K7-11291"/>
    <d v="2026-11-20T00:00:00"/>
    <s v="Colorado"/>
    <s v="West"/>
    <s v="Online"/>
    <s v="New"/>
    <s v="Outerwear"/>
    <s v="Wool Overcoat"/>
    <s v="Priya Nair"/>
    <n v="6"/>
    <n v="297.05"/>
    <n v="0.05"/>
    <n v="1693.19"/>
    <n v="1782.3000000000002"/>
  </r>
  <r>
    <s v="K7-11292"/>
    <d v="2026-03-06T00:00:00"/>
    <s v="Texas"/>
    <s v="South"/>
    <s v="Wholesale"/>
    <s v="Returning"/>
    <s v="Bottoms"/>
    <s v="Slim Chino"/>
    <s v="Jonah Wright"/>
    <n v="1"/>
    <n v="78"/>
    <n v="0.15"/>
    <n v="66.3"/>
    <n v="78"/>
  </r>
  <r>
    <s v="K7-11293"/>
    <d v="2026-12-08T00:00:00"/>
    <s v="Colorado"/>
    <s v="West"/>
    <s v="Retail Store"/>
    <s v="Returning"/>
    <s v="Dresses"/>
    <s v="Wrap Dress"/>
    <s v="Ava Brooks"/>
    <n v="13"/>
    <n v="125.17"/>
    <n v="0.1"/>
    <n v="1464.49"/>
    <n v="1627.21"/>
  </r>
  <r>
    <s v="K7-11294"/>
    <d v="2026-11-02T00:00:00"/>
    <s v="California"/>
    <s v="West"/>
    <s v="Wholesale"/>
    <s v="Returning"/>
    <s v="Tops"/>
    <s v="Classic Tee"/>
    <s v="Noor Haddad"/>
    <n v="2"/>
    <n v="32.130000000000003"/>
    <n v="0"/>
    <n v="64.260000000000005"/>
    <n v="64.260000000000005"/>
  </r>
  <r>
    <s v="K7-11295"/>
    <d v="2026-12-15T00:00:00"/>
    <s v="Connecticut"/>
    <s v="Northeast"/>
    <s v="Online"/>
    <s v="New"/>
    <s v="Tops"/>
    <s v="Classic Tee"/>
    <s v="Dylan Foster"/>
    <n v="2"/>
    <n v="30.51"/>
    <n v="0"/>
    <n v="61.02"/>
    <n v="61.02"/>
  </r>
  <r>
    <s v="K7-11296"/>
    <d v="2026-01-27T00:00:00"/>
    <s v="Missouri"/>
    <s v="Midwest"/>
    <s v="Online"/>
    <s v="Returning"/>
    <s v="Accessories"/>
    <s v="Canvas Tote"/>
    <s v="Grace Okafor"/>
    <n v="1"/>
    <n v="39.39"/>
    <n v="0.1"/>
    <n v="35.450000000000003"/>
    <n v="39.39"/>
  </r>
  <r>
    <s v="K7-11297"/>
    <d v="2026-09-19T00:00:00"/>
    <s v="Illinois"/>
    <s v="Midwest"/>
    <s v="Wholesale"/>
    <s v="Returning"/>
    <s v="Tops"/>
    <s v="Striped Polo"/>
    <s v="Priya Nair"/>
    <n v="5"/>
    <n v="52.68"/>
    <n v="0"/>
    <n v="263.39999999999998"/>
    <n v="263.39999999999998"/>
  </r>
  <r>
    <s v="K7-11298"/>
    <d v="2026-01-26T00:00:00"/>
    <s v="Arizona"/>
    <s v="West"/>
    <s v="Online"/>
    <s v="New"/>
    <s v="Dresses"/>
    <s v="Midi Slip Dress"/>
    <s v="Grace Okafor"/>
    <n v="1"/>
    <n v="99.03"/>
    <n v="0.15"/>
    <n v="84.18"/>
    <n v="99.03"/>
  </r>
  <r>
    <s v="K7-11299"/>
    <d v="2026-02-04T00:00:00"/>
    <s v="Texas"/>
    <s v="South"/>
    <s v="Online"/>
    <s v="New"/>
    <s v="Outerwear"/>
    <s v="Denim Trucker"/>
    <s v="Dylan Foster"/>
    <n v="2"/>
    <n v="121.34"/>
    <n v="0"/>
    <n v="242.68"/>
    <n v="242.68"/>
  </r>
  <r>
    <s v="K7-11300"/>
    <d v="2026-07-27T00:00:00"/>
    <s v="Virginia"/>
    <s v="South"/>
    <s v="Retail Store"/>
    <s v="New"/>
    <s v="Footwear"/>
    <s v="Canvas Sneaker"/>
    <s v="Priya Nair"/>
    <n v="1"/>
    <n v="89.05"/>
    <n v="0"/>
    <n v="89.05"/>
    <n v="89.05"/>
  </r>
  <r>
    <s v="K7-11301"/>
    <d v="2026-08-07T00:00:00"/>
    <s v="Washington"/>
    <s v="West"/>
    <s v="Retail Store"/>
    <s v="Returning"/>
    <s v="Tops"/>
    <s v="Classic Tee"/>
    <s v="Priya Nair"/>
    <n v="4"/>
    <n v="29.97"/>
    <n v="0.2"/>
    <n v="95.9"/>
    <n v="119.88"/>
  </r>
  <r>
    <s v="K7-11302"/>
    <d v="2026-10-04T00:00:00"/>
    <s v="Virginia"/>
    <s v="South"/>
    <s v="Wholesale"/>
    <s v="New"/>
    <s v="Bottoms"/>
    <s v="Tailored Short"/>
    <s v="Dylan Foster"/>
    <n v="2"/>
    <n v="56.35"/>
    <n v="0"/>
    <n v="112.7"/>
    <n v="112.7"/>
  </r>
  <r>
    <s v="K7-11303"/>
    <d v="2026-04-06T00:00:00"/>
    <s v="California"/>
    <s v="West"/>
    <s v="Retail Store"/>
    <s v="New"/>
    <s v="Accessories"/>
    <s v="Silk Scarf"/>
    <s v="Marcus Reed"/>
    <n v="3"/>
    <n v="66.900000000000006"/>
    <n v="0"/>
    <n v="200.7"/>
    <n v="200.70000000000002"/>
  </r>
  <r>
    <s v="K7-11304"/>
    <d v="2026-02-26T00:00:00"/>
    <s v="Texas"/>
    <s v="South"/>
    <s v="Retail Store"/>
    <s v="Returning"/>
    <s v="Accessories"/>
    <s v="Leather Belt"/>
    <s v="Noor Haddad"/>
    <n v="1"/>
    <n v="50.29"/>
    <n v="0.05"/>
    <n v="47.78"/>
    <n v="50.29"/>
  </r>
  <r>
    <s v="K7-11305"/>
    <d v="2026-05-26T00:00:00"/>
    <s v="Pennsylvania"/>
    <s v="Northeast"/>
    <s v="Online"/>
    <s v="New"/>
    <s v="Bottoms"/>
    <s v="Straight Jeans"/>
    <s v="Noor Haddad"/>
    <n v="2"/>
    <n v="94.69"/>
    <n v="0"/>
    <n v="189.38"/>
    <n v="189.38"/>
  </r>
  <r>
    <s v="K7-11306"/>
    <d v="2026-05-04T00:00:00"/>
    <s v="Missouri"/>
    <s v="Midwest"/>
    <s v="Wholesale"/>
    <s v="New"/>
    <s v="Bottoms"/>
    <s v="Tailored Short"/>
    <s v="Priya Nair"/>
    <n v="1"/>
    <n v="54.32"/>
    <n v="0"/>
    <n v="54.32"/>
    <n v="54.32"/>
  </r>
  <r>
    <s v="K7-11307"/>
    <d v="2026-01-16T00:00:00"/>
    <s v="California"/>
    <s v="West"/>
    <s v="Online"/>
    <s v="New"/>
    <s v="Outerwear"/>
    <s v="Hooded Parka"/>
    <s v="Noor Haddad"/>
    <n v="4"/>
    <n v="237.4"/>
    <n v="0"/>
    <n v="949.6"/>
    <n v="949.6"/>
  </r>
  <r>
    <s v="K7-11308"/>
    <d v="2026-04-28T00:00:00"/>
    <s v="Illinois"/>
    <s v="Midwest"/>
    <s v="Retail Store"/>
    <s v="Returning"/>
    <s v="Tops"/>
    <s v="Oxford Shirt"/>
    <s v="Elena Vargas"/>
    <n v="11"/>
    <n v="73.400000000000006"/>
    <n v="0"/>
    <n v="807.4"/>
    <n v="807.40000000000009"/>
  </r>
  <r>
    <s v="K7-11309"/>
    <d v="2026-01-24T00:00:00"/>
    <s v="Georgia"/>
    <s v="South"/>
    <s v="Wholesale"/>
    <s v="New"/>
    <s v="Footwear"/>
    <s v="Suede Loafer"/>
    <s v="Dylan Foster"/>
    <n v="1"/>
    <n v="168.21"/>
    <n v="0.05"/>
    <n v="159.80000000000001"/>
    <n v="168.21"/>
  </r>
  <r>
    <s v="K7-11310"/>
    <d v="2026-12-04T00:00:00"/>
    <s v="Colorado"/>
    <s v="West"/>
    <s v="Online"/>
    <s v="Returning"/>
    <s v="Accessories"/>
    <s v="Canvas Tote"/>
    <s v="Jonah Wright"/>
    <n v="1"/>
    <n v="36.119999999999997"/>
    <n v="0"/>
    <n v="36.119999999999997"/>
    <n v="36.119999999999997"/>
  </r>
  <r>
    <s v="K7-11311"/>
    <d v="2026-08-12T00:00:00"/>
    <s v="North Carolina"/>
    <s v="South"/>
    <s v="Wholesale"/>
    <s v="Returning"/>
    <s v="Footwear"/>
    <s v="Leather Boot"/>
    <s v="Elena Vargas"/>
    <n v="2"/>
    <n v="227.6"/>
    <n v="0"/>
    <n v="455.2"/>
    <n v="455.2"/>
  </r>
  <r>
    <s v="K7-11312"/>
    <d v="2026-12-19T00:00:00"/>
    <s v="Pennsylvania"/>
    <s v="Northeast"/>
    <s v="Online"/>
    <s v="Returning"/>
    <s v="Outerwear"/>
    <s v="Denim Trucker"/>
    <s v="Elena Vargas"/>
    <n v="3"/>
    <n v="131.5"/>
    <n v="0.1"/>
    <n v="355.05"/>
    <n v="394.5"/>
  </r>
  <r>
    <s v="K7-11313"/>
    <d v="2026-10-13T00:00:00"/>
    <s v="California"/>
    <s v="West"/>
    <s v="Online"/>
    <s v="Returning"/>
    <s v="Tops"/>
    <s v="Oxford Shirt"/>
    <s v="Elena Vargas"/>
    <n v="2"/>
    <n v="64.55"/>
    <n v="0"/>
    <n v="129.1"/>
    <n v="129.1"/>
  </r>
  <r>
    <s v="K7-11314"/>
    <d v="2026-02-14T00:00:00"/>
    <s v="California"/>
    <s v="West"/>
    <s v="Online"/>
    <s v="Returning"/>
    <s v="Bottoms"/>
    <s v="Cargo Pant"/>
    <s v="Marcus Reed"/>
    <n v="1"/>
    <n v="86.53"/>
    <n v="0"/>
    <n v="86.53"/>
    <n v="86.53"/>
  </r>
  <r>
    <s v="K7-11315"/>
    <d v="2026-02-08T00:00:00"/>
    <s v="Washington"/>
    <s v="West"/>
    <s v="Wholesale"/>
    <s v="New"/>
    <s v="Bottoms"/>
    <s v="Tailored Short"/>
    <s v="Ava Brooks"/>
    <n v="5"/>
    <n v="60.35"/>
    <n v="0"/>
    <n v="301.75"/>
    <n v="301.75"/>
  </r>
  <r>
    <s v="K7-11316"/>
    <d v="2026-05-22T00:00:00"/>
    <s v="Virginia"/>
    <s v="South"/>
    <s v="Retail Store"/>
    <s v="New"/>
    <s v="Bottoms"/>
    <s v="Tailored Short"/>
    <s v="Dylan Foster"/>
    <n v="5"/>
    <n v="55.7"/>
    <n v="0"/>
    <n v="278.5"/>
    <n v="278.5"/>
  </r>
  <r>
    <s v="K7-11317"/>
    <d v="2026-09-28T00:00:00"/>
    <s v="Pennsylvania"/>
    <s v="Northeast"/>
    <s v="Online"/>
    <s v="Returning"/>
    <s v="Bottoms"/>
    <s v="Straight Jeans"/>
    <s v="Priya Nair"/>
    <n v="2"/>
    <n v="86.85"/>
    <n v="0.05"/>
    <n v="165.01"/>
    <n v="173.7"/>
  </r>
  <r>
    <s v="K7-11318"/>
    <d v="2026-11-08T00:00:00"/>
    <s v="California"/>
    <s v="West"/>
    <s v="Retail Store"/>
    <s v="Returning"/>
    <s v="Dresses"/>
    <s v="Midi Slip Dress"/>
    <s v="Grace Okafor"/>
    <n v="8"/>
    <n v="100.7"/>
    <n v="0"/>
    <n v="805.6"/>
    <n v="805.6"/>
  </r>
  <r>
    <s v="K7-11319"/>
    <d v="2026-10-12T00:00:00"/>
    <s v="Idaho"/>
    <s v="West"/>
    <s v="Marketplace"/>
    <s v="Returning"/>
    <s v="Footwear"/>
    <s v="Leather Boot"/>
    <s v="Grace Okafor"/>
    <n v="2"/>
    <n v="197.93"/>
    <n v="0"/>
    <n v="395.86"/>
    <n v="395.86"/>
  </r>
  <r>
    <s v="K7-11320"/>
    <d v="2026-02-25T00:00:00"/>
    <s v="Virginia"/>
    <s v="South"/>
    <s v="Online"/>
    <s v="New"/>
    <s v="Tops"/>
    <s v="Henley Long Sleeve"/>
    <s v="Priya Nair"/>
    <n v="1"/>
    <n v="45.23"/>
    <n v="0"/>
    <n v="45.23"/>
    <n v="45.23"/>
  </r>
  <r>
    <s v="K7-11321"/>
    <d v="2026-09-25T00:00:00"/>
    <s v="New York"/>
    <s v="Northeast"/>
    <s v="Online"/>
    <s v="New"/>
    <s v="Dresses"/>
    <s v="Midi Slip Dress"/>
    <s v="Ava Brooks"/>
    <n v="4"/>
    <n v="104.92"/>
    <n v="0"/>
    <n v="419.68"/>
    <n v="419.68"/>
  </r>
  <r>
    <s v="K7-11322"/>
    <d v="2026-07-20T00:00:00"/>
    <s v="North Carolina"/>
    <s v="South"/>
    <s v="Retail Store"/>
    <s v="New"/>
    <s v="Bottoms"/>
    <s v="Straight Jeans"/>
    <s v="Marcus Reed"/>
    <n v="9"/>
    <n v="89.05"/>
    <n v="0"/>
    <n v="801.45"/>
    <n v="801.44999999999993"/>
  </r>
  <r>
    <s v="K7-11323"/>
    <d v="2026-08-29T00:00:00"/>
    <s v="Connecticut"/>
    <s v="Northeast"/>
    <s v="Marketplace"/>
    <s v="New"/>
    <s v="Tops"/>
    <s v="Oxford Shirt"/>
    <s v="Grace Okafor"/>
    <n v="1"/>
    <n v="62.99"/>
    <n v="0"/>
    <n v="62.99"/>
    <n v="62.99"/>
  </r>
  <r>
    <s v="K7-11324"/>
    <d v="2026-11-23T00:00:00"/>
    <s v="Florida"/>
    <s v="South"/>
    <s v="Wholesale"/>
    <s v="Returning"/>
    <s v="Accessories"/>
    <s v="Knit Beanie"/>
    <s v="Priya Nair"/>
    <n v="10"/>
    <n v="26.78"/>
    <n v="0"/>
    <n v="267.8"/>
    <n v="267.8"/>
  </r>
  <r>
    <s v="K7-11325"/>
    <d v="2026-04-26T00:00:00"/>
    <s v="Georgia"/>
    <s v="South"/>
    <s v="Online"/>
    <s v="Returning"/>
    <s v="Accessories"/>
    <s v="Knit Beanie"/>
    <s v="Grace Okafor"/>
    <n v="1"/>
    <n v="27.89"/>
    <n v="0"/>
    <n v="27.89"/>
    <n v="27.89"/>
  </r>
  <r>
    <s v="K7-11326"/>
    <d v="2026-10-23T00:00:00"/>
    <s v="Illinois"/>
    <s v="Midwest"/>
    <s v="Wholesale"/>
    <s v="New"/>
    <s v="Outerwear"/>
    <s v="Denim Trucker"/>
    <s v="Priya Nair"/>
    <n v="2"/>
    <n v="122.15"/>
    <n v="0"/>
    <n v="244.3"/>
    <n v="244.3"/>
  </r>
  <r>
    <s v="K7-11327"/>
    <d v="2026-12-23T00:00:00"/>
    <s v="Georgia"/>
    <s v="South"/>
    <s v="Online"/>
    <s v="New"/>
    <s v="Outerwear"/>
    <s v="Quilted Jacket"/>
    <s v="Grace Okafor"/>
    <n v="6"/>
    <n v="167.45"/>
    <n v="0"/>
    <n v="1004.7"/>
    <n v="1004.6999999999999"/>
  </r>
  <r>
    <s v="K7-11328"/>
    <d v="2026-01-15T00:00:00"/>
    <s v="Pennsylvania"/>
    <s v="Northeast"/>
    <s v="Wholesale"/>
    <s v="Returning"/>
    <s v="Tops"/>
    <s v="Henley Long Sleeve"/>
    <s v="Grace Okafor"/>
    <n v="2"/>
    <n v="47.16"/>
    <n v="0"/>
    <n v="94.32"/>
    <n v="94.32"/>
  </r>
  <r>
    <s v="K7-11329"/>
    <d v="2026-09-02T00:00:00"/>
    <s v="Illinois"/>
    <s v="Midwest"/>
    <s v="Online"/>
    <s v="New"/>
    <s v="Dresses"/>
    <s v="Linen Shirt Dress"/>
    <s v="Marcus Reed"/>
    <n v="2"/>
    <n v="135.41999999999999"/>
    <n v="0"/>
    <n v="270.83999999999997"/>
    <n v="270.83999999999997"/>
  </r>
  <r>
    <s v="K7-11330"/>
    <d v="2026-03-05T00:00:00"/>
    <s v="Arizona"/>
    <s v="West"/>
    <s v="Online"/>
    <s v="Returning"/>
    <s v="Bottoms"/>
    <s v="Cargo Pant"/>
    <s v="Marcus Reed"/>
    <n v="8"/>
    <n v="86.35"/>
    <n v="0.05"/>
    <n v="656.26"/>
    <n v="690.8"/>
  </r>
  <r>
    <s v="K7-11331"/>
    <d v="2026-10-21T00:00:00"/>
    <s v="New York"/>
    <s v="Northeast"/>
    <s v="Retail Store"/>
    <s v="Returning"/>
    <s v="Accessories"/>
    <s v="Silk Scarf"/>
    <s v="Jonah Wright"/>
    <n v="6"/>
    <n v="65.260000000000005"/>
    <n v="0"/>
    <n v="391.56"/>
    <n v="391.56000000000006"/>
  </r>
  <r>
    <s v="K7-11332"/>
    <d v="2026-09-09T00:00:00"/>
    <s v="California"/>
    <s v="West"/>
    <s v="Retail Store"/>
    <s v="Returning"/>
    <s v="Accessories"/>
    <s v="Knit Beanie"/>
    <s v="Jonah Wright"/>
    <n v="1"/>
    <n v="25.63"/>
    <n v="0"/>
    <n v="25.63"/>
    <n v="25.63"/>
  </r>
  <r>
    <s v="K7-11333"/>
    <d v="2026-07-13T00:00:00"/>
    <s v="Ohio"/>
    <s v="Midwest"/>
    <s v="Online"/>
    <s v="Returning"/>
    <s v="Dresses"/>
    <s v="Linen Shirt Dress"/>
    <s v="Jonah Wright"/>
    <n v="1"/>
    <n v="140.65"/>
    <n v="0.15"/>
    <n v="119.55"/>
    <n v="140.65"/>
  </r>
  <r>
    <s v="K7-11334"/>
    <d v="2026-02-24T00:00:00"/>
    <s v="California"/>
    <s v="West"/>
    <s v="Marketplace"/>
    <s v="New"/>
    <s v="Dresses"/>
    <s v="Midi Slip Dress"/>
    <s v="Ava Brooks"/>
    <n v="5"/>
    <n v="91.35"/>
    <n v="0.2"/>
    <n v="365.4"/>
    <n v="456.75"/>
  </r>
  <r>
    <s v="K7-11335"/>
    <d v="2026-06-11T00:00:00"/>
    <s v="Virginia"/>
    <s v="South"/>
    <s v="Marketplace"/>
    <s v="Returning"/>
    <s v="Accessories"/>
    <s v="Leather Belt"/>
    <s v="Noor Haddad"/>
    <n v="1"/>
    <n v="50.01"/>
    <n v="0"/>
    <n v="50.01"/>
    <n v="50.01"/>
  </r>
  <r>
    <s v="K7-11336"/>
    <d v="2026-08-06T00:00:00"/>
    <s v="Arizona"/>
    <s v="West"/>
    <s v="Online"/>
    <s v="Returning"/>
    <s v="Tops"/>
    <s v="Oxford Shirt"/>
    <s v="Dylan Foster"/>
    <n v="3"/>
    <n v="68.31"/>
    <n v="0"/>
    <n v="204.93"/>
    <n v="204.93"/>
  </r>
  <r>
    <s v="K7-11337"/>
    <d v="2026-12-23T00:00:00"/>
    <s v="Virginia"/>
    <s v="South"/>
    <s v="Retail Store"/>
    <s v="New"/>
    <s v="Dresses"/>
    <s v="Wrap Dress"/>
    <s v="Jonah Wright"/>
    <n v="2"/>
    <n v="116.4"/>
    <n v="0.2"/>
    <n v="186.24"/>
    <n v="232.8"/>
  </r>
  <r>
    <s v="K7-11338"/>
    <d v="2026-03-01T00:00:00"/>
    <s v="Utah"/>
    <s v="West"/>
    <s v="Wholesale"/>
    <s v="New"/>
    <s v="Outerwear"/>
    <s v="Hooded Parka"/>
    <s v="Grace Okafor"/>
    <n v="2"/>
    <n v="237.12"/>
    <n v="0"/>
    <n v="474.24"/>
    <n v="474.24"/>
  </r>
  <r>
    <s v="K7-11339"/>
    <d v="2026-02-19T00:00:00"/>
    <s v="New York"/>
    <s v="Northeast"/>
    <s v="Online"/>
    <s v="New"/>
    <s v="Outerwear"/>
    <s v="Wool Overcoat"/>
    <s v="Marcus Reed"/>
    <n v="6"/>
    <n v="318.56"/>
    <n v="0"/>
    <n v="1911.36"/>
    <n v="1911.3600000000001"/>
  </r>
  <r>
    <s v="K7-11340"/>
    <d v="2026-10-12T00:00:00"/>
    <s v="Tennessee"/>
    <s v="South"/>
    <s v="Retail Store"/>
    <s v="New"/>
    <s v="Outerwear"/>
    <s v="Denim Trucker"/>
    <s v="Elena Vargas"/>
    <n v="2"/>
    <n v="130.15"/>
    <n v="0.15"/>
    <n v="221.25"/>
    <n v="260.3"/>
  </r>
  <r>
    <s v="K7-11341"/>
    <d v="2026-01-19T00:00:00"/>
    <s v="Ohio"/>
    <s v="Midwest"/>
    <s v="Retail Store"/>
    <s v="New"/>
    <s v="Footwear"/>
    <s v="Leather Boot"/>
    <s v="Dylan Foster"/>
    <n v="1"/>
    <n v="226.91"/>
    <n v="0.2"/>
    <n v="181.53"/>
    <n v="226.91"/>
  </r>
  <r>
    <s v="K7-11342"/>
    <d v="2026-03-27T00:00:00"/>
    <s v="California"/>
    <s v="West"/>
    <s v="Online"/>
    <s v="New"/>
    <s v="Tops"/>
    <s v="Oxford Shirt"/>
    <s v="Elena Vargas"/>
    <n v="5"/>
    <n v="72.81"/>
    <n v="0"/>
    <n v="364.05"/>
    <n v="364.05"/>
  </r>
  <r>
    <s v="K7-11343"/>
    <d v="2026-08-11T00:00:00"/>
    <s v="South Carolina"/>
    <s v="South"/>
    <s v="Online"/>
    <s v="New"/>
    <s v="Tops"/>
    <s v="Striped Polo"/>
    <s v="Ava Brooks"/>
    <n v="1"/>
    <n v="58.21"/>
    <n v="0.15"/>
    <n v="49.48"/>
    <n v="58.21"/>
  </r>
  <r>
    <s v="K7-11344"/>
    <d v="2026-12-04T00:00:00"/>
    <s v="Louisiana"/>
    <s v="South"/>
    <s v="Marketplace"/>
    <s v="New"/>
    <s v="Outerwear"/>
    <s v="Hooded Parka"/>
    <s v="Priya Nair"/>
    <n v="5"/>
    <n v="251.09"/>
    <n v="0"/>
    <n v="1255.45"/>
    <n v="1255.45"/>
  </r>
  <r>
    <s v="K7-11345"/>
    <d v="2026-11-18T00:00:00"/>
    <s v="Pennsylvania"/>
    <s v="Northeast"/>
    <s v="Online"/>
    <s v="Returning"/>
    <s v="Tops"/>
    <s v="Henley Long Sleeve"/>
    <s v="Jonah Wright"/>
    <n v="8"/>
    <n v="46.36"/>
    <n v="0"/>
    <n v="370.88"/>
    <n v="370.88"/>
  </r>
  <r>
    <s v="K7-11346"/>
    <d v="2026-12-31T00:00:00"/>
    <s v="Colorado"/>
    <s v="West"/>
    <s v="Online"/>
    <s v="Returning"/>
    <s v="Accessories"/>
    <s v="Canvas Tote"/>
    <s v="Marcus Reed"/>
    <n v="2"/>
    <n v="37.89"/>
    <n v="0.15"/>
    <n v="64.41"/>
    <n v="75.78"/>
  </r>
  <r>
    <s v="K7-11347"/>
    <d v="2026-05-21T00:00:00"/>
    <s v="North Carolina"/>
    <s v="South"/>
    <s v="Retail Store"/>
    <s v="Returning"/>
    <s v="Tops"/>
    <s v="Oxford Shirt"/>
    <s v="Marcus Reed"/>
    <n v="6"/>
    <n v="71.08"/>
    <n v="0"/>
    <n v="426.48"/>
    <n v="426.48"/>
  </r>
  <r>
    <s v="K7-11348"/>
    <d v="2026-09-21T00:00:00"/>
    <s v="New Jersey"/>
    <s v="Northeast"/>
    <s v="Retail Store"/>
    <s v="Returning"/>
    <s v="Bottoms"/>
    <s v="Slim Chino"/>
    <s v="Grace Okafor"/>
    <n v="8"/>
    <n v="72.72"/>
    <n v="0"/>
    <n v="581.76"/>
    <n v="581.76"/>
  </r>
  <r>
    <s v="K7-11349"/>
    <d v="2026-12-18T00:00:00"/>
    <s v="Illinois"/>
    <s v="Midwest"/>
    <s v="Retail Store"/>
    <s v="Returning"/>
    <s v="Footwear"/>
    <s v="Leather Boot"/>
    <s v="Elena Vargas"/>
    <n v="1"/>
    <n v="204.61"/>
    <n v="0.05"/>
    <n v="194.38"/>
    <n v="204.61"/>
  </r>
  <r>
    <s v="K7-11350"/>
    <d v="2026-11-23T00:00:00"/>
    <s v="Michigan"/>
    <s v="Midwest"/>
    <s v="Retail Store"/>
    <s v="New"/>
    <s v="Dresses"/>
    <s v="Midi Slip Dress"/>
    <s v="Noor Haddad"/>
    <n v="2"/>
    <n v="93.67"/>
    <n v="0.1"/>
    <n v="168.61"/>
    <n v="187.34"/>
  </r>
  <r>
    <s v="K7-11351"/>
    <d v="2026-10-25T00:00:00"/>
    <s v="Texas"/>
    <s v="South"/>
    <s v="Wholesale"/>
    <s v="Returning"/>
    <s v="Tops"/>
    <s v="Striped Polo"/>
    <s v="Marcus Reed"/>
    <n v="3"/>
    <n v="54.73"/>
    <n v="0.05"/>
    <n v="155.97999999999999"/>
    <n v="164.19"/>
  </r>
  <r>
    <s v="K7-11352"/>
    <d v="2026-09-22T00:00:00"/>
    <s v="Florida"/>
    <s v="South"/>
    <s v="Online"/>
    <s v="New"/>
    <s v="Bottoms"/>
    <s v="Straight Jeans"/>
    <s v="Grace Okafor"/>
    <n v="3"/>
    <n v="97.48"/>
    <n v="0"/>
    <n v="292.44"/>
    <n v="292.44"/>
  </r>
  <r>
    <s v="K7-11353"/>
    <d v="2026-06-13T00:00:00"/>
    <s v="Virginia"/>
    <s v="South"/>
    <s v="Marketplace"/>
    <s v="Returning"/>
    <s v="Bottoms"/>
    <s v="Tailored Short"/>
    <s v="Elena Vargas"/>
    <n v="1"/>
    <n v="57.54"/>
    <n v="0"/>
    <n v="57.54"/>
    <n v="57.54"/>
  </r>
  <r>
    <s v="K7-11354"/>
    <d v="2026-04-12T00:00:00"/>
    <s v="Arizona"/>
    <s v="West"/>
    <s v="Retail Store"/>
    <s v="Returning"/>
    <s v="Footwear"/>
    <s v="Canvas Sneaker"/>
    <s v="Grace Okafor"/>
    <n v="2"/>
    <n v="95.41"/>
    <n v="0"/>
    <n v="190.82"/>
    <n v="190.82"/>
  </r>
  <r>
    <s v="K7-11355"/>
    <d v="2026-10-12T00:00:00"/>
    <s v="Alabama"/>
    <s v="South"/>
    <s v="Marketplace"/>
    <s v="Returning"/>
    <s v="Footwear"/>
    <s v="Leather Boot"/>
    <s v="Elena Vargas"/>
    <n v="3"/>
    <n v="206.82"/>
    <n v="0"/>
    <n v="620.46"/>
    <n v="620.46"/>
  </r>
  <r>
    <s v="K7-11356"/>
    <d v="2026-08-15T00:00:00"/>
    <s v="Texas"/>
    <s v="South"/>
    <s v="Online"/>
    <s v="New"/>
    <s v="Tops"/>
    <s v="Striped Polo"/>
    <s v="Grace Okafor"/>
    <n v="3"/>
    <n v="56.53"/>
    <n v="0"/>
    <n v="169.59"/>
    <n v="169.59"/>
  </r>
  <r>
    <s v="K7-11357"/>
    <d v="2026-09-17T00:00:00"/>
    <s v="California"/>
    <s v="West"/>
    <s v="Online"/>
    <s v="Returning"/>
    <s v="Footwear"/>
    <s v="Suede Loafer"/>
    <s v="Elena Vargas"/>
    <n v="6"/>
    <n v="155.31"/>
    <n v="0"/>
    <n v="931.86"/>
    <n v="931.86"/>
  </r>
  <r>
    <s v="K7-11358"/>
    <d v="2026-06-10T00:00:00"/>
    <s v="Tennessee"/>
    <s v="South"/>
    <s v="Retail Store"/>
    <s v="Returning"/>
    <s v="Outerwear"/>
    <s v="Denim Trucker"/>
    <s v="Marcus Reed"/>
    <n v="9"/>
    <n v="119.09"/>
    <n v="0.15"/>
    <n v="911.04"/>
    <n v="1071.81"/>
  </r>
  <r>
    <s v="K7-11359"/>
    <d v="2026-07-11T00:00:00"/>
    <s v="Washington"/>
    <s v="West"/>
    <s v="Retail Store"/>
    <s v="New"/>
    <s v="Footwear"/>
    <s v="Suede Loafer"/>
    <s v="Noor Haddad"/>
    <n v="2"/>
    <n v="159.61000000000001"/>
    <n v="0"/>
    <n v="319.22000000000003"/>
    <n v="319.22000000000003"/>
  </r>
  <r>
    <s v="K7-11360"/>
    <d v="2026-12-18T00:00:00"/>
    <s v="Florida"/>
    <s v="South"/>
    <s v="Wholesale"/>
    <s v="Returning"/>
    <s v="Bottoms"/>
    <s v="Cargo Pant"/>
    <s v="Jonah Wright"/>
    <n v="1"/>
    <n v="88.74"/>
    <n v="0.05"/>
    <n v="84.3"/>
    <n v="88.74"/>
  </r>
  <r>
    <s v="K7-11361"/>
    <d v="2026-08-03T00:00:00"/>
    <s v="Utah"/>
    <s v="West"/>
    <s v="Online"/>
    <s v="Returning"/>
    <s v="Accessories"/>
    <s v="Canvas Tote"/>
    <s v="Elena Vargas"/>
    <n v="5"/>
    <n v="37.6"/>
    <n v="0"/>
    <n v="188"/>
    <n v="188"/>
  </r>
  <r>
    <s v="K7-11362"/>
    <d v="2026-07-23T00:00:00"/>
    <s v="Indiana"/>
    <s v="Midwest"/>
    <s v="Retail Store"/>
    <s v="Returning"/>
    <s v="Bottoms"/>
    <s v="Cargo Pant"/>
    <s v="Noor Haddad"/>
    <n v="1"/>
    <n v="89.03"/>
    <n v="0"/>
    <n v="89.03"/>
    <n v="89.03"/>
  </r>
  <r>
    <s v="K7-11363"/>
    <d v="2026-05-01T00:00:00"/>
    <s v="California"/>
    <s v="West"/>
    <s v="Wholesale"/>
    <s v="Returning"/>
    <s v="Footwear"/>
    <s v="Canvas Sneaker"/>
    <s v="Ava Brooks"/>
    <n v="1"/>
    <n v="86.76"/>
    <n v="0"/>
    <n v="86.76"/>
    <n v="86.76"/>
  </r>
  <r>
    <s v="K7-11364"/>
    <d v="2026-12-07T00:00:00"/>
    <s v="Virginia"/>
    <s v="South"/>
    <s v="Online"/>
    <s v="Returning"/>
    <s v="Bottoms"/>
    <s v="Tailored Short"/>
    <s v="Priya Nair"/>
    <n v="5"/>
    <n v="54.85"/>
    <n v="0"/>
    <n v="274.25"/>
    <n v="274.25"/>
  </r>
  <r>
    <s v="K7-11365"/>
    <d v="2026-06-13T00:00:00"/>
    <s v="Florida"/>
    <s v="South"/>
    <s v="Online"/>
    <s v="Returning"/>
    <s v="Dresses"/>
    <s v="Linen Shirt Dress"/>
    <s v="Dylan Foster"/>
    <n v="2"/>
    <n v="135.49"/>
    <n v="0"/>
    <n v="270.98"/>
    <n v="270.98"/>
  </r>
  <r>
    <s v="K7-11366"/>
    <d v="2026-07-30T00:00:00"/>
    <s v="Texas"/>
    <s v="South"/>
    <s v="Online"/>
    <s v="Returning"/>
    <s v="Footwear"/>
    <s v="Canvas Sneaker"/>
    <s v="Noor Haddad"/>
    <n v="2"/>
    <n v="82.52"/>
    <n v="0.3"/>
    <n v="115.53"/>
    <n v="165.04"/>
  </r>
  <r>
    <s v="K7-11367"/>
    <d v="2026-11-05T00:00:00"/>
    <s v="New York"/>
    <s v="Northeast"/>
    <s v="Marketplace"/>
    <s v="New"/>
    <s v="Tops"/>
    <s v="Classic Tee"/>
    <s v="Jonah Wright"/>
    <n v="1"/>
    <n v="31.44"/>
    <n v="0.2"/>
    <n v="25.15"/>
    <n v="31.44"/>
  </r>
  <r>
    <s v="K7-11368"/>
    <d v="2026-01-28T00:00:00"/>
    <s v="California"/>
    <s v="West"/>
    <s v="Retail Store"/>
    <s v="Returning"/>
    <s v="Bottoms"/>
    <s v="Tailored Short"/>
    <s v="Noor Haddad"/>
    <n v="1"/>
    <n v="57.24"/>
    <n v="0"/>
    <n v="57.24"/>
    <n v="57.24"/>
  </r>
  <r>
    <s v="K7-11369"/>
    <d v="2026-07-25T00:00:00"/>
    <s v="Alabama"/>
    <s v="South"/>
    <s v="Online"/>
    <s v="Returning"/>
    <s v="Bottoms"/>
    <s v="Straight Jeans"/>
    <s v="Jonah Wright"/>
    <n v="1"/>
    <n v="89.18"/>
    <n v="0"/>
    <n v="89.18"/>
    <n v="89.18"/>
  </r>
  <r>
    <s v="K7-11370"/>
    <d v="2026-11-22T00:00:00"/>
    <s v="Illinois"/>
    <s v="Midwest"/>
    <s v="Retail Store"/>
    <s v="Returning"/>
    <s v="Bottoms"/>
    <s v="Tailored Short"/>
    <s v="Noor Haddad"/>
    <n v="1"/>
    <n v="53.37"/>
    <n v="0"/>
    <n v="53.37"/>
    <n v="53.37"/>
  </r>
  <r>
    <s v="K7-11371"/>
    <d v="2026-11-21T00:00:00"/>
    <s v="Alabama"/>
    <s v="South"/>
    <s v="Online"/>
    <s v="Returning"/>
    <s v="Dresses"/>
    <s v="Wrap Dress"/>
    <s v="Marcus Reed"/>
    <n v="1"/>
    <n v="126.07"/>
    <n v="0"/>
    <n v="126.07"/>
    <n v="126.07"/>
  </r>
  <r>
    <s v="K7-11372"/>
    <d v="2026-07-31T00:00:00"/>
    <s v="California"/>
    <s v="West"/>
    <s v="Online"/>
    <s v="New"/>
    <s v="Tops"/>
    <s v="Oxford Shirt"/>
    <s v="Jonah Wright"/>
    <n v="1"/>
    <n v="72.489999999999995"/>
    <n v="0"/>
    <n v="72.489999999999995"/>
    <n v="72.489999999999995"/>
  </r>
  <r>
    <s v="K7-11373"/>
    <d v="2026-11-15T00:00:00"/>
    <s v="California"/>
    <s v="West"/>
    <s v="Wholesale"/>
    <s v="Returning"/>
    <s v="Footwear"/>
    <s v="Leather Boot"/>
    <s v="Ava Brooks"/>
    <n v="1"/>
    <n v="230.06"/>
    <n v="0"/>
    <n v="230.06"/>
    <n v="230.06"/>
  </r>
  <r>
    <s v="K7-11374"/>
    <d v="2026-05-13T00:00:00"/>
    <s v="Ohio"/>
    <s v="Midwest"/>
    <s v="Online"/>
    <s v="New"/>
    <s v="Bottoms"/>
    <s v="Slim Chino"/>
    <s v="Elena Vargas"/>
    <n v="2"/>
    <n v="72.8"/>
    <n v="0"/>
    <n v="145.6"/>
    <n v="145.6"/>
  </r>
  <r>
    <s v="K7-11375"/>
    <d v="2026-10-22T00:00:00"/>
    <s v="Virginia"/>
    <s v="South"/>
    <s v="Retail Store"/>
    <s v="New"/>
    <s v="Outerwear"/>
    <s v="Hooded Parka"/>
    <s v="Elena Vargas"/>
    <n v="4"/>
    <n v="228.45"/>
    <n v="0"/>
    <n v="913.8"/>
    <n v="913.8"/>
  </r>
  <r>
    <s v="K7-11376"/>
    <d v="2026-03-20T00:00:00"/>
    <s v="Georgia"/>
    <s v="South"/>
    <s v="Online"/>
    <s v="Returning"/>
    <s v="Dresses"/>
    <s v="Linen Shirt Dress"/>
    <s v="Grace Okafor"/>
    <n v="3"/>
    <n v="137.22999999999999"/>
    <n v="0.2"/>
    <n v="329.35"/>
    <n v="411.68999999999994"/>
  </r>
  <r>
    <s v="K7-11377"/>
    <d v="2026-09-04T00:00:00"/>
    <s v="California"/>
    <s v="West"/>
    <s v="Online"/>
    <s v="Returning"/>
    <s v="Footwear"/>
    <s v="Suede Loafer"/>
    <s v="Noor Haddad"/>
    <n v="1"/>
    <n v="158.54"/>
    <n v="0.05"/>
    <n v="150.61000000000001"/>
    <n v="158.54"/>
  </r>
  <r>
    <s v="K7-11378"/>
    <d v="2026-01-27T00:00:00"/>
    <s v="Florida"/>
    <s v="South"/>
    <s v="Online"/>
    <s v="New"/>
    <s v="Footwear"/>
    <s v="Suede Loafer"/>
    <s v="Noor Haddad"/>
    <n v="1"/>
    <n v="161.01"/>
    <n v="0.1"/>
    <n v="144.91"/>
    <n v="161.01"/>
  </r>
  <r>
    <s v="K7-11379"/>
    <d v="2026-02-01T00:00:00"/>
    <s v="Illinois"/>
    <s v="Midwest"/>
    <s v="Wholesale"/>
    <s v="Returning"/>
    <s v="Tops"/>
    <s v="Classic Tee"/>
    <s v="Priya Nair"/>
    <n v="3"/>
    <n v="29.93"/>
    <n v="0"/>
    <n v="89.79"/>
    <n v="89.789999999999992"/>
  </r>
  <r>
    <s v="K7-11380"/>
    <d v="2026-03-12T00:00:00"/>
    <s v="Pennsylvania"/>
    <s v="Northeast"/>
    <s v="Wholesale"/>
    <s v="New"/>
    <s v="Dresses"/>
    <s v="Linen Shirt Dress"/>
    <s v="Grace Okafor"/>
    <n v="4"/>
    <n v="133.77000000000001"/>
    <n v="0"/>
    <n v="535.08000000000004"/>
    <n v="535.08000000000004"/>
  </r>
  <r>
    <s v="K7-11381"/>
    <d v="2026-08-13T00:00:00"/>
    <s v="Utah"/>
    <s v="West"/>
    <s v="Retail Store"/>
    <s v="Returning"/>
    <s v="Bottoms"/>
    <s v="Tailored Short"/>
    <s v="Noor Haddad"/>
    <n v="6"/>
    <n v="60.32"/>
    <n v="0"/>
    <n v="361.92"/>
    <n v="361.92"/>
  </r>
  <r>
    <s v="K7-11382"/>
    <d v="2026-01-18T00:00:00"/>
    <s v="Virginia"/>
    <s v="South"/>
    <s v="Online"/>
    <s v="New"/>
    <s v="Dresses"/>
    <s v="Midi Slip Dress"/>
    <s v="Grace Okafor"/>
    <n v="4"/>
    <n v="100.85"/>
    <n v="0"/>
    <n v="403.4"/>
    <n v="403.4"/>
  </r>
  <r>
    <s v="K7-11383"/>
    <d v="2026-08-14T00:00:00"/>
    <s v="California"/>
    <s v="West"/>
    <s v="Online"/>
    <s v="Returning"/>
    <s v="Outerwear"/>
    <s v="Wool Overcoat"/>
    <s v="Grace Okafor"/>
    <n v="2"/>
    <n v="317.44"/>
    <n v="0"/>
    <n v="634.88"/>
    <n v="634.88"/>
  </r>
  <r>
    <s v="K7-11384"/>
    <d v="2026-01-23T00:00:00"/>
    <s v="California"/>
    <s v="West"/>
    <s v="Online"/>
    <s v="New"/>
    <s v="Footwear"/>
    <s v="Suede Loafer"/>
    <s v="Priya Nair"/>
    <n v="2"/>
    <n v="146.63999999999999"/>
    <n v="0"/>
    <n v="293.27999999999997"/>
    <n v="293.27999999999997"/>
  </r>
  <r>
    <s v="K7-11385"/>
    <d v="2026-10-03T00:00:00"/>
    <s v="Illinois"/>
    <s v="Midwest"/>
    <s v="Retail Store"/>
    <s v="Returning"/>
    <s v="Accessories"/>
    <s v="Silk Scarf"/>
    <s v="Ava Brooks"/>
    <n v="6"/>
    <n v="62.16"/>
    <n v="0.05"/>
    <n v="354.31"/>
    <n v="372.96"/>
  </r>
  <r>
    <s v="K7-11386"/>
    <d v="2026-04-24T00:00:00"/>
    <s v="Virginia"/>
    <s v="South"/>
    <s v="Marketplace"/>
    <s v="Returning"/>
    <s v="Footwear"/>
    <s v="Canvas Sneaker"/>
    <s v="Grace Okafor"/>
    <n v="2"/>
    <n v="89.87"/>
    <n v="0.3"/>
    <n v="125.82"/>
    <n v="179.74"/>
  </r>
  <r>
    <s v="K7-11387"/>
    <d v="2026-05-07T00:00:00"/>
    <s v="California"/>
    <s v="West"/>
    <s v="Marketplace"/>
    <s v="New"/>
    <s v="Bottoms"/>
    <s v="Cargo Pant"/>
    <s v="Noor Haddad"/>
    <n v="15"/>
    <n v="87.33"/>
    <n v="0"/>
    <n v="1309.95"/>
    <n v="1309.95"/>
  </r>
  <r>
    <s v="K7-11388"/>
    <d v="2026-04-21T00:00:00"/>
    <s v="Michigan"/>
    <s v="Midwest"/>
    <s v="Online"/>
    <s v="Returning"/>
    <s v="Outerwear"/>
    <s v="Quilted Jacket"/>
    <s v="Ava Brooks"/>
    <n v="3"/>
    <n v="173.03"/>
    <n v="0.1"/>
    <n v="467.18"/>
    <n v="519.09"/>
  </r>
  <r>
    <s v="K7-11389"/>
    <d v="2026-04-14T00:00:00"/>
    <s v="Washington"/>
    <s v="West"/>
    <s v="Retail Store"/>
    <s v="New"/>
    <s v="Footwear"/>
    <s v="Leather Boot"/>
    <s v="Jonah Wright"/>
    <n v="16"/>
    <n v="210.29"/>
    <n v="0"/>
    <n v="3364.64"/>
    <n v="3364.64"/>
  </r>
  <r>
    <s v="K7-11390"/>
    <d v="2026-11-09T00:00:00"/>
    <s v="Illinois"/>
    <s v="Midwest"/>
    <s v="Retail Store"/>
    <s v="New"/>
    <s v="Bottoms"/>
    <s v="Slim Chino"/>
    <s v="Ava Brooks"/>
    <n v="1"/>
    <n v="75.290000000000006"/>
    <n v="0.05"/>
    <n v="71.53"/>
    <n v="75.290000000000006"/>
  </r>
  <r>
    <s v="K7-11391"/>
    <d v="2026-04-17T00:00:00"/>
    <s v="Washington"/>
    <s v="West"/>
    <s v="Marketplace"/>
    <s v="Returning"/>
    <s v="Dresses"/>
    <s v="Wrap Dress"/>
    <s v="Priya Nair"/>
    <n v="9"/>
    <n v="113.86"/>
    <n v="0"/>
    <n v="1024.74"/>
    <n v="1024.74"/>
  </r>
  <r>
    <s v="K7-11392"/>
    <d v="2026-04-10T00:00:00"/>
    <s v="California"/>
    <s v="West"/>
    <s v="Online"/>
    <s v="New"/>
    <s v="Bottoms"/>
    <s v="Tailored Short"/>
    <s v="Jonah Wright"/>
    <n v="3"/>
    <n v="61.9"/>
    <n v="0"/>
    <n v="185.7"/>
    <n v="185.7"/>
  </r>
  <r>
    <s v="K7-11393"/>
    <d v="2026-04-29T00:00:00"/>
    <s v="Washington"/>
    <s v="West"/>
    <s v="Online"/>
    <s v="Returning"/>
    <s v="Outerwear"/>
    <s v="Wool Overcoat"/>
    <s v="Grace Okafor"/>
    <n v="2"/>
    <n v="281.13"/>
    <n v="0"/>
    <n v="562.26"/>
    <n v="562.26"/>
  </r>
  <r>
    <s v="K7-11394"/>
    <d v="2026-08-28T00:00:00"/>
    <s v="Florida"/>
    <s v="South"/>
    <s v="Online"/>
    <s v="New"/>
    <s v="Bottoms"/>
    <s v="Slim Chino"/>
    <s v="Priya Nair"/>
    <n v="14"/>
    <n v="70.38"/>
    <n v="0"/>
    <n v="985.32"/>
    <n v="985.31999999999994"/>
  </r>
  <r>
    <s v="K7-11395"/>
    <d v="2026-11-02T00:00:00"/>
    <s v="New York"/>
    <s v="Northeast"/>
    <s v="Online"/>
    <s v="Returning"/>
    <s v="Tops"/>
    <s v="Oxford Shirt"/>
    <s v="Ava Brooks"/>
    <n v="4"/>
    <n v="64.22"/>
    <n v="0"/>
    <n v="256.88"/>
    <n v="256.88"/>
  </r>
  <r>
    <s v="K7-11396"/>
    <d v="2026-10-16T00:00:00"/>
    <s v="North Carolina"/>
    <s v="South"/>
    <s v="Online"/>
    <s v="New"/>
    <s v="Outerwear"/>
    <s v="Quilted Jacket"/>
    <s v="Ava Brooks"/>
    <n v="1"/>
    <n v="173.44"/>
    <n v="0.05"/>
    <n v="164.77"/>
    <n v="173.44"/>
  </r>
  <r>
    <s v="K7-11397"/>
    <d v="2026-12-27T00:00:00"/>
    <s v="Illinois"/>
    <s v="Midwest"/>
    <s v="Marketplace"/>
    <s v="New"/>
    <s v="Footwear"/>
    <s v="Leather Boot"/>
    <s v="Jonah Wright"/>
    <n v="1"/>
    <n v="205.8"/>
    <n v="0"/>
    <n v="205.8"/>
    <n v="205.8"/>
  </r>
  <r>
    <s v="K7-11398"/>
    <d v="2026-10-21T00:00:00"/>
    <s v="North Carolina"/>
    <s v="South"/>
    <s v="Retail Store"/>
    <s v="Returning"/>
    <s v="Tops"/>
    <s v="Striped Polo"/>
    <s v="Elena Vargas"/>
    <n v="8"/>
    <n v="49.82"/>
    <n v="0"/>
    <n v="398.56"/>
    <n v="398.56"/>
  </r>
  <r>
    <s v="K7-11399"/>
    <d v="2026-05-07T00:00:00"/>
    <s v="Florida"/>
    <s v="South"/>
    <s v="Retail Store"/>
    <s v="New"/>
    <s v="Outerwear"/>
    <s v="Denim Trucker"/>
    <s v="Noor Haddad"/>
    <n v="1"/>
    <n v="119.67"/>
    <n v="0"/>
    <n v="119.67"/>
    <n v="119.67"/>
  </r>
  <r>
    <s v="K7-11400"/>
    <d v="2026-02-03T00:00:00"/>
    <s v="Pennsylvania"/>
    <s v="Northeast"/>
    <s v="Retail Store"/>
    <s v="New"/>
    <s v="Footwear"/>
    <s v="Leather Boot"/>
    <s v="Marcus Reed"/>
    <n v="1"/>
    <n v="224.79"/>
    <n v="0"/>
    <n v="224.79"/>
    <n v="224.79"/>
  </r>
  <r>
    <s v="K7-11401"/>
    <d v="2026-06-08T00:00:00"/>
    <s v="Nevada"/>
    <s v="West"/>
    <s v="Retail Store"/>
    <s v="New"/>
    <s v="Footwear"/>
    <s v="Canvas Sneaker"/>
    <s v="Jonah Wright"/>
    <n v="2"/>
    <n v="89.02"/>
    <n v="0.05"/>
    <n v="169.14"/>
    <n v="178.04"/>
  </r>
  <r>
    <s v="K7-11402"/>
    <d v="2026-07-28T00:00:00"/>
    <s v="California"/>
    <s v="West"/>
    <s v="Retail Store"/>
    <s v="Returning"/>
    <s v="Tops"/>
    <s v="Oxford Shirt"/>
    <s v="Grace Okafor"/>
    <n v="2"/>
    <n v="72.900000000000006"/>
    <n v="0"/>
    <n v="145.80000000000001"/>
    <n v="145.80000000000001"/>
  </r>
  <r>
    <s v="K7-11403"/>
    <d v="2026-01-04T00:00:00"/>
    <s v="Maryland"/>
    <s v="South"/>
    <s v="Marketplace"/>
    <s v="New"/>
    <s v="Footwear"/>
    <s v="Leather Boot"/>
    <s v="Dylan Foster"/>
    <n v="1"/>
    <n v="206.09"/>
    <n v="0.3"/>
    <n v="144.26"/>
    <n v="206.09"/>
  </r>
  <r>
    <s v="K7-11404"/>
    <d v="2026-09-20T00:00:00"/>
    <s v="Georgia"/>
    <s v="South"/>
    <s v="Marketplace"/>
    <s v="Returning"/>
    <s v="Footwear"/>
    <s v="Leather Boot"/>
    <s v="Dylan Foster"/>
    <n v="4"/>
    <n v="221.75"/>
    <n v="0.05"/>
    <n v="842.65"/>
    <n v="887"/>
  </r>
  <r>
    <s v="K7-11405"/>
    <d v="2026-07-30T00:00:00"/>
    <s v="Nevada"/>
    <s v="West"/>
    <s v="Retail Store"/>
    <s v="New"/>
    <s v="Bottoms"/>
    <s v="Tailored Short"/>
    <s v="Ava Brooks"/>
    <n v="2"/>
    <n v="61.73"/>
    <n v="0"/>
    <n v="123.46"/>
    <n v="123.46"/>
  </r>
  <r>
    <s v="K7-11406"/>
    <d v="2026-04-28T00:00:00"/>
    <s v="Oregon"/>
    <s v="West"/>
    <s v="Online"/>
    <s v="New"/>
    <s v="Outerwear"/>
    <s v="Hooded Parka"/>
    <s v="Grace Okafor"/>
    <n v="1"/>
    <n v="232.63"/>
    <n v="0"/>
    <n v="232.63"/>
    <n v="232.63"/>
  </r>
  <r>
    <s v="K7-11407"/>
    <d v="2026-02-06T00:00:00"/>
    <s v="North Carolina"/>
    <s v="South"/>
    <s v="Online"/>
    <s v="New"/>
    <s v="Tops"/>
    <s v="Classic Tee"/>
    <s v="Ava Brooks"/>
    <n v="2"/>
    <n v="32.450000000000003"/>
    <n v="0.1"/>
    <n v="58.41"/>
    <n v="64.900000000000006"/>
  </r>
  <r>
    <s v="K7-11408"/>
    <d v="2026-12-21T00:00:00"/>
    <s v="Florida"/>
    <s v="South"/>
    <s v="Marketplace"/>
    <s v="New"/>
    <s v="Accessories"/>
    <s v="Silk Scarf"/>
    <s v="Marcus Reed"/>
    <n v="13"/>
    <n v="59.2"/>
    <n v="0"/>
    <n v="769.6"/>
    <n v="769.6"/>
  </r>
  <r>
    <s v="K7-11409"/>
    <d v="2026-01-04T00:00:00"/>
    <s v="Texas"/>
    <s v="South"/>
    <s v="Online"/>
    <s v="Returning"/>
    <s v="Tops"/>
    <s v="Classic Tee"/>
    <s v="Dylan Foster"/>
    <n v="4"/>
    <n v="33.159999999999997"/>
    <n v="0"/>
    <n v="132.63999999999999"/>
    <n v="132.63999999999999"/>
  </r>
  <r>
    <s v="K7-11410"/>
    <d v="2026-09-22T00:00:00"/>
    <s v="Virginia"/>
    <s v="South"/>
    <s v="Marketplace"/>
    <s v="New"/>
    <s v="Tops"/>
    <s v="Classic Tee"/>
    <s v="Marcus Reed"/>
    <n v="2"/>
    <n v="34"/>
    <n v="0"/>
    <n v="68"/>
    <n v="68"/>
  </r>
  <r>
    <s v="K7-11411"/>
    <d v="2026-09-23T00:00:00"/>
    <s v="Connecticut"/>
    <s v="Northeast"/>
    <s v="Online"/>
    <s v="Returning"/>
    <s v="Bottoms"/>
    <s v="Cargo Pant"/>
    <s v="Marcus Reed"/>
    <n v="15"/>
    <n v="84.04"/>
    <n v="0.05"/>
    <n v="1197.57"/>
    <n v="1260.6000000000001"/>
  </r>
  <r>
    <s v="K7-11412"/>
    <d v="2026-03-28T00:00:00"/>
    <s v="Wisconsin"/>
    <s v="Midwest"/>
    <s v="Retail Store"/>
    <s v="New"/>
    <s v="Outerwear"/>
    <s v="Denim Trucker"/>
    <s v="Marcus Reed"/>
    <n v="3"/>
    <n v="125.3"/>
    <n v="0.1"/>
    <n v="338.31"/>
    <n v="375.9"/>
  </r>
  <r>
    <s v="K7-11413"/>
    <d v="2026-05-04T00:00:00"/>
    <s v="Missouri"/>
    <s v="Midwest"/>
    <s v="Online"/>
    <s v="Returning"/>
    <s v="Outerwear"/>
    <s v="Hooded Parka"/>
    <s v="Grace Okafor"/>
    <n v="4"/>
    <n v="245.37"/>
    <n v="0"/>
    <n v="981.48"/>
    <n v="981.48"/>
  </r>
  <r>
    <s v="K7-11414"/>
    <d v="2026-11-13T00:00:00"/>
    <s v="Ohio"/>
    <s v="Midwest"/>
    <s v="Online"/>
    <s v="Returning"/>
    <s v="Accessories"/>
    <s v="Leather Belt"/>
    <s v="Ava Brooks"/>
    <n v="18"/>
    <n v="48.85"/>
    <n v="0"/>
    <n v="879.3"/>
    <n v="879.30000000000007"/>
  </r>
  <r>
    <s v="K7-11415"/>
    <d v="2026-04-23T00:00:00"/>
    <s v="Connecticut"/>
    <s v="Northeast"/>
    <s v="Retail Store"/>
    <s v="New"/>
    <s v="Outerwear"/>
    <s v="Hooded Parka"/>
    <s v="Elena Vargas"/>
    <n v="16"/>
    <n v="243.23"/>
    <n v="0.1"/>
    <n v="3502.51"/>
    <n v="3891.68"/>
  </r>
  <r>
    <s v="K7-11416"/>
    <d v="2026-10-16T00:00:00"/>
    <s v="Illinois"/>
    <s v="Midwest"/>
    <s v="Online"/>
    <s v="New"/>
    <s v="Bottoms"/>
    <s v="Slim Chino"/>
    <s v="Ava Brooks"/>
    <n v="14"/>
    <n v="71.709999999999994"/>
    <n v="0"/>
    <n v="1003.94"/>
    <n v="1003.9399999999999"/>
  </r>
  <r>
    <s v="K7-11417"/>
    <d v="2026-06-06T00:00:00"/>
    <s v="Texas"/>
    <s v="South"/>
    <s v="Online"/>
    <s v="New"/>
    <s v="Tops"/>
    <s v="Striped Polo"/>
    <s v="Elena Vargas"/>
    <n v="3"/>
    <n v="51.23"/>
    <n v="0.1"/>
    <n v="138.32"/>
    <n v="153.69"/>
  </r>
  <r>
    <s v="K7-11418"/>
    <d v="2026-02-06T00:00:00"/>
    <s v="Texas"/>
    <s v="South"/>
    <s v="Online"/>
    <s v="Returning"/>
    <s v="Tops"/>
    <s v="Classic Tee"/>
    <s v="Marcus Reed"/>
    <n v="2"/>
    <n v="32.25"/>
    <n v="0"/>
    <n v="64.5"/>
    <n v="64.5"/>
  </r>
  <r>
    <s v="K7-11419"/>
    <d v="2026-06-06T00:00:00"/>
    <s v="North Carolina"/>
    <s v="South"/>
    <s v="Online"/>
    <s v="New"/>
    <s v="Tops"/>
    <s v="Striped Polo"/>
    <s v="Priya Nair"/>
    <n v="1"/>
    <n v="52.87"/>
    <n v="0"/>
    <n v="52.87"/>
    <n v="52.87"/>
  </r>
  <r>
    <s v="K7-11420"/>
    <d v="2026-02-27T00:00:00"/>
    <s v="California"/>
    <s v="West"/>
    <s v="Retail Store"/>
    <s v="New"/>
    <s v="Accessories"/>
    <s v="Canvas Tote"/>
    <s v="Elena Vargas"/>
    <n v="1"/>
    <n v="37.15"/>
    <n v="0.05"/>
    <n v="35.29"/>
    <n v="37.15"/>
  </r>
  <r>
    <s v="K7-11421"/>
    <d v="2026-11-04T00:00:00"/>
    <s v="North Carolina"/>
    <s v="South"/>
    <s v="Online"/>
    <s v="Returning"/>
    <s v="Outerwear"/>
    <s v="Wool Overcoat"/>
    <s v="Grace Okafor"/>
    <n v="1"/>
    <n v="282.08"/>
    <n v="0.05"/>
    <n v="267.98"/>
    <n v="282.08"/>
  </r>
  <r>
    <s v="K7-11422"/>
    <d v="2026-08-23T00:00:00"/>
    <s v="Connecticut"/>
    <s v="Northeast"/>
    <s v="Marketplace"/>
    <s v="Returning"/>
    <s v="Bottoms"/>
    <s v="Cargo Pant"/>
    <s v="Marcus Reed"/>
    <n v="1"/>
    <n v="81.13"/>
    <n v="0"/>
    <n v="81.13"/>
    <n v="81.13"/>
  </r>
  <r>
    <s v="K7-11423"/>
    <d v="2026-07-10T00:00:00"/>
    <s v="Massachusetts"/>
    <s v="Northeast"/>
    <s v="Retail Store"/>
    <s v="New"/>
    <s v="Outerwear"/>
    <s v="Hooded Parka"/>
    <s v="Noor Haddad"/>
    <n v="5"/>
    <n v="241.26"/>
    <n v="0"/>
    <n v="1206.3"/>
    <n v="1206.3"/>
  </r>
  <r>
    <s v="K7-11424"/>
    <d v="2026-05-19T00:00:00"/>
    <s v="Missouri"/>
    <s v="Midwest"/>
    <s v="Online"/>
    <s v="Returning"/>
    <s v="Dresses"/>
    <s v="Wrap Dress"/>
    <s v="Jonah Wright"/>
    <n v="3"/>
    <n v="112.69"/>
    <n v="0"/>
    <n v="338.07"/>
    <n v="338.07"/>
  </r>
  <r>
    <s v="K7-11425"/>
    <d v="2026-08-30T00:00:00"/>
    <s v="Louisiana"/>
    <s v="South"/>
    <s v="Retail Store"/>
    <s v="New"/>
    <s v="Footwear"/>
    <s v="Canvas Sneaker"/>
    <s v="Grace Okafor"/>
    <n v="5"/>
    <n v="84.78"/>
    <n v="0.15"/>
    <n v="360.31"/>
    <n v="423.9"/>
  </r>
  <r>
    <s v="K7-11426"/>
    <d v="2026-04-20T00:00:00"/>
    <s v="Indiana"/>
    <s v="Midwest"/>
    <s v="Online"/>
    <s v="Returning"/>
    <s v="Dresses"/>
    <s v="Midi Slip Dress"/>
    <s v="Noor Haddad"/>
    <n v="4"/>
    <n v="92.52"/>
    <n v="0"/>
    <n v="370.08"/>
    <n v="370.08"/>
  </r>
  <r>
    <s v="K7-11427"/>
    <d v="2026-06-28T00:00:00"/>
    <s v="Illinois"/>
    <s v="Midwest"/>
    <s v="Online"/>
    <s v="New"/>
    <s v="Outerwear"/>
    <s v="Hooded Parka"/>
    <s v="Priya Nair"/>
    <n v="4"/>
    <n v="230.45"/>
    <n v="0"/>
    <n v="921.8"/>
    <n v="921.8"/>
  </r>
  <r>
    <s v="K7-11428"/>
    <d v="2026-10-12T00:00:00"/>
    <s v="Florida"/>
    <s v="South"/>
    <s v="Retail Store"/>
    <s v="New"/>
    <s v="Accessories"/>
    <s v="Knit Beanie"/>
    <s v="Elena Vargas"/>
    <n v="1"/>
    <n v="25.06"/>
    <n v="0"/>
    <n v="25.06"/>
    <n v="25.06"/>
  </r>
  <r>
    <s v="K7-11429"/>
    <d v="2026-08-11T00:00:00"/>
    <s v="Massachusetts"/>
    <s v="Northeast"/>
    <s v="Wholesale"/>
    <s v="Returning"/>
    <s v="Bottoms"/>
    <s v="Straight Jeans"/>
    <s v="Noor Haddad"/>
    <n v="2"/>
    <n v="91.53"/>
    <n v="0"/>
    <n v="183.06"/>
    <n v="183.06"/>
  </r>
  <r>
    <s v="K7-11430"/>
    <d v="2026-03-11T00:00:00"/>
    <s v="Massachusetts"/>
    <s v="Northeast"/>
    <s v="Online"/>
    <s v="New"/>
    <s v="Outerwear"/>
    <s v="Wool Overcoat"/>
    <s v="Ava Brooks"/>
    <n v="10"/>
    <n v="285.64999999999998"/>
    <n v="0.05"/>
    <n v="2713.67"/>
    <n v="2856.5"/>
  </r>
  <r>
    <s v="K7-11431"/>
    <d v="2026-06-22T00:00:00"/>
    <s v="Minnesota"/>
    <s v="Midwest"/>
    <s v="Marketplace"/>
    <s v="New"/>
    <s v="Dresses"/>
    <s v="Midi Slip Dress"/>
    <s v="Dylan Foster"/>
    <n v="1"/>
    <n v="95.21"/>
    <n v="0.3"/>
    <n v="66.650000000000006"/>
    <n v="95.21"/>
  </r>
  <r>
    <s v="K7-11432"/>
    <d v="2026-01-04T00:00:00"/>
    <s v="Missouri"/>
    <s v="Midwest"/>
    <s v="Retail Store"/>
    <s v="Returning"/>
    <s v="Outerwear"/>
    <s v="Hooded Parka"/>
    <s v="Priya Nair"/>
    <n v="4"/>
    <n v="241.99"/>
    <n v="0.15"/>
    <n v="822.77"/>
    <n v="967.96"/>
  </r>
  <r>
    <s v="K7-11433"/>
    <d v="2026-11-08T00:00:00"/>
    <s v="Texas"/>
    <s v="South"/>
    <s v="Marketplace"/>
    <s v="Returning"/>
    <s v="Tops"/>
    <s v="Striped Polo"/>
    <s v="Dylan Foster"/>
    <n v="1"/>
    <n v="54.23"/>
    <n v="0.1"/>
    <n v="48.81"/>
    <n v="54.23"/>
  </r>
  <r>
    <s v="K7-11434"/>
    <d v="2026-09-04T00:00:00"/>
    <s v="Connecticut"/>
    <s v="Northeast"/>
    <s v="Marketplace"/>
    <s v="Returning"/>
    <s v="Outerwear"/>
    <s v="Wool Overcoat"/>
    <s v="Jonah Wright"/>
    <n v="3"/>
    <n v="284.27999999999997"/>
    <n v="0"/>
    <n v="852.84"/>
    <n v="852.83999999999992"/>
  </r>
  <r>
    <s v="K7-11435"/>
    <d v="2026-09-13T00:00:00"/>
    <s v="Indiana"/>
    <s v="Midwest"/>
    <s v="Marketplace"/>
    <s v="Returning"/>
    <s v="Accessories"/>
    <s v="Silk Scarf"/>
    <s v="Marcus Reed"/>
    <n v="5"/>
    <n v="63.31"/>
    <n v="0.1"/>
    <n v="284.89999999999998"/>
    <n v="316.55"/>
  </r>
  <r>
    <s v="K7-11436"/>
    <d v="2026-11-22T00:00:00"/>
    <s v="Connecticut"/>
    <s v="Northeast"/>
    <s v="Retail Store"/>
    <s v="New"/>
    <s v="Footwear"/>
    <s v="Leather Boot"/>
    <s v="Dylan Foster"/>
    <n v="2"/>
    <n v="211.01"/>
    <n v="0"/>
    <n v="422.02"/>
    <n v="422.02"/>
  </r>
  <r>
    <s v="K7-11437"/>
    <d v="2026-03-19T00:00:00"/>
    <s v="Connecticut"/>
    <s v="Northeast"/>
    <s v="Marketplace"/>
    <s v="New"/>
    <s v="Tops"/>
    <s v="Oxford Shirt"/>
    <s v="Marcus Reed"/>
    <n v="2"/>
    <n v="63.11"/>
    <n v="0"/>
    <n v="126.22"/>
    <n v="126.22"/>
  </r>
  <r>
    <s v="K7-11438"/>
    <d v="2026-06-21T00:00:00"/>
    <s v="Maryland"/>
    <s v="South"/>
    <s v="Retail Store"/>
    <s v="Returning"/>
    <s v="Accessories"/>
    <s v="Knit Beanie"/>
    <s v="Grace Okafor"/>
    <n v="1"/>
    <n v="26.52"/>
    <n v="0"/>
    <n v="26.52"/>
    <n v="26.52"/>
  </r>
  <r>
    <s v="K7-11439"/>
    <d v="2026-09-23T00:00:00"/>
    <s v="Illinois"/>
    <s v="Midwest"/>
    <s v="Retail Store"/>
    <s v="Returning"/>
    <s v="Outerwear"/>
    <s v="Denim Trucker"/>
    <s v="Marcus Reed"/>
    <n v="6"/>
    <n v="137.49"/>
    <n v="0.2"/>
    <n v="659.95"/>
    <n v="824.94"/>
  </r>
  <r>
    <s v="K7-11440"/>
    <d v="2026-10-15T00:00:00"/>
    <s v="Louisiana"/>
    <s v="South"/>
    <s v="Retail Store"/>
    <s v="Returning"/>
    <s v="Bottoms"/>
    <s v="Slim Chino"/>
    <s v="Priya Nair"/>
    <n v="2"/>
    <n v="79.459999999999994"/>
    <n v="0"/>
    <n v="158.91999999999999"/>
    <n v="158.91999999999999"/>
  </r>
  <r>
    <s v="K7-11441"/>
    <d v="2026-11-04T00:00:00"/>
    <s v="New Jersey"/>
    <s v="Northeast"/>
    <s v="Retail Store"/>
    <s v="New"/>
    <s v="Bottoms"/>
    <s v="Cargo Pant"/>
    <s v="Jonah Wright"/>
    <n v="2"/>
    <n v="82.71"/>
    <n v="0.05"/>
    <n v="157.15"/>
    <n v="165.42"/>
  </r>
  <r>
    <s v="K7-11442"/>
    <d v="2026-07-25T00:00:00"/>
    <s v="North Carolina"/>
    <s v="South"/>
    <s v="Retail Store"/>
    <s v="New"/>
    <s v="Accessories"/>
    <s v="Silk Scarf"/>
    <s v="Dylan Foster"/>
    <n v="12"/>
    <n v="57.7"/>
    <n v="0.2"/>
    <n v="553.91999999999996"/>
    <n v="692.40000000000009"/>
  </r>
  <r>
    <s v="K7-11443"/>
    <d v="2026-03-27T00:00:00"/>
    <s v="Massachusetts"/>
    <s v="Northeast"/>
    <s v="Online"/>
    <s v="New"/>
    <s v="Outerwear"/>
    <s v="Wool Overcoat"/>
    <s v="Jonah Wright"/>
    <n v="4"/>
    <n v="295.61"/>
    <n v="0"/>
    <n v="1182.44"/>
    <n v="1182.44"/>
  </r>
  <r>
    <s v="K7-11444"/>
    <d v="2026-11-20T00:00:00"/>
    <s v="California"/>
    <s v="West"/>
    <s v="Marketplace"/>
    <s v="Returning"/>
    <s v="Bottoms"/>
    <s v="Cargo Pant"/>
    <s v="Elena Vargas"/>
    <n v="1"/>
    <n v="82.13"/>
    <n v="0"/>
    <n v="82.13"/>
    <n v="82.13"/>
  </r>
  <r>
    <s v="K7-11445"/>
    <d v="2026-11-15T00:00:00"/>
    <s v="South Carolina"/>
    <s v="South"/>
    <s v="Online"/>
    <s v="Returning"/>
    <s v="Footwear"/>
    <s v="Canvas Sneaker"/>
    <s v="Elena Vargas"/>
    <n v="8"/>
    <n v="84.3"/>
    <n v="0.2"/>
    <n v="539.52"/>
    <n v="674.4"/>
  </r>
  <r>
    <s v="K7-11446"/>
    <d v="2026-03-15T00:00:00"/>
    <s v="Alabama"/>
    <s v="South"/>
    <s v="Online"/>
    <s v="New"/>
    <s v="Footwear"/>
    <s v="Suede Loafer"/>
    <s v="Noor Haddad"/>
    <n v="10"/>
    <n v="160.82"/>
    <n v="0"/>
    <n v="1608.2"/>
    <n v="1608.1999999999998"/>
  </r>
  <r>
    <s v="K7-11447"/>
    <d v="2026-08-02T00:00:00"/>
    <s v="Illinois"/>
    <s v="Midwest"/>
    <s v="Marketplace"/>
    <s v="New"/>
    <s v="Bottoms"/>
    <s v="Tailored Short"/>
    <s v="Elena Vargas"/>
    <n v="2"/>
    <n v="60.69"/>
    <n v="0"/>
    <n v="121.38"/>
    <n v="121.38"/>
  </r>
  <r>
    <s v="K7-11448"/>
    <d v="2026-04-25T00:00:00"/>
    <s v="Alabama"/>
    <s v="South"/>
    <s v="Online"/>
    <s v="Returning"/>
    <s v="Dresses"/>
    <s v="Linen Shirt Dress"/>
    <s v="Jonah Wright"/>
    <n v="3"/>
    <n v="128.04"/>
    <n v="0"/>
    <n v="384.12"/>
    <n v="384.12"/>
  </r>
  <r>
    <s v="K7-11449"/>
    <d v="2026-04-30T00:00:00"/>
    <s v="North Carolina"/>
    <s v="South"/>
    <s v="Online"/>
    <s v="Returning"/>
    <s v="Dresses"/>
    <s v="Midi Slip Dress"/>
    <s v="Priya Nair"/>
    <n v="6"/>
    <n v="101.94"/>
    <n v="0.1"/>
    <n v="550.48"/>
    <n v="611.64"/>
  </r>
  <r>
    <s v="K7-11450"/>
    <d v="2026-08-22T00:00:00"/>
    <s v="New York"/>
    <s v="Northeast"/>
    <s v="Online"/>
    <s v="Returning"/>
    <s v="Accessories"/>
    <s v="Canvas Tote"/>
    <s v="Noor Haddad"/>
    <n v="2"/>
    <n v="38.44"/>
    <n v="0"/>
    <n v="76.88"/>
    <n v="76.88"/>
  </r>
  <r>
    <s v="K7-11451"/>
    <d v="2026-04-29T00:00:00"/>
    <s v="Illinois"/>
    <s v="Midwest"/>
    <s v="Online"/>
    <s v="Returning"/>
    <s v="Tops"/>
    <s v="Striped Polo"/>
    <s v="Grace Okafor"/>
    <n v="5"/>
    <n v="50.61"/>
    <n v="0"/>
    <n v="253.05"/>
    <n v="253.05"/>
  </r>
  <r>
    <s v="K7-11452"/>
    <d v="2026-06-21T00:00:00"/>
    <s v="Colorado"/>
    <s v="West"/>
    <s v="Retail Store"/>
    <s v="New"/>
    <s v="Footwear"/>
    <s v="Canvas Sneaker"/>
    <s v="Elena Vargas"/>
    <n v="1"/>
    <n v="84.13"/>
    <n v="0"/>
    <n v="84.13"/>
    <n v="84.13"/>
  </r>
  <r>
    <s v="K7-11453"/>
    <d v="2026-06-18T00:00:00"/>
    <s v="Indiana"/>
    <s v="Midwest"/>
    <s v="Retail Store"/>
    <s v="New"/>
    <s v="Tops"/>
    <s v="Henley Long Sleeve"/>
    <s v="Jonah Wright"/>
    <n v="2"/>
    <n v="42.59"/>
    <n v="0.05"/>
    <n v="80.92"/>
    <n v="85.18"/>
  </r>
  <r>
    <s v="K7-11454"/>
    <d v="2026-08-16T00:00:00"/>
    <s v="Illinois"/>
    <s v="Midwest"/>
    <s v="Online"/>
    <s v="New"/>
    <s v="Tops"/>
    <s v="Henley Long Sleeve"/>
    <s v="Noor Haddad"/>
    <n v="3"/>
    <n v="44.05"/>
    <n v="0"/>
    <n v="132.15"/>
    <n v="132.14999999999998"/>
  </r>
  <r>
    <s v="K7-11455"/>
    <d v="2026-01-20T00:00:00"/>
    <s v="New Jersey"/>
    <s v="Northeast"/>
    <s v="Online"/>
    <s v="Returning"/>
    <s v="Bottoms"/>
    <s v="Slim Chino"/>
    <s v="Ava Brooks"/>
    <n v="1"/>
    <n v="72.61"/>
    <n v="0"/>
    <n v="72.61"/>
    <n v="72.61"/>
  </r>
  <r>
    <s v="K7-11456"/>
    <d v="2026-04-21T00:00:00"/>
    <s v="Michigan"/>
    <s v="Midwest"/>
    <s v="Wholesale"/>
    <s v="Returning"/>
    <s v="Bottoms"/>
    <s v="Cargo Pant"/>
    <s v="Ava Brooks"/>
    <n v="2"/>
    <n v="89.9"/>
    <n v="0"/>
    <n v="179.8"/>
    <n v="179.8"/>
  </r>
  <r>
    <s v="K7-11457"/>
    <d v="2026-04-28T00:00:00"/>
    <s v="Virginia"/>
    <s v="South"/>
    <s v="Marketplace"/>
    <s v="New"/>
    <s v="Tops"/>
    <s v="Henley Long Sleeve"/>
    <s v="Priya Nair"/>
    <n v="1"/>
    <n v="48.05"/>
    <n v="0"/>
    <n v="48.05"/>
    <n v="48.05"/>
  </r>
  <r>
    <s v="K7-11458"/>
    <d v="2026-09-13T00:00:00"/>
    <s v="Colorado"/>
    <s v="West"/>
    <s v="Marketplace"/>
    <s v="New"/>
    <s v="Tops"/>
    <s v="Henley Long Sleeve"/>
    <s v="Noor Haddad"/>
    <n v="11"/>
    <n v="43.92"/>
    <n v="0.05"/>
    <n v="458.96"/>
    <n v="483.12"/>
  </r>
  <r>
    <s v="K7-11459"/>
    <d v="2026-09-13T00:00:00"/>
    <s v="New Jersey"/>
    <s v="Northeast"/>
    <s v="Retail Store"/>
    <s v="Returning"/>
    <s v="Tops"/>
    <s v="Henley Long Sleeve"/>
    <s v="Jonah Wright"/>
    <n v="2"/>
    <n v="44.16"/>
    <n v="0"/>
    <n v="88.32"/>
    <n v="88.32"/>
  </r>
  <r>
    <s v="K7-11460"/>
    <d v="2026-05-08T00:00:00"/>
    <s v="New York"/>
    <s v="Northeast"/>
    <s v="Wholesale"/>
    <s v="Returning"/>
    <s v="Accessories"/>
    <s v="Silk Scarf"/>
    <s v="Ava Brooks"/>
    <n v="4"/>
    <n v="66.3"/>
    <n v="0"/>
    <n v="265.2"/>
    <n v="265.2"/>
  </r>
  <r>
    <s v="K7-11461"/>
    <d v="2026-02-11T00:00:00"/>
    <s v="Arizona"/>
    <s v="West"/>
    <s v="Online"/>
    <s v="New"/>
    <s v="Tops"/>
    <s v="Henley Long Sleeve"/>
    <s v="Dylan Foster"/>
    <n v="1"/>
    <n v="43.85"/>
    <n v="0.1"/>
    <n v="39.47"/>
    <n v="43.85"/>
  </r>
  <r>
    <s v="K7-11462"/>
    <d v="2026-07-24T00:00:00"/>
    <s v="Florida"/>
    <s v="South"/>
    <s v="Marketplace"/>
    <s v="Returning"/>
    <s v="Tops"/>
    <s v="Classic Tee"/>
    <s v="Marcus Reed"/>
    <n v="2"/>
    <n v="29.69"/>
    <n v="0"/>
    <n v="59.38"/>
    <n v="59.38"/>
  </r>
  <r>
    <s v="K7-11463"/>
    <d v="2026-07-14T00:00:00"/>
    <s v="Washington"/>
    <s v="West"/>
    <s v="Online"/>
    <s v="Returning"/>
    <s v="Accessories"/>
    <s v="Canvas Tote"/>
    <s v="Noor Haddad"/>
    <n v="1"/>
    <n v="38.93"/>
    <n v="0"/>
    <n v="38.93"/>
    <n v="38.93"/>
  </r>
  <r>
    <s v="K7-11464"/>
    <d v="2026-11-10T00:00:00"/>
    <s v="North Carolina"/>
    <s v="South"/>
    <s v="Retail Store"/>
    <s v="Returning"/>
    <s v="Outerwear"/>
    <s v="Wool Overcoat"/>
    <s v="Priya Nair"/>
    <n v="8"/>
    <n v="276.94"/>
    <n v="0"/>
    <n v="2215.52"/>
    <n v="2215.52"/>
  </r>
  <r>
    <s v="K7-11465"/>
    <d v="2026-09-01T00:00:00"/>
    <s v="North Carolina"/>
    <s v="South"/>
    <s v="Retail Store"/>
    <s v="Returning"/>
    <s v="Outerwear"/>
    <s v="Wool Overcoat"/>
    <s v="Elena Vargas"/>
    <n v="2"/>
    <n v="318.48"/>
    <n v="0.15"/>
    <n v="541.41999999999996"/>
    <n v="636.96"/>
  </r>
  <r>
    <s v="K7-11466"/>
    <d v="2026-08-28T00:00:00"/>
    <s v="California"/>
    <s v="West"/>
    <s v="Online"/>
    <s v="New"/>
    <s v="Bottoms"/>
    <s v="Cargo Pant"/>
    <s v="Ava Brooks"/>
    <n v="6"/>
    <n v="77.739999999999995"/>
    <n v="0"/>
    <n v="466.44"/>
    <n v="466.43999999999994"/>
  </r>
  <r>
    <s v="K7-11467"/>
    <d v="2026-01-06T00:00:00"/>
    <s v="Ohio"/>
    <s v="Midwest"/>
    <s v="Online"/>
    <s v="New"/>
    <s v="Tops"/>
    <s v="Oxford Shirt"/>
    <s v="Noor Haddad"/>
    <n v="1"/>
    <n v="62.77"/>
    <n v="0.1"/>
    <n v="56.49"/>
    <n v="62.77"/>
  </r>
  <r>
    <s v="K7-11468"/>
    <d v="2026-04-18T00:00:00"/>
    <s v="California"/>
    <s v="West"/>
    <s v="Online"/>
    <s v="Returning"/>
    <s v="Bottoms"/>
    <s v="Tailored Short"/>
    <s v="Noor Haddad"/>
    <n v="3"/>
    <n v="59.71"/>
    <n v="0.15"/>
    <n v="152.26"/>
    <n v="179.13"/>
  </r>
  <r>
    <s v="K7-11469"/>
    <d v="2026-01-02T00:00:00"/>
    <s v="Texas"/>
    <s v="South"/>
    <s v="Online"/>
    <s v="New"/>
    <s v="Bottoms"/>
    <s v="Cargo Pant"/>
    <s v="Elena Vargas"/>
    <n v="4"/>
    <n v="87.17"/>
    <n v="0"/>
    <n v="348.68"/>
    <n v="348.68"/>
  </r>
  <r>
    <s v="K7-11470"/>
    <d v="2026-03-15T00:00:00"/>
    <s v="Texas"/>
    <s v="South"/>
    <s v="Retail Store"/>
    <s v="New"/>
    <s v="Tops"/>
    <s v="Henley Long Sleeve"/>
    <s v="Ava Brooks"/>
    <n v="2"/>
    <n v="47.49"/>
    <n v="0"/>
    <n v="94.98"/>
    <n v="94.98"/>
  </r>
  <r>
    <s v="K7-11471"/>
    <d v="2026-06-13T00:00:00"/>
    <s v="North Carolina"/>
    <s v="South"/>
    <s v="Wholesale"/>
    <s v="New"/>
    <s v="Dresses"/>
    <s v="Midi Slip Dress"/>
    <s v="Grace Okafor"/>
    <n v="5"/>
    <n v="98.28"/>
    <n v="0"/>
    <n v="491.4"/>
    <n v="491.4"/>
  </r>
  <r>
    <s v="K7-11472"/>
    <d v="2026-02-19T00:00:00"/>
    <s v="Michigan"/>
    <s v="Midwest"/>
    <s v="Online"/>
    <s v="Returning"/>
    <s v="Tops"/>
    <s v="Striped Polo"/>
    <s v="Jonah Wright"/>
    <n v="3"/>
    <n v="52.62"/>
    <n v="0"/>
    <n v="157.86000000000001"/>
    <n v="157.85999999999999"/>
  </r>
  <r>
    <s v="K7-11473"/>
    <d v="2026-01-04T00:00:00"/>
    <s v="Alabama"/>
    <s v="South"/>
    <s v="Marketplace"/>
    <s v="New"/>
    <s v="Outerwear"/>
    <s v="Denim Trucker"/>
    <s v="Dylan Foster"/>
    <n v="2"/>
    <n v="134.19"/>
    <n v="0.1"/>
    <n v="241.54"/>
    <n v="268.38"/>
  </r>
  <r>
    <s v="K7-11474"/>
    <d v="2026-04-21T00:00:00"/>
    <s v="Pennsylvania"/>
    <s v="Northeast"/>
    <s v="Retail Store"/>
    <s v="Returning"/>
    <s v="Dresses"/>
    <s v="Linen Shirt Dress"/>
    <s v="Elena Vargas"/>
    <n v="4"/>
    <n v="124.69"/>
    <n v="0.05"/>
    <n v="473.82"/>
    <n v="498.76"/>
  </r>
  <r>
    <s v="K7-11475"/>
    <d v="2026-05-18T00:00:00"/>
    <s v="New York"/>
    <s v="Northeast"/>
    <s v="Marketplace"/>
    <s v="New"/>
    <s v="Tops"/>
    <s v="Striped Polo"/>
    <s v="Elena Vargas"/>
    <n v="2"/>
    <n v="52.66"/>
    <n v="0"/>
    <n v="105.32"/>
    <n v="105.32"/>
  </r>
  <r>
    <s v="K7-11476"/>
    <d v="2026-02-23T00:00:00"/>
    <s v="California"/>
    <s v="West"/>
    <s v="Retail Store"/>
    <s v="New"/>
    <s v="Outerwear"/>
    <s v="Denim Trucker"/>
    <s v="Elena Vargas"/>
    <n v="1"/>
    <n v="127.96"/>
    <n v="0"/>
    <n v="127.96"/>
    <n v="127.96"/>
  </r>
  <r>
    <s v="K7-11477"/>
    <d v="2026-11-10T00:00:00"/>
    <s v="Florida"/>
    <s v="South"/>
    <s v="Online"/>
    <s v="Returning"/>
    <s v="Outerwear"/>
    <s v="Denim Trucker"/>
    <s v="Noor Haddad"/>
    <n v="1"/>
    <n v="139.09"/>
    <n v="0"/>
    <n v="139.09"/>
    <n v="139.09"/>
  </r>
  <r>
    <s v="K7-11478"/>
    <d v="2026-12-24T00:00:00"/>
    <s v="Virginia"/>
    <s v="South"/>
    <s v="Wholesale"/>
    <s v="Returning"/>
    <s v="Outerwear"/>
    <s v="Denim Trucker"/>
    <s v="Marcus Reed"/>
    <n v="18"/>
    <n v="126.84"/>
    <n v="0"/>
    <n v="2283.12"/>
    <n v="2283.12"/>
  </r>
  <r>
    <s v="K7-11479"/>
    <d v="2026-08-30T00:00:00"/>
    <s v="New York"/>
    <s v="Northeast"/>
    <s v="Online"/>
    <s v="New"/>
    <s v="Outerwear"/>
    <s v="Hooded Parka"/>
    <s v="Priya Nair"/>
    <n v="10"/>
    <n v="247.68"/>
    <n v="0"/>
    <n v="2476.8000000000002"/>
    <n v="2476.8000000000002"/>
  </r>
  <r>
    <s v="K7-11480"/>
    <d v="2026-02-03T00:00:00"/>
    <s v="Colorado"/>
    <s v="West"/>
    <s v="Online"/>
    <s v="Returning"/>
    <s v="Dresses"/>
    <s v="Linen Shirt Dress"/>
    <s v="Jonah Wright"/>
    <n v="1"/>
    <n v="124.94"/>
    <n v="0"/>
    <n v="124.94"/>
    <n v="124.94"/>
  </r>
  <r>
    <s v="K7-11481"/>
    <d v="2026-11-06T00:00:00"/>
    <s v="Texas"/>
    <s v="South"/>
    <s v="Online"/>
    <s v="Returning"/>
    <s v="Footwear"/>
    <s v="Suede Loafer"/>
    <s v="Grace Okafor"/>
    <n v="2"/>
    <n v="148.31"/>
    <n v="0.2"/>
    <n v="237.3"/>
    <n v="296.62"/>
  </r>
  <r>
    <s v="K7-11482"/>
    <d v="2026-06-09T00:00:00"/>
    <s v="Pennsylvania"/>
    <s v="Northeast"/>
    <s v="Marketplace"/>
    <s v="New"/>
    <s v="Bottoms"/>
    <s v="Straight Jeans"/>
    <s v="Jonah Wright"/>
    <n v="13"/>
    <n v="85.26"/>
    <n v="0"/>
    <n v="1108.3800000000001"/>
    <n v="1108.3800000000001"/>
  </r>
  <r>
    <s v="K7-11483"/>
    <d v="2026-04-13T00:00:00"/>
    <s v="Texas"/>
    <s v="South"/>
    <s v="Retail Store"/>
    <s v="Returning"/>
    <s v="Accessories"/>
    <s v="Knit Beanie"/>
    <s v="Jonah Wright"/>
    <n v="1"/>
    <n v="24.34"/>
    <n v="0"/>
    <n v="24.34"/>
    <n v="24.34"/>
  </r>
  <r>
    <s v="K7-11484"/>
    <d v="2026-04-06T00:00:00"/>
    <s v="Florida"/>
    <s v="South"/>
    <s v="Marketplace"/>
    <s v="Returning"/>
    <s v="Bottoms"/>
    <s v="Straight Jeans"/>
    <s v="Grace Okafor"/>
    <n v="5"/>
    <n v="87.89"/>
    <n v="0"/>
    <n v="439.45"/>
    <n v="439.45"/>
  </r>
  <r>
    <s v="K7-11485"/>
    <d v="2026-06-09T00:00:00"/>
    <s v="Indiana"/>
    <s v="Midwest"/>
    <s v="Online"/>
    <s v="New"/>
    <s v="Bottoms"/>
    <s v="Slim Chino"/>
    <s v="Ava Brooks"/>
    <n v="1"/>
    <n v="71.66"/>
    <n v="0"/>
    <n v="71.66"/>
    <n v="71.66"/>
  </r>
  <r>
    <s v="K7-11486"/>
    <d v="2026-03-10T00:00:00"/>
    <s v="Nevada"/>
    <s v="West"/>
    <s v="Online"/>
    <s v="New"/>
    <s v="Bottoms"/>
    <s v="Straight Jeans"/>
    <s v="Noor Haddad"/>
    <n v="5"/>
    <n v="93.38"/>
    <n v="0.3"/>
    <n v="326.83"/>
    <n v="466.9"/>
  </r>
  <r>
    <s v="K7-11487"/>
    <d v="2026-08-06T00:00:00"/>
    <s v="Minnesota"/>
    <s v="Midwest"/>
    <s v="Retail Store"/>
    <s v="Returning"/>
    <s v="Tops"/>
    <s v="Striped Polo"/>
    <s v="Noor Haddad"/>
    <n v="2"/>
    <n v="50.49"/>
    <n v="0"/>
    <n v="100.98"/>
    <n v="100.98"/>
  </r>
  <r>
    <s v="K7-11488"/>
    <d v="2026-01-26T00:00:00"/>
    <s v="New York"/>
    <s v="Northeast"/>
    <s v="Retail Store"/>
    <s v="Returning"/>
    <s v="Tops"/>
    <s v="Henley Long Sleeve"/>
    <s v="Dylan Foster"/>
    <n v="4"/>
    <n v="48.98"/>
    <n v="0.1"/>
    <n v="176.33"/>
    <n v="195.92"/>
  </r>
  <r>
    <s v="K7-11489"/>
    <d v="2026-07-16T00:00:00"/>
    <s v="Virginia"/>
    <s v="South"/>
    <s v="Retail Store"/>
    <s v="Returning"/>
    <s v="Bottoms"/>
    <s v="Tailored Short"/>
    <s v="Jonah Wright"/>
    <n v="1"/>
    <n v="60.87"/>
    <n v="0"/>
    <n v="60.87"/>
    <n v="60.87"/>
  </r>
  <r>
    <s v="K7-11490"/>
    <d v="2026-11-15T00:00:00"/>
    <s v="Ohio"/>
    <s v="Midwest"/>
    <s v="Marketplace"/>
    <s v="Returning"/>
    <s v="Tops"/>
    <s v="Classic Tee"/>
    <s v="Grace Okafor"/>
    <n v="2"/>
    <n v="32.18"/>
    <n v="0.05"/>
    <n v="61.14"/>
    <n v="64.36"/>
  </r>
  <r>
    <s v="K7-11491"/>
    <d v="2026-12-11T00:00:00"/>
    <s v="California"/>
    <s v="West"/>
    <s v="Marketplace"/>
    <s v="Returning"/>
    <s v="Dresses"/>
    <s v="Linen Shirt Dress"/>
    <s v="Jonah Wright"/>
    <n v="3"/>
    <n v="138.26"/>
    <n v="0.15"/>
    <n v="352.56"/>
    <n v="414.78"/>
  </r>
  <r>
    <s v="K7-11492"/>
    <d v="2026-10-03T00:00:00"/>
    <s v="Virginia"/>
    <s v="South"/>
    <s v="Online"/>
    <s v="New"/>
    <s v="Tops"/>
    <s v="Henley Long Sleeve"/>
    <s v="Priya Nair"/>
    <n v="8"/>
    <n v="49.46"/>
    <n v="0"/>
    <n v="395.68"/>
    <n v="395.68"/>
  </r>
  <r>
    <s v="K7-11493"/>
    <d v="2026-06-21T00:00:00"/>
    <s v="Nevada"/>
    <s v="West"/>
    <s v="Online"/>
    <s v="Returning"/>
    <s v="Footwear"/>
    <s v="Canvas Sneaker"/>
    <s v="Ava Brooks"/>
    <n v="1"/>
    <n v="89.2"/>
    <n v="0.2"/>
    <n v="71.36"/>
    <n v="89.2"/>
  </r>
  <r>
    <s v="K7-11494"/>
    <d v="2026-05-11T00:00:00"/>
    <s v="Pennsylvania"/>
    <s v="Northeast"/>
    <s v="Online"/>
    <s v="Returning"/>
    <s v="Bottoms"/>
    <s v="Cargo Pant"/>
    <s v="Noor Haddad"/>
    <n v="1"/>
    <n v="81.52"/>
    <n v="0"/>
    <n v="81.52"/>
    <n v="81.52"/>
  </r>
  <r>
    <s v="K7-11495"/>
    <d v="2026-07-13T00:00:00"/>
    <s v="Arizona"/>
    <s v="West"/>
    <s v="Online"/>
    <s v="New"/>
    <s v="Footwear"/>
    <s v="Canvas Sneaker"/>
    <s v="Marcus Reed"/>
    <n v="5"/>
    <n v="94.15"/>
    <n v="0"/>
    <n v="470.75"/>
    <n v="470.75"/>
  </r>
  <r>
    <s v="K7-11496"/>
    <d v="2026-11-04T00:00:00"/>
    <s v="Minnesota"/>
    <s v="Midwest"/>
    <s v="Marketplace"/>
    <s v="New"/>
    <s v="Footwear"/>
    <s v="Suede Loafer"/>
    <s v="Ava Brooks"/>
    <n v="5"/>
    <n v="157.41999999999999"/>
    <n v="0"/>
    <n v="787.1"/>
    <n v="787.09999999999991"/>
  </r>
  <r>
    <s v="K7-11497"/>
    <d v="2026-01-06T00:00:00"/>
    <s v="Arizona"/>
    <s v="West"/>
    <s v="Marketplace"/>
    <s v="New"/>
    <s v="Bottoms"/>
    <s v="Tailored Short"/>
    <s v="Grace Okafor"/>
    <n v="2"/>
    <n v="55.18"/>
    <n v="0.05"/>
    <n v="104.84"/>
    <n v="110.36"/>
  </r>
  <r>
    <s v="K7-11498"/>
    <d v="2026-11-02T00:00:00"/>
    <s v="Colorado"/>
    <s v="West"/>
    <s v="Wholesale"/>
    <s v="Returning"/>
    <s v="Footwear"/>
    <s v="Suede Loafer"/>
    <s v="Elena Vargas"/>
    <n v="4"/>
    <n v="158.13999999999999"/>
    <n v="0"/>
    <n v="632.55999999999995"/>
    <n v="632.55999999999995"/>
  </r>
  <r>
    <s v="K7-11499"/>
    <d v="2026-02-08T00:00:00"/>
    <s v="Illinois"/>
    <s v="Midwest"/>
    <s v="Wholesale"/>
    <s v="Returning"/>
    <s v="Dresses"/>
    <s v="Linen Shirt Dress"/>
    <s v="Jonah Wright"/>
    <n v="2"/>
    <n v="131.52000000000001"/>
    <n v="0"/>
    <n v="263.04000000000002"/>
    <n v="263.04000000000002"/>
  </r>
  <r>
    <s v="K7-11500"/>
    <d v="2026-01-14T00:00:00"/>
    <s v="Indiana"/>
    <s v="Midwest"/>
    <s v="Wholesale"/>
    <s v="Returning"/>
    <s v="Accessories"/>
    <s v="Leather Belt"/>
    <s v="Grace Okafor"/>
    <n v="1"/>
    <n v="50.89"/>
    <n v="0"/>
    <n v="50.89"/>
    <n v="50.89"/>
  </r>
  <r>
    <s v="K7-11501"/>
    <d v="2026-06-11T00:00:00"/>
    <s v="Arizona"/>
    <s v="West"/>
    <s v="Retail Store"/>
    <s v="Returning"/>
    <s v="Dresses"/>
    <s v="Linen Shirt Dress"/>
    <s v="Ava Brooks"/>
    <n v="1"/>
    <n v="128.02000000000001"/>
    <n v="0"/>
    <n v="128.02000000000001"/>
    <n v="128.02000000000001"/>
  </r>
  <r>
    <s v="K7-11502"/>
    <d v="2026-04-08T00:00:00"/>
    <s v="New York"/>
    <s v="Northeast"/>
    <s v="Wholesale"/>
    <s v="New"/>
    <s v="Bottoms"/>
    <s v="Cargo Pant"/>
    <s v="Priya Nair"/>
    <n v="4"/>
    <n v="82.04"/>
    <n v="0.05"/>
    <n v="311.75"/>
    <n v="328.16"/>
  </r>
  <r>
    <s v="K7-11503"/>
    <d v="2026-03-08T00:00:00"/>
    <s v="Oregon"/>
    <s v="West"/>
    <s v="Online"/>
    <s v="New"/>
    <s v="Footwear"/>
    <s v="Suede Loafer"/>
    <s v="Ava Brooks"/>
    <n v="1"/>
    <n v="156.03"/>
    <n v="0"/>
    <n v="156.03"/>
    <n v="156.03"/>
  </r>
  <r>
    <s v="K7-11504"/>
    <d v="2026-12-10T00:00:00"/>
    <s v="Florida"/>
    <s v="South"/>
    <s v="Retail Store"/>
    <s v="New"/>
    <s v="Bottoms"/>
    <s v="Slim Chino"/>
    <s v="Noor Haddad"/>
    <n v="5"/>
    <n v="70.02"/>
    <n v="0"/>
    <n v="350.1"/>
    <n v="350.09999999999997"/>
  </r>
  <r>
    <s v="K7-11505"/>
    <d v="2026-04-10T00:00:00"/>
    <s v="California"/>
    <s v="West"/>
    <s v="Online"/>
    <s v="New"/>
    <s v="Footwear"/>
    <s v="Canvas Sneaker"/>
    <s v="Jonah Wright"/>
    <n v="3"/>
    <n v="95.07"/>
    <n v="0"/>
    <n v="285.20999999999998"/>
    <n v="285.20999999999998"/>
  </r>
  <r>
    <s v="K7-11506"/>
    <d v="2026-12-27T00:00:00"/>
    <s v="California"/>
    <s v="West"/>
    <s v="Online"/>
    <s v="New"/>
    <s v="Footwear"/>
    <s v="Canvas Sneaker"/>
    <s v="Priya Nair"/>
    <n v="18"/>
    <n v="82.35"/>
    <n v="0"/>
    <n v="1482.3"/>
    <n v="1482.3"/>
  </r>
  <r>
    <s v="K7-11507"/>
    <d v="2026-07-20T00:00:00"/>
    <s v="Tennessee"/>
    <s v="South"/>
    <s v="Online"/>
    <s v="Returning"/>
    <s v="Outerwear"/>
    <s v="Hooded Parka"/>
    <s v="Marcus Reed"/>
    <n v="1"/>
    <n v="236.38"/>
    <n v="0.05"/>
    <n v="224.56"/>
    <n v="236.38"/>
  </r>
  <r>
    <s v="K7-11508"/>
    <d v="2026-01-17T00:00:00"/>
    <s v="Illinois"/>
    <s v="Midwest"/>
    <s v="Marketplace"/>
    <s v="Returning"/>
    <s v="Dresses"/>
    <s v="Midi Slip Dress"/>
    <s v="Priya Nair"/>
    <n v="4"/>
    <n v="101.02"/>
    <n v="0"/>
    <n v="404.08"/>
    <n v="404.08"/>
  </r>
  <r>
    <s v="K7-11509"/>
    <d v="2026-09-09T00:00:00"/>
    <s v="Georgia"/>
    <s v="South"/>
    <s v="Marketplace"/>
    <s v="Returning"/>
    <s v="Bottoms"/>
    <s v="Cargo Pant"/>
    <s v="Ava Brooks"/>
    <n v="4"/>
    <n v="83.35"/>
    <n v="0"/>
    <n v="333.4"/>
    <n v="333.4"/>
  </r>
  <r>
    <s v="K7-11510"/>
    <d v="2026-12-21T00:00:00"/>
    <s v="New Jersey"/>
    <s v="Northeast"/>
    <s v="Online"/>
    <s v="Returning"/>
    <s v="Tops"/>
    <s v="Classic Tee"/>
    <s v="Priya Nair"/>
    <n v="18"/>
    <n v="30.84"/>
    <n v="0.05"/>
    <n v="527.36"/>
    <n v="555.12"/>
  </r>
  <r>
    <s v="K7-11511"/>
    <d v="2026-01-17T00:00:00"/>
    <s v="New Jersey"/>
    <s v="Northeast"/>
    <s v="Wholesale"/>
    <s v="New"/>
    <s v="Bottoms"/>
    <s v="Straight Jeans"/>
    <s v="Elena Vargas"/>
    <n v="1"/>
    <n v="92.07"/>
    <n v="0.1"/>
    <n v="82.86"/>
    <n v="92.07"/>
  </r>
  <r>
    <s v="K7-11512"/>
    <d v="2026-06-25T00:00:00"/>
    <s v="Missouri"/>
    <s v="Midwest"/>
    <s v="Online"/>
    <s v="Returning"/>
    <s v="Accessories"/>
    <s v="Silk Scarf"/>
    <s v="Elena Vargas"/>
    <n v="1"/>
    <n v="61.03"/>
    <n v="0"/>
    <n v="61.03"/>
    <n v="61.03"/>
  </r>
  <r>
    <s v="K7-11513"/>
    <d v="2026-04-11T00:00:00"/>
    <s v="Texas"/>
    <s v="South"/>
    <s v="Retail Store"/>
    <s v="Returning"/>
    <s v="Dresses"/>
    <s v="Midi Slip Dress"/>
    <s v="Elena Vargas"/>
    <n v="3"/>
    <n v="93.18"/>
    <n v="0"/>
    <n v="279.54000000000002"/>
    <n v="279.54000000000002"/>
  </r>
  <r>
    <s v="K7-11514"/>
    <d v="2026-04-28T00:00:00"/>
    <s v="Georgia"/>
    <s v="South"/>
    <s v="Retail Store"/>
    <s v="New"/>
    <s v="Accessories"/>
    <s v="Silk Scarf"/>
    <s v="Dylan Foster"/>
    <n v="3"/>
    <n v="62.85"/>
    <n v="0"/>
    <n v="188.55"/>
    <n v="188.55"/>
  </r>
  <r>
    <s v="K7-11515"/>
    <d v="2026-07-04T00:00:00"/>
    <s v="California"/>
    <s v="West"/>
    <s v="Marketplace"/>
    <s v="Returning"/>
    <s v="Dresses"/>
    <s v="Wrap Dress"/>
    <s v="Noor Haddad"/>
    <n v="1"/>
    <n v="122.34"/>
    <n v="0"/>
    <n v="122.34"/>
    <n v="122.34"/>
  </r>
  <r>
    <s v="K7-11516"/>
    <d v="2026-12-11T00:00:00"/>
    <s v="Michigan"/>
    <s v="Midwest"/>
    <s v="Wholesale"/>
    <s v="Returning"/>
    <s v="Outerwear"/>
    <s v="Quilted Jacket"/>
    <s v="Priya Nair"/>
    <n v="5"/>
    <n v="178.9"/>
    <n v="0.05"/>
    <n v="849.77"/>
    <n v="894.5"/>
  </r>
  <r>
    <s v="K7-11517"/>
    <d v="2026-04-05T00:00:00"/>
    <s v="Texas"/>
    <s v="South"/>
    <s v="Online"/>
    <s v="Returning"/>
    <s v="Outerwear"/>
    <s v="Denim Trucker"/>
    <s v="Jonah Wright"/>
    <n v="2"/>
    <n v="132.27000000000001"/>
    <n v="0"/>
    <n v="264.54000000000002"/>
    <n v="264.54000000000002"/>
  </r>
  <r>
    <s v="K7-11518"/>
    <d v="2026-03-06T00:00:00"/>
    <s v="Arizona"/>
    <s v="West"/>
    <s v="Retail Store"/>
    <s v="Returning"/>
    <s v="Footwear"/>
    <s v="Suede Loafer"/>
    <s v="Jonah Wright"/>
    <n v="2"/>
    <n v="171.39"/>
    <n v="0.15"/>
    <n v="291.36"/>
    <n v="342.78"/>
  </r>
  <r>
    <s v="K7-11519"/>
    <d v="2026-08-26T00:00:00"/>
    <s v="Georgia"/>
    <s v="South"/>
    <s v="Online"/>
    <s v="Returning"/>
    <s v="Footwear"/>
    <s v="Leather Boot"/>
    <s v="Marcus Reed"/>
    <n v="1"/>
    <n v="225.23"/>
    <n v="0"/>
    <n v="225.23"/>
    <n v="225.23"/>
  </r>
  <r>
    <s v="K7-11520"/>
    <d v="2026-04-19T00:00:00"/>
    <s v="Texas"/>
    <s v="South"/>
    <s v="Online"/>
    <s v="New"/>
    <s v="Outerwear"/>
    <s v="Quilted Jacket"/>
    <s v="Grace Okafor"/>
    <n v="2"/>
    <n v="177.46"/>
    <n v="0"/>
    <n v="354.92"/>
    <n v="354.92"/>
  </r>
  <r>
    <s v="K7-11521"/>
    <d v="2026-12-25T00:00:00"/>
    <s v="Missouri"/>
    <s v="Midwest"/>
    <s v="Retail Store"/>
    <s v="Returning"/>
    <s v="Tops"/>
    <s v="Classic Tee"/>
    <s v="Ava Brooks"/>
    <n v="5"/>
    <n v="30.17"/>
    <n v="0.3"/>
    <n v="105.6"/>
    <n v="150.85000000000002"/>
  </r>
  <r>
    <s v="K7-11522"/>
    <d v="2026-01-25T00:00:00"/>
    <s v="Colorado"/>
    <s v="West"/>
    <s v="Online"/>
    <s v="Returning"/>
    <s v="Outerwear"/>
    <s v="Denim Trucker"/>
    <s v="Grace Okafor"/>
    <n v="3"/>
    <n v="124.14"/>
    <n v="0"/>
    <n v="372.42"/>
    <n v="372.42"/>
  </r>
  <r>
    <s v="K7-11523"/>
    <d v="2026-04-29T00:00:00"/>
    <s v="Missouri"/>
    <s v="Midwest"/>
    <s v="Marketplace"/>
    <s v="New"/>
    <s v="Outerwear"/>
    <s v="Wool Overcoat"/>
    <s v="Marcus Reed"/>
    <n v="3"/>
    <n v="301.14999999999998"/>
    <n v="0.1"/>
    <n v="813.1"/>
    <n v="903.44999999999993"/>
  </r>
  <r>
    <s v="K7-11524"/>
    <d v="2026-09-01T00:00:00"/>
    <s v="Indiana"/>
    <s v="Midwest"/>
    <s v="Retail Store"/>
    <s v="New"/>
    <s v="Tops"/>
    <s v="Oxford Shirt"/>
    <s v="Ava Brooks"/>
    <n v="6"/>
    <n v="73.209999999999994"/>
    <n v="0"/>
    <n v="439.26"/>
    <n v="439.26"/>
  </r>
  <r>
    <s v="K7-11525"/>
    <d v="2026-05-18T00:00:00"/>
    <s v="Pennsylvania"/>
    <s v="Northeast"/>
    <s v="Wholesale"/>
    <s v="New"/>
    <s v="Dresses"/>
    <s v="Midi Slip Dress"/>
    <s v="Grace Okafor"/>
    <n v="4"/>
    <n v="94.4"/>
    <n v="0"/>
    <n v="377.6"/>
    <n v="377.6"/>
  </r>
  <r>
    <s v="K7-11526"/>
    <d v="2026-03-30T00:00:00"/>
    <s v="Minnesota"/>
    <s v="Midwest"/>
    <s v="Online"/>
    <s v="New"/>
    <s v="Bottoms"/>
    <s v="Straight Jeans"/>
    <s v="Grace Okafor"/>
    <n v="5"/>
    <n v="93.82"/>
    <n v="0"/>
    <n v="469.1"/>
    <n v="469.09999999999997"/>
  </r>
  <r>
    <s v="K7-11527"/>
    <d v="2026-03-10T00:00:00"/>
    <s v="Georgia"/>
    <s v="South"/>
    <s v="Wholesale"/>
    <s v="New"/>
    <s v="Tops"/>
    <s v="Oxford Shirt"/>
    <s v="Elena Vargas"/>
    <n v="4"/>
    <n v="72.27"/>
    <n v="0"/>
    <n v="289.08"/>
    <n v="289.08"/>
  </r>
  <r>
    <s v="K7-11528"/>
    <d v="2026-01-03T00:00:00"/>
    <s v="Wisconsin"/>
    <s v="Midwest"/>
    <s v="Marketplace"/>
    <s v="New"/>
    <s v="Tops"/>
    <s v="Classic Tee"/>
    <s v="Ava Brooks"/>
    <n v="1"/>
    <n v="33.14"/>
    <n v="0"/>
    <n v="33.14"/>
    <n v="33.14"/>
  </r>
  <r>
    <s v="K7-11529"/>
    <d v="2026-10-25T00:00:00"/>
    <s v="Pennsylvania"/>
    <s v="Northeast"/>
    <s v="Online"/>
    <s v="New"/>
    <s v="Dresses"/>
    <s v="Wrap Dress"/>
    <s v="Grace Okafor"/>
    <n v="2"/>
    <n v="115.15"/>
    <n v="0"/>
    <n v="230.3"/>
    <n v="230.3"/>
  </r>
  <r>
    <s v="K7-11530"/>
    <d v="2026-05-25T00:00:00"/>
    <s v="New Jersey"/>
    <s v="Northeast"/>
    <s v="Online"/>
    <s v="Returning"/>
    <s v="Footwear"/>
    <s v="Suede Loafer"/>
    <s v="Priya Nair"/>
    <n v="1"/>
    <n v="155.19999999999999"/>
    <n v="0"/>
    <n v="155.19999999999999"/>
    <n v="155.19999999999999"/>
  </r>
  <r>
    <s v="K7-11531"/>
    <d v="2026-10-03T00:00:00"/>
    <s v="Florida"/>
    <s v="South"/>
    <s v="Online"/>
    <s v="Returning"/>
    <s v="Dresses"/>
    <s v="Midi Slip Dress"/>
    <s v="Grace Okafor"/>
    <n v="6"/>
    <n v="100.67"/>
    <n v="0"/>
    <n v="604.02"/>
    <n v="604.02"/>
  </r>
  <r>
    <s v="K7-11532"/>
    <d v="2026-12-02T00:00:00"/>
    <s v="Minnesota"/>
    <s v="Midwest"/>
    <s v="Retail Store"/>
    <s v="New"/>
    <s v="Accessories"/>
    <s v="Leather Belt"/>
    <s v="Marcus Reed"/>
    <n v="1"/>
    <n v="45.85"/>
    <n v="0"/>
    <n v="45.85"/>
    <n v="45.85"/>
  </r>
  <r>
    <s v="K7-11533"/>
    <d v="2026-08-02T00:00:00"/>
    <s v="Missouri"/>
    <s v="Midwest"/>
    <s v="Online"/>
    <s v="New"/>
    <s v="Dresses"/>
    <s v="Midi Slip Dress"/>
    <s v="Jonah Wright"/>
    <n v="8"/>
    <n v="97.16"/>
    <n v="0.05"/>
    <n v="738.42"/>
    <n v="777.28"/>
  </r>
  <r>
    <s v="K7-11534"/>
    <d v="2026-06-09T00:00:00"/>
    <s v="Illinois"/>
    <s v="Midwest"/>
    <s v="Retail Store"/>
    <s v="New"/>
    <s v="Outerwear"/>
    <s v="Hooded Parka"/>
    <s v="Noor Haddad"/>
    <n v="1"/>
    <n v="237.08"/>
    <n v="0.15"/>
    <n v="201.52"/>
    <n v="237.08"/>
  </r>
  <r>
    <s v="K7-11535"/>
    <d v="2026-09-19T00:00:00"/>
    <s v="New York"/>
    <s v="Northeast"/>
    <s v="Retail Store"/>
    <s v="New"/>
    <s v="Footwear"/>
    <s v="Suede Loafer"/>
    <s v="Ava Brooks"/>
    <n v="5"/>
    <n v="158.94999999999999"/>
    <n v="0"/>
    <n v="794.75"/>
    <n v="794.75"/>
  </r>
  <r>
    <s v="K7-11536"/>
    <d v="2026-03-24T00:00:00"/>
    <s v="Arizona"/>
    <s v="West"/>
    <s v="Online"/>
    <s v="Returning"/>
    <s v="Accessories"/>
    <s v="Silk Scarf"/>
    <s v="Noor Haddad"/>
    <n v="2"/>
    <n v="61.13"/>
    <n v="0"/>
    <n v="122.26"/>
    <n v="122.26"/>
  </r>
  <r>
    <s v="K7-11537"/>
    <d v="2026-08-13T00:00:00"/>
    <s v="Texas"/>
    <s v="South"/>
    <s v="Wholesale"/>
    <s v="Returning"/>
    <s v="Dresses"/>
    <s v="Wrap Dress"/>
    <s v="Priya Nair"/>
    <n v="10"/>
    <n v="115.92"/>
    <n v="0"/>
    <n v="1159.2"/>
    <n v="1159.2"/>
  </r>
  <r>
    <s v="K7-11538"/>
    <d v="2026-05-06T00:00:00"/>
    <s v="Louisiana"/>
    <s v="South"/>
    <s v="Online"/>
    <s v="Returning"/>
    <s v="Outerwear"/>
    <s v="Denim Trucker"/>
    <s v="Dylan Foster"/>
    <n v="1"/>
    <n v="119.66"/>
    <n v="0.1"/>
    <n v="107.69"/>
    <n v="119.66"/>
  </r>
  <r>
    <s v="K7-11539"/>
    <d v="2026-04-09T00:00:00"/>
    <s v="Indiana"/>
    <s v="Midwest"/>
    <s v="Retail Store"/>
    <s v="Returning"/>
    <s v="Tops"/>
    <s v="Oxford Shirt"/>
    <s v="Marcus Reed"/>
    <n v="16"/>
    <n v="66.55"/>
    <n v="0.05"/>
    <n v="1011.56"/>
    <n v="1064.8"/>
  </r>
  <r>
    <s v="K7-11540"/>
    <d v="2026-10-28T00:00:00"/>
    <s v="Colorado"/>
    <s v="West"/>
    <s v="Retail Store"/>
    <s v="New"/>
    <s v="Tops"/>
    <s v="Henley Long Sleeve"/>
    <s v="Ava Brooks"/>
    <n v="14"/>
    <n v="47.37"/>
    <n v="0.05"/>
    <n v="630.02"/>
    <n v="663.18"/>
  </r>
  <r>
    <s v="K7-11541"/>
    <d v="2026-11-28T00:00:00"/>
    <s v="California"/>
    <s v="West"/>
    <s v="Retail Store"/>
    <s v="Returning"/>
    <s v="Outerwear"/>
    <s v="Wool Overcoat"/>
    <s v="Ava Brooks"/>
    <n v="1"/>
    <n v="296.32"/>
    <n v="0"/>
    <n v="296.32"/>
    <n v="296.32"/>
  </r>
  <r>
    <s v="K7-11542"/>
    <d v="2026-10-01T00:00:00"/>
    <s v="California"/>
    <s v="West"/>
    <s v="Online"/>
    <s v="New"/>
    <s v="Accessories"/>
    <s v="Canvas Tote"/>
    <s v="Noor Haddad"/>
    <n v="5"/>
    <n v="40.159999999999997"/>
    <n v="0"/>
    <n v="200.8"/>
    <n v="200.79999999999998"/>
  </r>
  <r>
    <s v="K7-11543"/>
    <d v="2026-09-15T00:00:00"/>
    <s v="South Carolina"/>
    <s v="South"/>
    <s v="Marketplace"/>
    <s v="New"/>
    <s v="Outerwear"/>
    <s v="Hooded Parka"/>
    <s v="Grace Okafor"/>
    <n v="3"/>
    <n v="220.47"/>
    <n v="0"/>
    <n v="661.41"/>
    <n v="661.41"/>
  </r>
  <r>
    <s v="K7-11544"/>
    <d v="2026-10-03T00:00:00"/>
    <s v="California"/>
    <s v="West"/>
    <s v="Marketplace"/>
    <s v="Returning"/>
    <s v="Outerwear"/>
    <s v="Quilted Jacket"/>
    <s v="Priya Nair"/>
    <n v="4"/>
    <n v="174.49"/>
    <n v="0"/>
    <n v="697.96"/>
    <n v="697.96"/>
  </r>
  <r>
    <s v="K7-11545"/>
    <d v="2026-03-16T00:00:00"/>
    <s v="Tennessee"/>
    <s v="South"/>
    <s v="Retail Store"/>
    <s v="Returning"/>
    <s v="Footwear"/>
    <s v="Leather Boot"/>
    <s v="Grace Okafor"/>
    <n v="10"/>
    <n v="225.74"/>
    <n v="0"/>
    <n v="2257.4"/>
    <n v="2257.4"/>
  </r>
  <r>
    <s v="K7-11546"/>
    <d v="2026-07-21T00:00:00"/>
    <s v="Missouri"/>
    <s v="Midwest"/>
    <s v="Marketplace"/>
    <s v="New"/>
    <s v="Bottoms"/>
    <s v="Cargo Pant"/>
    <s v="Elena Vargas"/>
    <n v="12"/>
    <n v="79.569999999999993"/>
    <n v="0"/>
    <n v="954.84"/>
    <n v="954.83999999999992"/>
  </r>
  <r>
    <s v="K7-11547"/>
    <d v="2026-03-30T00:00:00"/>
    <s v="California"/>
    <s v="West"/>
    <s v="Online"/>
    <s v="New"/>
    <s v="Footwear"/>
    <s v="Canvas Sneaker"/>
    <s v="Grace Okafor"/>
    <n v="6"/>
    <n v="94.6"/>
    <n v="0.05"/>
    <n v="539.22"/>
    <n v="567.59999999999991"/>
  </r>
  <r>
    <s v="K7-11548"/>
    <d v="2026-10-02T00:00:00"/>
    <s v="Texas"/>
    <s v="South"/>
    <s v="Marketplace"/>
    <s v="New"/>
    <s v="Tops"/>
    <s v="Classic Tee"/>
    <s v="Marcus Reed"/>
    <n v="3"/>
    <n v="33.049999999999997"/>
    <n v="0"/>
    <n v="99.15"/>
    <n v="99.149999999999991"/>
  </r>
  <r>
    <s v="K7-11549"/>
    <d v="2026-01-15T00:00:00"/>
    <s v="Colorado"/>
    <s v="West"/>
    <s v="Online"/>
    <s v="Returning"/>
    <s v="Footwear"/>
    <s v="Suede Loafer"/>
    <s v="Grace Okafor"/>
    <n v="1"/>
    <n v="159.82"/>
    <n v="0"/>
    <n v="159.82"/>
    <n v="159.82"/>
  </r>
  <r>
    <s v="K7-11550"/>
    <d v="2026-01-08T00:00:00"/>
    <s v="Tennessee"/>
    <s v="South"/>
    <s v="Online"/>
    <s v="New"/>
    <s v="Tops"/>
    <s v="Classic Tee"/>
    <s v="Elena Vargas"/>
    <n v="2"/>
    <n v="34.04"/>
    <n v="0"/>
    <n v="68.08"/>
    <n v="68.08"/>
  </r>
  <r>
    <s v="K7-11551"/>
    <d v="2026-09-04T00:00:00"/>
    <s v="Ohio"/>
    <s v="Midwest"/>
    <s v="Online"/>
    <s v="New"/>
    <s v="Outerwear"/>
    <s v="Denim Trucker"/>
    <s v="Marcus Reed"/>
    <n v="15"/>
    <n v="124.08"/>
    <n v="0.05"/>
    <n v="1768.14"/>
    <n v="1861.2"/>
  </r>
  <r>
    <s v="K7-11552"/>
    <d v="2026-03-25T00:00:00"/>
    <s v="Nevada"/>
    <s v="West"/>
    <s v="Online"/>
    <s v="New"/>
    <s v="Tops"/>
    <s v="Classic Tee"/>
    <s v="Dylan Foster"/>
    <n v="8"/>
    <n v="31.46"/>
    <n v="0"/>
    <n v="251.68"/>
    <n v="251.68"/>
  </r>
  <r>
    <s v="K7-11553"/>
    <d v="2026-07-31T00:00:00"/>
    <s v="Indiana"/>
    <s v="Midwest"/>
    <s v="Marketplace"/>
    <s v="Returning"/>
    <s v="Dresses"/>
    <s v="Wrap Dress"/>
    <s v="Ava Brooks"/>
    <n v="1"/>
    <n v="126.75"/>
    <n v="0"/>
    <n v="126.75"/>
    <n v="126.75"/>
  </r>
  <r>
    <s v="K7-11554"/>
    <d v="2026-05-10T00:00:00"/>
    <s v="Illinois"/>
    <s v="Midwest"/>
    <s v="Online"/>
    <s v="Returning"/>
    <s v="Bottoms"/>
    <s v="Tailored Short"/>
    <s v="Marcus Reed"/>
    <n v="4"/>
    <n v="54.3"/>
    <n v="0"/>
    <n v="217.2"/>
    <n v="217.2"/>
  </r>
  <r>
    <s v="K7-11555"/>
    <d v="2026-02-07T00:00:00"/>
    <s v="Illinois"/>
    <s v="Midwest"/>
    <s v="Online"/>
    <s v="Returning"/>
    <s v="Outerwear"/>
    <s v="Wool Overcoat"/>
    <s v="Grace Okafor"/>
    <n v="8"/>
    <n v="298.20999999999998"/>
    <n v="0"/>
    <n v="2385.6799999999998"/>
    <n v="2385.6799999999998"/>
  </r>
  <r>
    <s v="K7-11556"/>
    <d v="2026-02-13T00:00:00"/>
    <s v="Ohio"/>
    <s v="Midwest"/>
    <s v="Marketplace"/>
    <s v="Returning"/>
    <s v="Bottoms"/>
    <s v="Straight Jeans"/>
    <s v="Ava Brooks"/>
    <n v="1"/>
    <n v="98.28"/>
    <n v="0"/>
    <n v="98.28"/>
    <n v="98.28"/>
  </r>
  <r>
    <s v="K7-11557"/>
    <d v="2026-04-09T00:00:00"/>
    <s v="California"/>
    <s v="West"/>
    <s v="Online"/>
    <s v="Returning"/>
    <s v="Footwear"/>
    <s v="Canvas Sneaker"/>
    <s v="Elena Vargas"/>
    <n v="1"/>
    <n v="87.87"/>
    <n v="0"/>
    <n v="87.87"/>
    <n v="87.87"/>
  </r>
  <r>
    <s v="K7-11558"/>
    <d v="2026-05-31T00:00:00"/>
    <s v="Missouri"/>
    <s v="Midwest"/>
    <s v="Marketplace"/>
    <s v="New"/>
    <s v="Accessories"/>
    <s v="Canvas Tote"/>
    <s v="Noor Haddad"/>
    <n v="8"/>
    <n v="40.98"/>
    <n v="0.05"/>
    <n v="311.45"/>
    <n v="327.84"/>
  </r>
  <r>
    <s v="K7-11559"/>
    <d v="2026-05-14T00:00:00"/>
    <s v="Ohio"/>
    <s v="Midwest"/>
    <s v="Retail Store"/>
    <s v="Returning"/>
    <s v="Outerwear"/>
    <s v="Wool Overcoat"/>
    <s v="Elena Vargas"/>
    <n v="3"/>
    <n v="313.11"/>
    <n v="0"/>
    <n v="939.33"/>
    <n v="939.33"/>
  </r>
  <r>
    <s v="K7-11560"/>
    <d v="2026-06-12T00:00:00"/>
    <s v="Washington"/>
    <s v="West"/>
    <s v="Wholesale"/>
    <s v="Returning"/>
    <s v="Footwear"/>
    <s v="Suede Loafer"/>
    <s v="Noor Haddad"/>
    <n v="1"/>
    <n v="155.74"/>
    <n v="0"/>
    <n v="155.74"/>
    <n v="155.74"/>
  </r>
  <r>
    <s v="K7-11561"/>
    <d v="2026-09-25T00:00:00"/>
    <s v="Colorado"/>
    <s v="West"/>
    <s v="Marketplace"/>
    <s v="New"/>
    <s v="Tops"/>
    <s v="Striped Polo"/>
    <s v="Marcus Reed"/>
    <n v="1"/>
    <n v="57.53"/>
    <n v="0.15"/>
    <n v="48.9"/>
    <n v="57.53"/>
  </r>
  <r>
    <s v="K7-11562"/>
    <d v="2026-08-26T00:00:00"/>
    <s v="Michigan"/>
    <s v="Midwest"/>
    <s v="Online"/>
    <s v="Returning"/>
    <s v="Tops"/>
    <s v="Henley Long Sleeve"/>
    <s v="Marcus Reed"/>
    <n v="1"/>
    <n v="49.01"/>
    <n v="0"/>
    <n v="49.01"/>
    <n v="49.01"/>
  </r>
  <r>
    <s v="K7-11563"/>
    <d v="2026-03-24T00:00:00"/>
    <s v="Connecticut"/>
    <s v="Northeast"/>
    <s v="Online"/>
    <s v="New"/>
    <s v="Bottoms"/>
    <s v="Cargo Pant"/>
    <s v="Dylan Foster"/>
    <n v="2"/>
    <n v="83.61"/>
    <n v="0"/>
    <n v="167.22"/>
    <n v="167.22"/>
  </r>
  <r>
    <s v="K7-11564"/>
    <d v="2026-01-18T00:00:00"/>
    <s v="Washington"/>
    <s v="West"/>
    <s v="Online"/>
    <s v="New"/>
    <s v="Bottoms"/>
    <s v="Slim Chino"/>
    <s v="Jonah Wright"/>
    <n v="2"/>
    <n v="76.34"/>
    <n v="0.1"/>
    <n v="137.41"/>
    <n v="152.68"/>
  </r>
  <r>
    <s v="K7-11565"/>
    <d v="2026-05-06T00:00:00"/>
    <s v="Georgia"/>
    <s v="South"/>
    <s v="Retail Store"/>
    <s v="Returning"/>
    <s v="Tops"/>
    <s v="Oxford Shirt"/>
    <s v="Grace Okafor"/>
    <n v="3"/>
    <n v="66.37"/>
    <n v="0"/>
    <n v="199.11"/>
    <n v="199.11"/>
  </r>
  <r>
    <s v="K7-11566"/>
    <d v="2026-01-13T00:00:00"/>
    <s v="Massachusetts"/>
    <s v="Northeast"/>
    <s v="Online"/>
    <s v="Returning"/>
    <s v="Bottoms"/>
    <s v="Straight Jeans"/>
    <s v="Grace Okafor"/>
    <n v="3"/>
    <n v="96.38"/>
    <n v="0.1"/>
    <n v="260.23"/>
    <n v="289.14"/>
  </r>
  <r>
    <s v="K7-11567"/>
    <d v="2026-12-16T00:00:00"/>
    <s v="California"/>
    <s v="West"/>
    <s v="Online"/>
    <s v="Returning"/>
    <s v="Footwear"/>
    <s v="Suede Loafer"/>
    <s v="Dylan Foster"/>
    <n v="1"/>
    <n v="164.25"/>
    <n v="0"/>
    <n v="164.25"/>
    <n v="164.25"/>
  </r>
  <r>
    <s v="K7-11568"/>
    <d v="2026-10-12T00:00:00"/>
    <s v="Utah"/>
    <s v="West"/>
    <s v="Online"/>
    <s v="Returning"/>
    <s v="Bottoms"/>
    <s v="Tailored Short"/>
    <s v="Elena Vargas"/>
    <n v="5"/>
    <n v="56.08"/>
    <n v="0"/>
    <n v="280.39999999999998"/>
    <n v="280.39999999999998"/>
  </r>
  <r>
    <s v="K7-11569"/>
    <d v="2026-06-16T00:00:00"/>
    <s v="Utah"/>
    <s v="West"/>
    <s v="Marketplace"/>
    <s v="Returning"/>
    <s v="Bottoms"/>
    <s v="Tailored Short"/>
    <s v="Noor Haddad"/>
    <n v="1"/>
    <n v="60.05"/>
    <n v="0.1"/>
    <n v="54.05"/>
    <n v="60.05"/>
  </r>
  <r>
    <s v="K7-11570"/>
    <d v="2026-01-18T00:00:00"/>
    <s v="Alabama"/>
    <s v="South"/>
    <s v="Online"/>
    <s v="New"/>
    <s v="Tops"/>
    <s v="Henley Long Sleeve"/>
    <s v="Noor Haddad"/>
    <n v="2"/>
    <n v="45.11"/>
    <n v="0"/>
    <n v="90.22"/>
    <n v="90.22"/>
  </r>
  <r>
    <s v="K7-11571"/>
    <d v="2026-04-13T00:00:00"/>
    <s v="Maryland"/>
    <s v="South"/>
    <s v="Online"/>
    <s v="Returning"/>
    <s v="Bottoms"/>
    <s v="Cargo Pant"/>
    <s v="Elena Vargas"/>
    <n v="3"/>
    <n v="78.89"/>
    <n v="0"/>
    <n v="236.67"/>
    <n v="236.67000000000002"/>
  </r>
  <r>
    <s v="K7-11572"/>
    <d v="2026-03-19T00:00:00"/>
    <s v="Washington"/>
    <s v="West"/>
    <s v="Marketplace"/>
    <s v="New"/>
    <s v="Outerwear"/>
    <s v="Quilted Jacket"/>
    <s v="Jonah Wright"/>
    <n v="2"/>
    <n v="164.18"/>
    <n v="0.05"/>
    <n v="311.94"/>
    <n v="328.36"/>
  </r>
  <r>
    <s v="K7-11573"/>
    <d v="2026-04-06T00:00:00"/>
    <s v="Pennsylvania"/>
    <s v="Northeast"/>
    <s v="Online"/>
    <s v="New"/>
    <s v="Tops"/>
    <s v="Oxford Shirt"/>
    <s v="Elena Vargas"/>
    <n v="1"/>
    <n v="65.040000000000006"/>
    <n v="0"/>
    <n v="65.040000000000006"/>
    <n v="65.040000000000006"/>
  </r>
  <r>
    <s v="K7-11574"/>
    <d v="2026-02-22T00:00:00"/>
    <s v="Indiana"/>
    <s v="Midwest"/>
    <s v="Retail Store"/>
    <s v="New"/>
    <s v="Bottoms"/>
    <s v="Tailored Short"/>
    <s v="Marcus Reed"/>
    <n v="1"/>
    <n v="57.43"/>
    <n v="0"/>
    <n v="57.43"/>
    <n v="57.43"/>
  </r>
  <r>
    <s v="K7-11575"/>
    <d v="2026-10-12T00:00:00"/>
    <s v="Arizona"/>
    <s v="West"/>
    <s v="Online"/>
    <s v="New"/>
    <s v="Bottoms"/>
    <s v="Tailored Short"/>
    <s v="Priya Nair"/>
    <n v="2"/>
    <n v="62.54"/>
    <n v="0"/>
    <n v="125.08"/>
    <n v="125.08"/>
  </r>
  <r>
    <s v="K7-11576"/>
    <d v="2026-03-15T00:00:00"/>
    <s v="Illinois"/>
    <s v="Midwest"/>
    <s v="Retail Store"/>
    <s v="Returning"/>
    <s v="Dresses"/>
    <s v="Linen Shirt Dress"/>
    <s v="Dylan Foster"/>
    <n v="6"/>
    <n v="129.35"/>
    <n v="0"/>
    <n v="776.1"/>
    <n v="776.09999999999991"/>
  </r>
  <r>
    <s v="K7-11577"/>
    <d v="2026-11-10T00:00:00"/>
    <s v="Georgia"/>
    <s v="South"/>
    <s v="Online"/>
    <s v="New"/>
    <s v="Tops"/>
    <s v="Oxford Shirt"/>
    <s v="Dylan Foster"/>
    <n v="5"/>
    <n v="67.180000000000007"/>
    <n v="0"/>
    <n v="335.9"/>
    <n v="335.90000000000003"/>
  </r>
  <r>
    <s v="K7-11578"/>
    <d v="2026-05-30T00:00:00"/>
    <s v="Minnesota"/>
    <s v="Midwest"/>
    <s v="Marketplace"/>
    <s v="Returning"/>
    <s v="Bottoms"/>
    <s v="Straight Jeans"/>
    <s v="Noor Haddad"/>
    <n v="1"/>
    <n v="92.32"/>
    <n v="0"/>
    <n v="92.32"/>
    <n v="92.32"/>
  </r>
  <r>
    <s v="K7-11579"/>
    <d v="2026-02-20T00:00:00"/>
    <s v="Nevada"/>
    <s v="West"/>
    <s v="Online"/>
    <s v="Returning"/>
    <s v="Accessories"/>
    <s v="Canvas Tote"/>
    <s v="Noor Haddad"/>
    <n v="3"/>
    <n v="36.32"/>
    <n v="0.2"/>
    <n v="87.17"/>
    <n v="108.96000000000001"/>
  </r>
  <r>
    <s v="K7-11580"/>
    <d v="2026-11-29T00:00:00"/>
    <s v="California"/>
    <s v="West"/>
    <s v="Retail Store"/>
    <s v="Returning"/>
    <s v="Accessories"/>
    <s v="Canvas Tote"/>
    <s v="Marcus Reed"/>
    <n v="13"/>
    <n v="40.49"/>
    <n v="0.1"/>
    <n v="473.73"/>
    <n v="526.37"/>
  </r>
  <r>
    <s v="K7-11581"/>
    <d v="2026-07-26T00:00:00"/>
    <s v="New York"/>
    <s v="Northeast"/>
    <s v="Online"/>
    <s v="New"/>
    <s v="Bottoms"/>
    <s v="Slim Chino"/>
    <s v="Marcus Reed"/>
    <n v="1"/>
    <n v="81.66"/>
    <n v="0.05"/>
    <n v="77.58"/>
    <n v="81.66"/>
  </r>
  <r>
    <s v="K7-11582"/>
    <d v="2026-03-30T00:00:00"/>
    <s v="Illinois"/>
    <s v="Midwest"/>
    <s v="Retail Store"/>
    <s v="New"/>
    <s v="Accessories"/>
    <s v="Knit Beanie"/>
    <s v="Jonah Wright"/>
    <n v="3"/>
    <n v="25.37"/>
    <n v="0"/>
    <n v="76.11"/>
    <n v="76.11"/>
  </r>
  <r>
    <s v="K7-11583"/>
    <d v="2026-11-06T00:00:00"/>
    <s v="Massachusetts"/>
    <s v="Northeast"/>
    <s v="Online"/>
    <s v="Returning"/>
    <s v="Tops"/>
    <s v="Oxford Shirt"/>
    <s v="Grace Okafor"/>
    <n v="2"/>
    <n v="66.2"/>
    <n v="0.1"/>
    <n v="119.16"/>
    <n v="132.4"/>
  </r>
  <r>
    <s v="K7-11584"/>
    <d v="2026-12-31T00:00:00"/>
    <s v="California"/>
    <s v="West"/>
    <s v="Online"/>
    <s v="Returning"/>
    <s v="Outerwear"/>
    <s v="Hooded Parka"/>
    <s v="Noor Haddad"/>
    <n v="1"/>
    <n v="223.92"/>
    <n v="0"/>
    <n v="223.92"/>
    <n v="223.92"/>
  </r>
  <r>
    <s v="K7-11585"/>
    <d v="2026-06-30T00:00:00"/>
    <s v="Florida"/>
    <s v="South"/>
    <s v="Online"/>
    <s v="Returning"/>
    <s v="Dresses"/>
    <s v="Midi Slip Dress"/>
    <s v="Marcus Reed"/>
    <n v="1"/>
    <n v="98.92"/>
    <n v="0"/>
    <n v="98.92"/>
    <n v="98.92"/>
  </r>
  <r>
    <s v="K7-11586"/>
    <d v="2026-08-28T00:00:00"/>
    <s v="Louisiana"/>
    <s v="South"/>
    <s v="Retail Store"/>
    <s v="New"/>
    <s v="Accessories"/>
    <s v="Canvas Tote"/>
    <s v="Elena Vargas"/>
    <n v="2"/>
    <n v="40.58"/>
    <n v="0"/>
    <n v="81.16"/>
    <n v="81.16"/>
  </r>
  <r>
    <s v="K7-11587"/>
    <d v="2026-10-03T00:00:00"/>
    <s v="Utah"/>
    <s v="West"/>
    <s v="Online"/>
    <s v="Returning"/>
    <s v="Footwear"/>
    <s v="Leather Boot"/>
    <s v="Dylan Foster"/>
    <n v="1"/>
    <n v="219.44"/>
    <n v="0.1"/>
    <n v="197.5"/>
    <n v="219.44"/>
  </r>
  <r>
    <s v="K7-11588"/>
    <d v="2026-12-25T00:00:00"/>
    <s v="Indiana"/>
    <s v="Midwest"/>
    <s v="Retail Store"/>
    <s v="Returning"/>
    <s v="Tops"/>
    <s v="Classic Tee"/>
    <s v="Grace Okafor"/>
    <n v="6"/>
    <n v="30.05"/>
    <n v="0"/>
    <n v="180.3"/>
    <n v="180.3"/>
  </r>
  <r>
    <s v="K7-11589"/>
    <d v="2026-06-04T00:00:00"/>
    <s v="Florida"/>
    <s v="South"/>
    <s v="Online"/>
    <s v="New"/>
    <s v="Tops"/>
    <s v="Henley Long Sleeve"/>
    <s v="Grace Okafor"/>
    <n v="2"/>
    <n v="48.18"/>
    <n v="0"/>
    <n v="96.36"/>
    <n v="96.36"/>
  </r>
  <r>
    <s v="K7-11590"/>
    <d v="2026-01-19T00:00:00"/>
    <s v="Texas"/>
    <s v="South"/>
    <s v="Online"/>
    <s v="New"/>
    <s v="Tops"/>
    <s v="Classic Tee"/>
    <s v="Elena Vargas"/>
    <n v="2"/>
    <n v="31.66"/>
    <n v="0"/>
    <n v="63.32"/>
    <n v="63.32"/>
  </r>
  <r>
    <s v="K7-11591"/>
    <d v="2026-11-03T00:00:00"/>
    <s v="Texas"/>
    <s v="South"/>
    <s v="Online"/>
    <s v="Returning"/>
    <s v="Tops"/>
    <s v="Oxford Shirt"/>
    <s v="Jonah Wright"/>
    <n v="4"/>
    <n v="71.39"/>
    <n v="0"/>
    <n v="285.56"/>
    <n v="285.56"/>
  </r>
  <r>
    <s v="K7-11592"/>
    <d v="2026-04-08T00:00:00"/>
    <s v="Colorado"/>
    <s v="West"/>
    <s v="Online"/>
    <s v="Returning"/>
    <s v="Dresses"/>
    <s v="Wrap Dress"/>
    <s v="Marcus Reed"/>
    <n v="2"/>
    <n v="118.97"/>
    <n v="0"/>
    <n v="237.94"/>
    <n v="237.94"/>
  </r>
  <r>
    <s v="K7-11593"/>
    <d v="2026-11-14T00:00:00"/>
    <s v="California"/>
    <s v="West"/>
    <s v="Wholesale"/>
    <s v="Returning"/>
    <s v="Bottoms"/>
    <s v="Straight Jeans"/>
    <s v="Ava Brooks"/>
    <n v="5"/>
    <n v="98.1"/>
    <n v="0"/>
    <n v="490.5"/>
    <n v="490.5"/>
  </r>
  <r>
    <s v="K7-11594"/>
    <d v="2026-10-26T00:00:00"/>
    <s v="Florida"/>
    <s v="South"/>
    <s v="Online"/>
    <s v="New"/>
    <s v="Bottoms"/>
    <s v="Slim Chino"/>
    <s v="Elena Vargas"/>
    <n v="3"/>
    <n v="69.97"/>
    <n v="0.15"/>
    <n v="178.42"/>
    <n v="209.91"/>
  </r>
  <r>
    <s v="K7-11595"/>
    <d v="2026-06-16T00:00:00"/>
    <s v="Tennessee"/>
    <s v="South"/>
    <s v="Online"/>
    <s v="Returning"/>
    <s v="Tops"/>
    <s v="Oxford Shirt"/>
    <s v="Jonah Wright"/>
    <n v="2"/>
    <n v="69.709999999999994"/>
    <n v="0"/>
    <n v="139.41999999999999"/>
    <n v="139.41999999999999"/>
  </r>
  <r>
    <s v="K7-11596"/>
    <d v="2026-12-24T00:00:00"/>
    <s v="Missouri"/>
    <s v="Midwest"/>
    <s v="Marketplace"/>
    <s v="New"/>
    <s v="Bottoms"/>
    <s v="Slim Chino"/>
    <s v="Ava Brooks"/>
    <n v="2"/>
    <n v="79.489999999999995"/>
    <n v="0"/>
    <n v="158.97999999999999"/>
    <n v="158.97999999999999"/>
  </r>
  <r>
    <s v="K7-11597"/>
    <d v="2026-02-13T00:00:00"/>
    <s v="Pennsylvania"/>
    <s v="Northeast"/>
    <s v="Marketplace"/>
    <s v="New"/>
    <s v="Bottoms"/>
    <s v="Straight Jeans"/>
    <s v="Ava Brooks"/>
    <n v="2"/>
    <n v="96.12"/>
    <n v="0.05"/>
    <n v="182.63"/>
    <n v="192.24"/>
  </r>
  <r>
    <s v="K7-11598"/>
    <d v="2026-05-29T00:00:00"/>
    <s v="California"/>
    <s v="West"/>
    <s v="Retail Store"/>
    <s v="New"/>
    <s v="Accessories"/>
    <s v="Canvas Tote"/>
    <s v="Ava Brooks"/>
    <n v="8"/>
    <n v="35.42"/>
    <n v="0"/>
    <n v="283.36"/>
    <n v="283.36"/>
  </r>
  <r>
    <s v="K7-11599"/>
    <d v="2026-05-04T00:00:00"/>
    <s v="California"/>
    <s v="West"/>
    <s v="Retail Store"/>
    <s v="Returning"/>
    <s v="Footwear"/>
    <s v="Suede Loafer"/>
    <s v="Dylan Foster"/>
    <n v="3"/>
    <n v="152.75"/>
    <n v="0.15"/>
    <n v="389.51"/>
    <n v="458.25"/>
  </r>
  <r>
    <s v="K7-11600"/>
    <d v="2026-01-11T00:00:00"/>
    <s v="Missouri"/>
    <s v="Midwest"/>
    <s v="Retail Store"/>
    <s v="Returning"/>
    <s v="Bottoms"/>
    <s v="Cargo Pant"/>
    <s v="Jonah Wright"/>
    <n v="2"/>
    <n v="87.47"/>
    <n v="0"/>
    <n v="174.94"/>
    <n v="174.94"/>
  </r>
  <r>
    <s v="K7-11601"/>
    <d v="2026-03-02T00:00:00"/>
    <s v="Florida"/>
    <s v="South"/>
    <s v="Online"/>
    <s v="Returning"/>
    <s v="Tops"/>
    <s v="Striped Polo"/>
    <s v="Dylan Foster"/>
    <n v="6"/>
    <n v="53.77"/>
    <n v="0.3"/>
    <n v="225.83"/>
    <n v="322.62"/>
  </r>
  <r>
    <s v="K7-11602"/>
    <d v="2026-11-30T00:00:00"/>
    <s v="New Jersey"/>
    <s v="Northeast"/>
    <s v="Marketplace"/>
    <s v="New"/>
    <s v="Footwear"/>
    <s v="Canvas Sneaker"/>
    <s v="Marcus Reed"/>
    <n v="8"/>
    <n v="85.77"/>
    <n v="0.05"/>
    <n v="651.85"/>
    <n v="686.16"/>
  </r>
  <r>
    <s v="K7-11603"/>
    <d v="2026-08-05T00:00:00"/>
    <s v="Maryland"/>
    <s v="South"/>
    <s v="Retail Store"/>
    <s v="New"/>
    <s v="Tops"/>
    <s v="Classic Tee"/>
    <s v="Noor Haddad"/>
    <n v="2"/>
    <n v="33.450000000000003"/>
    <n v="0"/>
    <n v="66.900000000000006"/>
    <n v="66.900000000000006"/>
  </r>
  <r>
    <s v="K7-11604"/>
    <d v="2026-12-06T00:00:00"/>
    <s v="Nevada"/>
    <s v="West"/>
    <s v="Online"/>
    <s v="Returning"/>
    <s v="Accessories"/>
    <s v="Silk Scarf"/>
    <s v="Dylan Foster"/>
    <n v="6"/>
    <n v="58.22"/>
    <n v="0"/>
    <n v="349.32"/>
    <n v="349.32"/>
  </r>
  <r>
    <s v="K7-11605"/>
    <d v="2026-11-08T00:00:00"/>
    <s v="Texas"/>
    <s v="South"/>
    <s v="Online"/>
    <s v="New"/>
    <s v="Outerwear"/>
    <s v="Hooded Parka"/>
    <s v="Marcus Reed"/>
    <n v="13"/>
    <n v="246.24"/>
    <n v="0"/>
    <n v="3201.12"/>
    <n v="3201.12"/>
  </r>
  <r>
    <s v="K7-11606"/>
    <d v="2026-07-26T00:00:00"/>
    <s v="Virginia"/>
    <s v="South"/>
    <s v="Marketplace"/>
    <s v="Returning"/>
    <s v="Tops"/>
    <s v="Classic Tee"/>
    <s v="Ava Brooks"/>
    <n v="1"/>
    <n v="30.65"/>
    <n v="0"/>
    <n v="30.65"/>
    <n v="30.65"/>
  </r>
  <r>
    <s v="K7-11607"/>
    <d v="2026-06-01T00:00:00"/>
    <s v="Indiana"/>
    <s v="Midwest"/>
    <s v="Online"/>
    <s v="New"/>
    <s v="Bottoms"/>
    <s v="Cargo Pant"/>
    <s v="Ava Brooks"/>
    <n v="1"/>
    <n v="85.56"/>
    <n v="0"/>
    <n v="85.56"/>
    <n v="85.56"/>
  </r>
  <r>
    <s v="K7-11608"/>
    <d v="2026-03-29T00:00:00"/>
    <s v="Illinois"/>
    <s v="Midwest"/>
    <s v="Retail Store"/>
    <s v="New"/>
    <s v="Bottoms"/>
    <s v="Slim Chino"/>
    <s v="Elena Vargas"/>
    <n v="1"/>
    <n v="72.819999999999993"/>
    <n v="0"/>
    <n v="72.819999999999993"/>
    <n v="72.819999999999993"/>
  </r>
  <r>
    <s v="K7-11609"/>
    <d v="2026-04-09T00:00:00"/>
    <s v="Texas"/>
    <s v="South"/>
    <s v="Wholesale"/>
    <s v="New"/>
    <s v="Tops"/>
    <s v="Classic Tee"/>
    <s v="Jonah Wright"/>
    <n v="3"/>
    <n v="29.83"/>
    <n v="0"/>
    <n v="89.49"/>
    <n v="89.49"/>
  </r>
  <r>
    <s v="K7-11610"/>
    <d v="2026-07-09T00:00:00"/>
    <s v="Florida"/>
    <s v="South"/>
    <s v="Online"/>
    <s v="New"/>
    <s v="Dresses"/>
    <s v="Wrap Dress"/>
    <s v="Elena Vargas"/>
    <n v="1"/>
    <n v="118.22"/>
    <n v="0"/>
    <n v="118.22"/>
    <n v="118.22"/>
  </r>
  <r>
    <s v="K7-11611"/>
    <d v="2026-06-17T00:00:00"/>
    <s v="Florida"/>
    <s v="South"/>
    <s v="Online"/>
    <s v="New"/>
    <s v="Tops"/>
    <s v="Striped Polo"/>
    <s v="Ava Brooks"/>
    <n v="3"/>
    <n v="55.13"/>
    <n v="0.1"/>
    <n v="148.85"/>
    <n v="165.39000000000001"/>
  </r>
  <r>
    <s v="K7-11612"/>
    <d v="2026-09-17T00:00:00"/>
    <s v="Arizona"/>
    <s v="West"/>
    <s v="Marketplace"/>
    <s v="Returning"/>
    <s v="Tops"/>
    <s v="Oxford Shirt"/>
    <s v="Ava Brooks"/>
    <n v="2"/>
    <n v="71.56"/>
    <n v="0"/>
    <n v="143.12"/>
    <n v="143.12"/>
  </r>
  <r>
    <s v="K7-11613"/>
    <d v="2026-12-03T00:00:00"/>
    <s v="Washington"/>
    <s v="West"/>
    <s v="Retail Store"/>
    <s v="Returning"/>
    <s v="Accessories"/>
    <s v="Silk Scarf"/>
    <s v="Grace Okafor"/>
    <n v="1"/>
    <n v="58.61"/>
    <n v="0"/>
    <n v="58.61"/>
    <n v="58.61"/>
  </r>
  <r>
    <s v="K7-11614"/>
    <d v="2026-02-09T00:00:00"/>
    <s v="Georgia"/>
    <s v="South"/>
    <s v="Online"/>
    <s v="Returning"/>
    <s v="Footwear"/>
    <s v="Leather Boot"/>
    <s v="Elena Vargas"/>
    <n v="6"/>
    <n v="212.51"/>
    <n v="0"/>
    <n v="1275.06"/>
    <n v="1275.06"/>
  </r>
  <r>
    <s v="K7-11615"/>
    <d v="2026-05-06T00:00:00"/>
    <s v="Louisiana"/>
    <s v="South"/>
    <s v="Marketplace"/>
    <s v="New"/>
    <s v="Footwear"/>
    <s v="Canvas Sneaker"/>
    <s v="Marcus Reed"/>
    <n v="3"/>
    <n v="86.71"/>
    <n v="0"/>
    <n v="260.13"/>
    <n v="260.13"/>
  </r>
  <r>
    <s v="K7-11616"/>
    <d v="2026-08-25T00:00:00"/>
    <s v="California"/>
    <s v="West"/>
    <s v="Wholesale"/>
    <s v="Returning"/>
    <s v="Bottoms"/>
    <s v="Tailored Short"/>
    <s v="Dylan Foster"/>
    <n v="1"/>
    <n v="59.08"/>
    <n v="0.05"/>
    <n v="56.13"/>
    <n v="59.08"/>
  </r>
  <r>
    <s v="K7-11617"/>
    <d v="2026-11-04T00:00:00"/>
    <s v="Nevada"/>
    <s v="West"/>
    <s v="Online"/>
    <s v="New"/>
    <s v="Bottoms"/>
    <s v="Tailored Short"/>
    <s v="Elena Vargas"/>
    <n v="18"/>
    <n v="58.06"/>
    <n v="0"/>
    <n v="1045.08"/>
    <n v="1045.08"/>
  </r>
  <r>
    <s v="K7-11618"/>
    <d v="2026-11-06T00:00:00"/>
    <s v="Arizona"/>
    <s v="West"/>
    <s v="Wholesale"/>
    <s v="Returning"/>
    <s v="Bottoms"/>
    <s v="Straight Jeans"/>
    <s v="Marcus Reed"/>
    <n v="4"/>
    <n v="98.02"/>
    <n v="0"/>
    <n v="392.08"/>
    <n v="392.08"/>
  </r>
  <r>
    <s v="K7-11619"/>
    <d v="2026-07-26T00:00:00"/>
    <s v="Utah"/>
    <s v="West"/>
    <s v="Online"/>
    <s v="Returning"/>
    <s v="Tops"/>
    <s v="Oxford Shirt"/>
    <s v="Elena Vargas"/>
    <n v="1"/>
    <n v="69.12"/>
    <n v="0"/>
    <n v="69.12"/>
    <n v="69.12"/>
  </r>
  <r>
    <s v="K7-11620"/>
    <d v="2026-11-11T00:00:00"/>
    <s v="Pennsylvania"/>
    <s v="Northeast"/>
    <s v="Wholesale"/>
    <s v="New"/>
    <s v="Outerwear"/>
    <s v="Denim Trucker"/>
    <s v="Marcus Reed"/>
    <n v="5"/>
    <n v="126.96"/>
    <n v="0"/>
    <n v="634.79999999999995"/>
    <n v="634.79999999999995"/>
  </r>
  <r>
    <s v="K7-11621"/>
    <d v="2026-07-17T00:00:00"/>
    <s v="Connecticut"/>
    <s v="Northeast"/>
    <s v="Online"/>
    <s v="Returning"/>
    <s v="Tops"/>
    <s v="Oxford Shirt"/>
    <s v="Dylan Foster"/>
    <n v="3"/>
    <n v="71.63"/>
    <n v="0.1"/>
    <n v="193.4"/>
    <n v="214.89"/>
  </r>
  <r>
    <s v="K7-11622"/>
    <d v="2026-07-16T00:00:00"/>
    <s v="Florida"/>
    <s v="South"/>
    <s v="Retail Store"/>
    <s v="Returning"/>
    <s v="Dresses"/>
    <s v="Wrap Dress"/>
    <s v="Priya Nair"/>
    <n v="1"/>
    <n v="114.43"/>
    <n v="0"/>
    <n v="114.43"/>
    <n v="114.43"/>
  </r>
  <r>
    <s v="K7-11623"/>
    <d v="2026-09-12T00:00:00"/>
    <s v="Washington"/>
    <s v="West"/>
    <s v="Online"/>
    <s v="New"/>
    <s v="Outerwear"/>
    <s v="Denim Trucker"/>
    <s v="Noor Haddad"/>
    <n v="2"/>
    <n v="130.08000000000001"/>
    <n v="0"/>
    <n v="260.16000000000003"/>
    <n v="260.16000000000003"/>
  </r>
  <r>
    <s v="K7-11624"/>
    <d v="2026-06-15T00:00:00"/>
    <s v="Washington"/>
    <s v="West"/>
    <s v="Marketplace"/>
    <s v="New"/>
    <s v="Outerwear"/>
    <s v="Wool Overcoat"/>
    <s v="Noor Haddad"/>
    <n v="2"/>
    <n v="271.98"/>
    <n v="0"/>
    <n v="543.96"/>
    <n v="543.96"/>
  </r>
  <r>
    <s v="K7-11625"/>
    <d v="2026-06-10T00:00:00"/>
    <s v="North Carolina"/>
    <s v="South"/>
    <s v="Retail Store"/>
    <s v="Returning"/>
    <s v="Footwear"/>
    <s v="Suede Loafer"/>
    <s v="Priya Nair"/>
    <n v="1"/>
    <n v="147.68"/>
    <n v="0"/>
    <n v="147.68"/>
    <n v="147.68"/>
  </r>
  <r>
    <s v="K7-11626"/>
    <d v="2026-11-19T00:00:00"/>
    <s v="Ohio"/>
    <s v="Midwest"/>
    <s v="Retail Store"/>
    <s v="Returning"/>
    <s v="Bottoms"/>
    <s v="Tailored Short"/>
    <s v="Dylan Foster"/>
    <n v="5"/>
    <n v="56.27"/>
    <n v="0"/>
    <n v="281.35000000000002"/>
    <n v="281.35000000000002"/>
  </r>
  <r>
    <s v="K7-11627"/>
    <d v="2026-06-25T00:00:00"/>
    <s v="Arizona"/>
    <s v="West"/>
    <s v="Marketplace"/>
    <s v="Returning"/>
    <s v="Bottoms"/>
    <s v="Tailored Short"/>
    <s v="Grace Okafor"/>
    <n v="1"/>
    <n v="56.44"/>
    <n v="0"/>
    <n v="56.44"/>
    <n v="56.44"/>
  </r>
  <r>
    <s v="K7-11628"/>
    <d v="2026-09-14T00:00:00"/>
    <s v="Ohio"/>
    <s v="Midwest"/>
    <s v="Marketplace"/>
    <s v="New"/>
    <s v="Bottoms"/>
    <s v="Slim Chino"/>
    <s v="Marcus Reed"/>
    <n v="1"/>
    <n v="73.2"/>
    <n v="0"/>
    <n v="73.2"/>
    <n v="73.2"/>
  </r>
  <r>
    <s v="K7-11629"/>
    <d v="2026-08-10T00:00:00"/>
    <s v="Texas"/>
    <s v="South"/>
    <s v="Marketplace"/>
    <s v="Returning"/>
    <s v="Outerwear"/>
    <s v="Wool Overcoat"/>
    <s v="Dylan Foster"/>
    <n v="4"/>
    <n v="310.33999999999997"/>
    <n v="0.15"/>
    <n v="1055.1600000000001"/>
    <n v="1241.3599999999999"/>
  </r>
  <r>
    <s v="K7-11630"/>
    <d v="2026-12-04T00:00:00"/>
    <s v="Maryland"/>
    <s v="South"/>
    <s v="Retail Store"/>
    <s v="Returning"/>
    <s v="Footwear"/>
    <s v="Suede Loafer"/>
    <s v="Dylan Foster"/>
    <n v="1"/>
    <n v="162.34"/>
    <n v="0"/>
    <n v="162.34"/>
    <n v="162.34"/>
  </r>
  <r>
    <s v="K7-11631"/>
    <d v="2026-05-16T00:00:00"/>
    <s v="California"/>
    <s v="West"/>
    <s v="Marketplace"/>
    <s v="Returning"/>
    <s v="Tops"/>
    <s v="Oxford Shirt"/>
    <s v="Grace Okafor"/>
    <n v="3"/>
    <n v="62.65"/>
    <n v="0"/>
    <n v="187.95"/>
    <n v="187.95"/>
  </r>
  <r>
    <s v="K7-11632"/>
    <d v="2026-12-08T00:00:00"/>
    <s v="Ohio"/>
    <s v="Midwest"/>
    <s v="Online"/>
    <s v="Returning"/>
    <s v="Tops"/>
    <s v="Classic Tee"/>
    <s v="Marcus Reed"/>
    <n v="6"/>
    <n v="34.54"/>
    <n v="0"/>
    <n v="207.24"/>
    <n v="207.24"/>
  </r>
  <r>
    <s v="K7-11633"/>
    <d v="2026-05-09T00:00:00"/>
    <s v="New Jersey"/>
    <s v="Northeast"/>
    <s v="Online"/>
    <s v="New"/>
    <s v="Tops"/>
    <s v="Striped Polo"/>
    <s v="Noor Haddad"/>
    <n v="2"/>
    <n v="55.7"/>
    <n v="0.05"/>
    <n v="105.83"/>
    <n v="111.4"/>
  </r>
  <r>
    <s v="K7-11634"/>
    <d v="2026-05-07T00:00:00"/>
    <s v="Illinois"/>
    <s v="Midwest"/>
    <s v="Retail Store"/>
    <s v="New"/>
    <s v="Bottoms"/>
    <s v="Slim Chino"/>
    <s v="Ava Brooks"/>
    <n v="1"/>
    <n v="74.33"/>
    <n v="0.05"/>
    <n v="70.61"/>
    <n v="74.33"/>
  </r>
  <r>
    <s v="K7-11635"/>
    <d v="2026-05-12T00:00:00"/>
    <s v="Illinois"/>
    <s v="Midwest"/>
    <s v="Marketplace"/>
    <s v="Returning"/>
    <s v="Footwear"/>
    <s v="Canvas Sneaker"/>
    <s v="Jonah Wright"/>
    <n v="1"/>
    <n v="83.19"/>
    <n v="0"/>
    <n v="83.19"/>
    <n v="83.19"/>
  </r>
  <r>
    <s v="K7-11636"/>
    <d v="2026-07-08T00:00:00"/>
    <s v="New Jersey"/>
    <s v="Northeast"/>
    <s v="Retail Store"/>
    <s v="Returning"/>
    <s v="Dresses"/>
    <s v="Linen Shirt Dress"/>
    <s v="Grace Okafor"/>
    <n v="1"/>
    <n v="134.31"/>
    <n v="0.05"/>
    <n v="127.59"/>
    <n v="134.31"/>
  </r>
  <r>
    <s v="K7-11637"/>
    <d v="2026-03-19T00:00:00"/>
    <s v="Georgia"/>
    <s v="South"/>
    <s v="Marketplace"/>
    <s v="New"/>
    <s v="Tops"/>
    <s v="Classic Tee"/>
    <s v="Ava Brooks"/>
    <n v="5"/>
    <n v="31.56"/>
    <n v="0"/>
    <n v="157.80000000000001"/>
    <n v="157.79999999999998"/>
  </r>
  <r>
    <s v="K7-11638"/>
    <d v="2026-08-15T00:00:00"/>
    <s v="Ohio"/>
    <s v="Midwest"/>
    <s v="Wholesale"/>
    <s v="New"/>
    <s v="Accessories"/>
    <s v="Canvas Tote"/>
    <s v="Ava Brooks"/>
    <n v="2"/>
    <n v="36.82"/>
    <n v="0"/>
    <n v="73.64"/>
    <n v="73.64"/>
  </r>
  <r>
    <s v="K7-11639"/>
    <d v="2026-08-17T00:00:00"/>
    <s v="New Jersey"/>
    <s v="Northeast"/>
    <s v="Marketplace"/>
    <s v="Returning"/>
    <s v="Footwear"/>
    <s v="Leather Boot"/>
    <s v="Marcus Reed"/>
    <n v="3"/>
    <n v="211.68"/>
    <n v="0.2"/>
    <n v="508.03"/>
    <n v="635.04"/>
  </r>
  <r>
    <s v="K7-11640"/>
    <d v="2026-08-19T00:00:00"/>
    <s v="Michigan"/>
    <s v="Midwest"/>
    <s v="Retail Store"/>
    <s v="New"/>
    <s v="Bottoms"/>
    <s v="Tailored Short"/>
    <s v="Noor Haddad"/>
    <n v="10"/>
    <n v="55.49"/>
    <n v="0"/>
    <n v="554.9"/>
    <n v="554.9"/>
  </r>
  <r>
    <s v="K7-11641"/>
    <d v="2026-07-10T00:00:00"/>
    <s v="Massachusetts"/>
    <s v="Northeast"/>
    <s v="Online"/>
    <s v="Returning"/>
    <s v="Bottoms"/>
    <s v="Slim Chino"/>
    <s v="Marcus Reed"/>
    <n v="4"/>
    <n v="71.900000000000006"/>
    <n v="0"/>
    <n v="287.60000000000002"/>
    <n v="287.60000000000002"/>
  </r>
  <r>
    <s v="K7-11642"/>
    <d v="2026-12-25T00:00:00"/>
    <s v="New York"/>
    <s v="Northeast"/>
    <s v="Retail Store"/>
    <s v="New"/>
    <s v="Outerwear"/>
    <s v="Wool Overcoat"/>
    <s v="Ava Brooks"/>
    <n v="1"/>
    <n v="285.48"/>
    <n v="0"/>
    <n v="285.48"/>
    <n v="285.48"/>
  </r>
  <r>
    <s v="K7-11643"/>
    <d v="2026-09-21T00:00:00"/>
    <s v="Maryland"/>
    <s v="South"/>
    <s v="Online"/>
    <s v="Returning"/>
    <s v="Dresses"/>
    <s v="Linen Shirt Dress"/>
    <s v="Noor Haddad"/>
    <n v="2"/>
    <n v="137.72999999999999"/>
    <n v="0.3"/>
    <n v="192.82"/>
    <n v="275.45999999999998"/>
  </r>
  <r>
    <s v="K7-11644"/>
    <d v="2026-11-26T00:00:00"/>
    <s v="Illinois"/>
    <s v="Midwest"/>
    <s v="Retail Store"/>
    <s v="Returning"/>
    <s v="Outerwear"/>
    <s v="Denim Trucker"/>
    <s v="Priya Nair"/>
    <n v="4"/>
    <n v="131.16"/>
    <n v="0.15"/>
    <n v="445.94"/>
    <n v="524.64"/>
  </r>
  <r>
    <s v="K7-11645"/>
    <d v="2026-12-04T00:00:00"/>
    <s v="Utah"/>
    <s v="West"/>
    <s v="Retail Store"/>
    <s v="Returning"/>
    <s v="Bottoms"/>
    <s v="Tailored Short"/>
    <s v="Ava Brooks"/>
    <n v="3"/>
    <n v="61.05"/>
    <n v="0"/>
    <n v="183.15"/>
    <n v="183.14999999999998"/>
  </r>
  <r>
    <s v="K7-11646"/>
    <d v="2026-10-05T00:00:00"/>
    <s v="Georgia"/>
    <s v="South"/>
    <s v="Retail Store"/>
    <s v="Returning"/>
    <s v="Outerwear"/>
    <s v="Quilted Jacket"/>
    <s v="Dylan Foster"/>
    <n v="2"/>
    <n v="179.02"/>
    <n v="0"/>
    <n v="358.04"/>
    <n v="358.04"/>
  </r>
  <r>
    <s v="K7-11647"/>
    <d v="2026-03-01T00:00:00"/>
    <s v="Missouri"/>
    <s v="Midwest"/>
    <s v="Online"/>
    <s v="New"/>
    <s v="Bottoms"/>
    <s v="Cargo Pant"/>
    <s v="Marcus Reed"/>
    <n v="10"/>
    <n v="84.61"/>
    <n v="0"/>
    <n v="846.1"/>
    <n v="846.1"/>
  </r>
  <r>
    <s v="K7-11648"/>
    <d v="2026-04-05T00:00:00"/>
    <s v="Ohio"/>
    <s v="Midwest"/>
    <s v="Marketplace"/>
    <s v="New"/>
    <s v="Dresses"/>
    <s v="Wrap Dress"/>
    <s v="Jonah Wright"/>
    <n v="11"/>
    <n v="124.56"/>
    <n v="0.1"/>
    <n v="1233.1400000000001"/>
    <n v="1370.16"/>
  </r>
  <r>
    <s v="K7-11649"/>
    <d v="2026-07-05T00:00:00"/>
    <s v="Maryland"/>
    <s v="South"/>
    <s v="Retail Store"/>
    <s v="Returning"/>
    <s v="Tops"/>
    <s v="Striped Polo"/>
    <s v="Dylan Foster"/>
    <n v="4"/>
    <n v="50.94"/>
    <n v="0.15"/>
    <n v="173.2"/>
    <n v="203.76"/>
  </r>
  <r>
    <s v="K7-11650"/>
    <d v="2026-03-02T00:00:00"/>
    <s v="California"/>
    <s v="West"/>
    <s v="Marketplace"/>
    <s v="New"/>
    <s v="Tops"/>
    <s v="Classic Tee"/>
    <s v="Grace Okafor"/>
    <n v="1"/>
    <n v="33.01"/>
    <n v="0"/>
    <n v="33.01"/>
    <n v="33.01"/>
  </r>
  <r>
    <s v="K7-11651"/>
    <d v="2026-04-20T00:00:00"/>
    <s v="New York"/>
    <s v="Northeast"/>
    <s v="Online"/>
    <s v="New"/>
    <s v="Footwear"/>
    <s v="Canvas Sneaker"/>
    <s v="Priya Nair"/>
    <n v="2"/>
    <n v="91.11"/>
    <n v="0"/>
    <n v="182.22"/>
    <n v="182.22"/>
  </r>
  <r>
    <s v="K7-11652"/>
    <d v="2026-03-01T00:00:00"/>
    <s v="Georgia"/>
    <s v="South"/>
    <s v="Retail Store"/>
    <s v="New"/>
    <s v="Outerwear"/>
    <s v="Quilted Jacket"/>
    <s v="Elena Vargas"/>
    <n v="2"/>
    <n v="177"/>
    <n v="0.1"/>
    <n v="318.60000000000002"/>
    <n v="354"/>
  </r>
  <r>
    <s v="K7-11653"/>
    <d v="2026-03-19T00:00:00"/>
    <s v="California"/>
    <s v="West"/>
    <s v="Online"/>
    <s v="Returning"/>
    <s v="Footwear"/>
    <s v="Leather Boot"/>
    <s v="Elena Vargas"/>
    <n v="1"/>
    <n v="201.17"/>
    <n v="0"/>
    <n v="201.17"/>
    <n v="201.17"/>
  </r>
  <r>
    <s v="K7-11654"/>
    <d v="2026-03-03T00:00:00"/>
    <s v="Texas"/>
    <s v="South"/>
    <s v="Retail Store"/>
    <s v="Returning"/>
    <s v="Outerwear"/>
    <s v="Denim Trucker"/>
    <s v="Elena Vargas"/>
    <n v="2"/>
    <n v="130.41"/>
    <n v="0"/>
    <n v="260.82"/>
    <n v="260.82"/>
  </r>
  <r>
    <s v="K7-11655"/>
    <d v="2026-05-28T00:00:00"/>
    <s v="Florida"/>
    <s v="South"/>
    <s v="Marketplace"/>
    <s v="Returning"/>
    <s v="Outerwear"/>
    <s v="Hooded Parka"/>
    <s v="Ava Brooks"/>
    <n v="8"/>
    <n v="256.13"/>
    <n v="0"/>
    <n v="2049.04"/>
    <n v="2049.04"/>
  </r>
  <r>
    <s v="K7-11656"/>
    <d v="2026-11-04T00:00:00"/>
    <s v="Texas"/>
    <s v="South"/>
    <s v="Wholesale"/>
    <s v="Returning"/>
    <s v="Footwear"/>
    <s v="Leather Boot"/>
    <s v="Noor Haddad"/>
    <n v="1"/>
    <n v="226.71"/>
    <n v="0"/>
    <n v="226.71"/>
    <n v="226.71"/>
  </r>
  <r>
    <s v="K7-11657"/>
    <d v="2026-03-17T00:00:00"/>
    <s v="Missouri"/>
    <s v="Midwest"/>
    <s v="Marketplace"/>
    <s v="Returning"/>
    <s v="Outerwear"/>
    <s v="Hooded Parka"/>
    <s v="Marcus Reed"/>
    <n v="3"/>
    <n v="255.7"/>
    <n v="0"/>
    <n v="767.1"/>
    <n v="767.09999999999991"/>
  </r>
  <r>
    <s v="K7-11658"/>
    <d v="2026-06-18T00:00:00"/>
    <s v="Arizona"/>
    <s v="West"/>
    <s v="Online"/>
    <s v="New"/>
    <s v="Footwear"/>
    <s v="Leather Boot"/>
    <s v="Grace Okafor"/>
    <n v="5"/>
    <n v="230.86"/>
    <n v="0"/>
    <n v="1154.3"/>
    <n v="1154.3000000000002"/>
  </r>
  <r>
    <s v="K7-11659"/>
    <d v="2026-09-03T00:00:00"/>
    <s v="Nevada"/>
    <s v="West"/>
    <s v="Marketplace"/>
    <s v="New"/>
    <s v="Dresses"/>
    <s v="Wrap Dress"/>
    <s v="Marcus Reed"/>
    <n v="1"/>
    <n v="111.14"/>
    <n v="0"/>
    <n v="111.14"/>
    <n v="111.14"/>
  </r>
  <r>
    <s v="K7-11660"/>
    <d v="2026-04-20T00:00:00"/>
    <s v="California"/>
    <s v="West"/>
    <s v="Online"/>
    <s v="New"/>
    <s v="Tops"/>
    <s v="Striped Polo"/>
    <s v="Noor Haddad"/>
    <n v="2"/>
    <n v="52.7"/>
    <n v="0"/>
    <n v="105.4"/>
    <n v="105.4"/>
  </r>
  <r>
    <s v="K7-11661"/>
    <d v="2026-06-30T00:00:00"/>
    <s v="Virginia"/>
    <s v="South"/>
    <s v="Online"/>
    <s v="Returning"/>
    <s v="Footwear"/>
    <s v="Canvas Sneaker"/>
    <s v="Grace Okafor"/>
    <n v="1"/>
    <n v="94.12"/>
    <n v="0.1"/>
    <n v="84.71"/>
    <n v="94.12"/>
  </r>
  <r>
    <s v="K7-11662"/>
    <d v="2026-05-11T00:00:00"/>
    <s v="California"/>
    <s v="West"/>
    <s v="Online"/>
    <s v="Returning"/>
    <s v="Tops"/>
    <s v="Henley Long Sleeve"/>
    <s v="Marcus Reed"/>
    <n v="1"/>
    <n v="43.58"/>
    <n v="0"/>
    <n v="43.58"/>
    <n v="43.58"/>
  </r>
  <r>
    <s v="K7-11663"/>
    <d v="2026-08-14T00:00:00"/>
    <s v="Texas"/>
    <s v="South"/>
    <s v="Marketplace"/>
    <s v="New"/>
    <s v="Footwear"/>
    <s v="Suede Loafer"/>
    <s v="Elena Vargas"/>
    <n v="2"/>
    <n v="166.63"/>
    <n v="0.2"/>
    <n v="266.61"/>
    <n v="333.26"/>
  </r>
  <r>
    <s v="K7-11664"/>
    <d v="2026-11-25T00:00:00"/>
    <s v="Maryland"/>
    <s v="South"/>
    <s v="Retail Store"/>
    <s v="New"/>
    <s v="Footwear"/>
    <s v="Suede Loafer"/>
    <s v="Ava Brooks"/>
    <n v="4"/>
    <n v="160.65"/>
    <n v="0.05"/>
    <n v="610.47"/>
    <n v="642.6"/>
  </r>
  <r>
    <s v="K7-11665"/>
    <d v="2026-11-07T00:00:00"/>
    <s v="Florida"/>
    <s v="South"/>
    <s v="Retail Store"/>
    <s v="Returning"/>
    <s v="Dresses"/>
    <s v="Wrap Dress"/>
    <s v="Noor Haddad"/>
    <n v="10"/>
    <n v="114.37"/>
    <n v="0.05"/>
    <n v="1086.52"/>
    <n v="1143.7"/>
  </r>
  <r>
    <s v="K7-11666"/>
    <d v="2026-02-25T00:00:00"/>
    <s v="Florida"/>
    <s v="South"/>
    <s v="Wholesale"/>
    <s v="Returning"/>
    <s v="Bottoms"/>
    <s v="Cargo Pant"/>
    <s v="Marcus Reed"/>
    <n v="1"/>
    <n v="80.09"/>
    <n v="0"/>
    <n v="80.09"/>
    <n v="80.09"/>
  </r>
  <r>
    <s v="K7-11667"/>
    <d v="2026-07-07T00:00:00"/>
    <s v="Illinois"/>
    <s v="Midwest"/>
    <s v="Online"/>
    <s v="Returning"/>
    <s v="Bottoms"/>
    <s v="Straight Jeans"/>
    <s v="Grace Okafor"/>
    <n v="1"/>
    <n v="86.21"/>
    <n v="0"/>
    <n v="86.21"/>
    <n v="86.21"/>
  </r>
  <r>
    <s v="K7-11668"/>
    <d v="2026-02-17T00:00:00"/>
    <s v="New York"/>
    <s v="Northeast"/>
    <s v="Online"/>
    <s v="Returning"/>
    <s v="Footwear"/>
    <s v="Suede Loafer"/>
    <s v="Jonah Wright"/>
    <n v="1"/>
    <n v="153.37"/>
    <n v="0"/>
    <n v="153.37"/>
    <n v="153.37"/>
  </r>
  <r>
    <s v="K7-11669"/>
    <d v="2026-11-03T00:00:00"/>
    <s v="Pennsylvania"/>
    <s v="Northeast"/>
    <s v="Retail Store"/>
    <s v="Returning"/>
    <s v="Footwear"/>
    <s v="Leather Boot"/>
    <s v="Grace Okafor"/>
    <n v="18"/>
    <n v="200.91"/>
    <n v="0.15"/>
    <n v="3073.92"/>
    <n v="3616.38"/>
  </r>
  <r>
    <s v="K7-11670"/>
    <d v="2026-05-07T00:00:00"/>
    <s v="Minnesota"/>
    <s v="Midwest"/>
    <s v="Wholesale"/>
    <s v="Returning"/>
    <s v="Dresses"/>
    <s v="Midi Slip Dress"/>
    <s v="Grace Okafor"/>
    <n v="2"/>
    <n v="98.16"/>
    <n v="0"/>
    <n v="196.32"/>
    <n v="196.32"/>
  </r>
  <r>
    <s v="K7-11671"/>
    <d v="2026-11-12T00:00:00"/>
    <s v="Pennsylvania"/>
    <s v="Northeast"/>
    <s v="Online"/>
    <s v="Returning"/>
    <s v="Bottoms"/>
    <s v="Tailored Short"/>
    <s v="Grace Okafor"/>
    <n v="2"/>
    <n v="60"/>
    <n v="0"/>
    <n v="120"/>
    <n v="120"/>
  </r>
  <r>
    <s v="K7-11672"/>
    <d v="2026-02-04T00:00:00"/>
    <s v="Texas"/>
    <s v="South"/>
    <s v="Marketplace"/>
    <s v="New"/>
    <s v="Outerwear"/>
    <s v="Hooded Parka"/>
    <s v="Grace Okafor"/>
    <n v="11"/>
    <n v="258.06"/>
    <n v="0"/>
    <n v="2838.66"/>
    <n v="2838.66"/>
  </r>
  <r>
    <s v="K7-11673"/>
    <d v="2026-08-14T00:00:00"/>
    <s v="Pennsylvania"/>
    <s v="Northeast"/>
    <s v="Retail Store"/>
    <s v="Returning"/>
    <s v="Footwear"/>
    <s v="Leather Boot"/>
    <s v="Marcus Reed"/>
    <n v="1"/>
    <n v="207.45"/>
    <n v="0"/>
    <n v="207.45"/>
    <n v="207.45"/>
  </r>
  <r>
    <s v="K7-11674"/>
    <d v="2026-08-25T00:00:00"/>
    <s v="Pennsylvania"/>
    <s v="Northeast"/>
    <s v="Marketplace"/>
    <s v="New"/>
    <s v="Tops"/>
    <s v="Striped Polo"/>
    <s v="Ava Brooks"/>
    <n v="4"/>
    <n v="54.29"/>
    <n v="0"/>
    <n v="217.16"/>
    <n v="217.16"/>
  </r>
  <r>
    <s v="K7-11675"/>
    <d v="2026-09-27T00:00:00"/>
    <s v="Colorado"/>
    <s v="West"/>
    <s v="Online"/>
    <s v="Returning"/>
    <s v="Footwear"/>
    <s v="Leather Boot"/>
    <s v="Marcus Reed"/>
    <n v="11"/>
    <n v="198.2"/>
    <n v="0"/>
    <n v="2180.1999999999998"/>
    <n v="2180.1999999999998"/>
  </r>
  <r>
    <s v="K7-11676"/>
    <d v="2026-06-21T00:00:00"/>
    <s v="Florida"/>
    <s v="South"/>
    <s v="Retail Store"/>
    <s v="Returning"/>
    <s v="Dresses"/>
    <s v="Midi Slip Dress"/>
    <s v="Grace Okafor"/>
    <n v="1"/>
    <n v="102.52"/>
    <n v="0"/>
    <n v="102.52"/>
    <n v="102.52"/>
  </r>
  <r>
    <s v="K7-11677"/>
    <d v="2026-08-12T00:00:00"/>
    <s v="South Carolina"/>
    <s v="South"/>
    <s v="Retail Store"/>
    <s v="Returning"/>
    <s v="Tops"/>
    <s v="Striped Polo"/>
    <s v="Marcus Reed"/>
    <n v="1"/>
    <n v="50.47"/>
    <n v="0"/>
    <n v="50.47"/>
    <n v="50.47"/>
  </r>
  <r>
    <s v="K7-11678"/>
    <d v="2026-10-25T00:00:00"/>
    <s v="California"/>
    <s v="West"/>
    <s v="Wholesale"/>
    <s v="New"/>
    <s v="Outerwear"/>
    <s v="Denim Trucker"/>
    <s v="Elena Vargas"/>
    <n v="1"/>
    <n v="129.72"/>
    <n v="0"/>
    <n v="129.72"/>
    <n v="129.72"/>
  </r>
  <r>
    <s v="K7-11679"/>
    <d v="2026-02-23T00:00:00"/>
    <s v="Texas"/>
    <s v="South"/>
    <s v="Marketplace"/>
    <s v="Returning"/>
    <s v="Footwear"/>
    <s v="Canvas Sneaker"/>
    <s v="Noor Haddad"/>
    <n v="1"/>
    <n v="83.12"/>
    <n v="0"/>
    <n v="83.12"/>
    <n v="83.12"/>
  </r>
  <r>
    <s v="K7-11680"/>
    <d v="2026-07-16T00:00:00"/>
    <s v="California"/>
    <s v="West"/>
    <s v="Marketplace"/>
    <s v="Returning"/>
    <s v="Accessories"/>
    <s v="Leather Belt"/>
    <s v="Priya Nair"/>
    <n v="2"/>
    <n v="46.38"/>
    <n v="0.15"/>
    <n v="78.849999999999994"/>
    <n v="92.76"/>
  </r>
  <r>
    <s v="K7-11681"/>
    <d v="2026-09-16T00:00:00"/>
    <s v="California"/>
    <s v="West"/>
    <s v="Retail Store"/>
    <s v="Returning"/>
    <s v="Dresses"/>
    <s v="Wrap Dress"/>
    <s v="Noor Haddad"/>
    <n v="2"/>
    <n v="123.6"/>
    <n v="0.05"/>
    <n v="234.84"/>
    <n v="247.2"/>
  </r>
  <r>
    <s v="K7-11682"/>
    <d v="2026-07-13T00:00:00"/>
    <s v="Virginia"/>
    <s v="South"/>
    <s v="Retail Store"/>
    <s v="Returning"/>
    <s v="Accessories"/>
    <s v="Leather Belt"/>
    <s v="Elena Vargas"/>
    <n v="1"/>
    <n v="45.87"/>
    <n v="0"/>
    <n v="45.87"/>
    <n v="45.87"/>
  </r>
  <r>
    <s v="K7-11683"/>
    <d v="2026-08-14T00:00:00"/>
    <s v="Georgia"/>
    <s v="South"/>
    <s v="Retail Store"/>
    <s v="New"/>
    <s v="Footwear"/>
    <s v="Leather Boot"/>
    <s v="Jonah Wright"/>
    <n v="10"/>
    <n v="214.24"/>
    <n v="0"/>
    <n v="2142.4"/>
    <n v="2142.4"/>
  </r>
  <r>
    <s v="K7-11684"/>
    <d v="2026-03-04T00:00:00"/>
    <s v="Georgia"/>
    <s v="South"/>
    <s v="Retail Store"/>
    <s v="Returning"/>
    <s v="Tops"/>
    <s v="Striped Polo"/>
    <s v="Marcus Reed"/>
    <n v="4"/>
    <n v="53.42"/>
    <n v="0"/>
    <n v="213.68"/>
    <n v="213.68"/>
  </r>
  <r>
    <s v="K7-11685"/>
    <d v="2026-10-26T00:00:00"/>
    <s v="Wisconsin"/>
    <s v="Midwest"/>
    <s v="Wholesale"/>
    <s v="Returning"/>
    <s v="Outerwear"/>
    <s v="Denim Trucker"/>
    <s v="Jonah Wright"/>
    <n v="4"/>
    <n v="120.24"/>
    <n v="0"/>
    <n v="480.96"/>
    <n v="480.96"/>
  </r>
  <r>
    <s v="K7-11686"/>
    <d v="2026-10-13T00:00:00"/>
    <s v="Texas"/>
    <s v="South"/>
    <s v="Wholesale"/>
    <s v="Returning"/>
    <s v="Bottoms"/>
    <s v="Tailored Short"/>
    <s v="Grace Okafor"/>
    <n v="6"/>
    <n v="56.8"/>
    <n v="0.1"/>
    <n v="306.72000000000003"/>
    <n v="340.79999999999995"/>
  </r>
  <r>
    <s v="K7-11687"/>
    <d v="2026-04-09T00:00:00"/>
    <s v="Texas"/>
    <s v="South"/>
    <s v="Retail Store"/>
    <s v="New"/>
    <s v="Footwear"/>
    <s v="Canvas Sneaker"/>
    <s v="Jonah Wright"/>
    <n v="2"/>
    <n v="89.45"/>
    <n v="0"/>
    <n v="178.9"/>
    <n v="178.9"/>
  </r>
  <r>
    <s v="K7-11688"/>
    <d v="2026-01-20T00:00:00"/>
    <s v="Colorado"/>
    <s v="West"/>
    <s v="Online"/>
    <s v="Returning"/>
    <s v="Tops"/>
    <s v="Classic Tee"/>
    <s v="Noor Haddad"/>
    <n v="1"/>
    <n v="34.549999999999997"/>
    <n v="0"/>
    <n v="34.549999999999997"/>
    <n v="34.549999999999997"/>
  </r>
  <r>
    <s v="K7-11689"/>
    <d v="2026-11-04T00:00:00"/>
    <s v="Georgia"/>
    <s v="South"/>
    <s v="Marketplace"/>
    <s v="Returning"/>
    <s v="Dresses"/>
    <s v="Linen Shirt Dress"/>
    <s v="Grace Okafor"/>
    <n v="2"/>
    <n v="139.77000000000001"/>
    <n v="0"/>
    <n v="279.54000000000002"/>
    <n v="279.54000000000002"/>
  </r>
  <r>
    <s v="K7-11690"/>
    <d v="2026-03-16T00:00:00"/>
    <s v="Colorado"/>
    <s v="West"/>
    <s v="Marketplace"/>
    <s v="New"/>
    <s v="Bottoms"/>
    <s v="Straight Jeans"/>
    <s v="Grace Okafor"/>
    <n v="1"/>
    <n v="95.23"/>
    <n v="0"/>
    <n v="95.23"/>
    <n v="95.23"/>
  </r>
  <r>
    <s v="K7-11691"/>
    <d v="2026-02-06T00:00:00"/>
    <s v="Indiana"/>
    <s v="Midwest"/>
    <s v="Retail Store"/>
    <s v="New"/>
    <s v="Tops"/>
    <s v="Oxford Shirt"/>
    <s v="Dylan Foster"/>
    <n v="1"/>
    <n v="72.88"/>
    <n v="0"/>
    <n v="72.88"/>
    <n v="72.88"/>
  </r>
  <r>
    <s v="K7-11692"/>
    <d v="2026-10-15T00:00:00"/>
    <s v="Texas"/>
    <s v="South"/>
    <s v="Retail Store"/>
    <s v="Returning"/>
    <s v="Dresses"/>
    <s v="Linen Shirt Dress"/>
    <s v="Priya Nair"/>
    <n v="10"/>
    <n v="139.44"/>
    <n v="0.2"/>
    <n v="1115.52"/>
    <n v="1394.4"/>
  </r>
  <r>
    <s v="K7-11693"/>
    <d v="2026-06-10T00:00:00"/>
    <s v="Texas"/>
    <s v="South"/>
    <s v="Marketplace"/>
    <s v="New"/>
    <s v="Accessories"/>
    <s v="Knit Beanie"/>
    <s v="Grace Okafor"/>
    <n v="7"/>
    <n v="25.38"/>
    <n v="0"/>
    <n v="177.66"/>
    <n v="177.66"/>
  </r>
  <r>
    <s v="K7-11694"/>
    <d v="2026-03-08T00:00:00"/>
    <s v="Connecticut"/>
    <s v="Northeast"/>
    <s v="Marketplace"/>
    <s v="Returning"/>
    <s v="Footwear"/>
    <s v="Canvas Sneaker"/>
    <s v="Ava Brooks"/>
    <n v="3"/>
    <n v="84.16"/>
    <n v="0.05"/>
    <n v="239.86"/>
    <n v="252.48"/>
  </r>
  <r>
    <s v="K7-11695"/>
    <d v="2026-03-09T00:00:00"/>
    <s v="California"/>
    <s v="West"/>
    <s v="Marketplace"/>
    <s v="New"/>
    <s v="Footwear"/>
    <s v="Canvas Sneaker"/>
    <s v="Elena Vargas"/>
    <n v="6"/>
    <n v="92.75"/>
    <n v="0"/>
    <n v="556.5"/>
    <n v="556.5"/>
  </r>
  <r>
    <s v="K7-11696"/>
    <d v="2026-09-06T00:00:00"/>
    <s v="Michigan"/>
    <s v="Midwest"/>
    <s v="Wholesale"/>
    <s v="New"/>
    <s v="Footwear"/>
    <s v="Canvas Sneaker"/>
    <s v="Dylan Foster"/>
    <n v="1"/>
    <n v="82.71"/>
    <n v="0"/>
    <n v="82.71"/>
    <n v="82.71"/>
  </r>
  <r>
    <s v="K7-11697"/>
    <d v="2026-09-28T00:00:00"/>
    <s v="Indiana"/>
    <s v="Midwest"/>
    <s v="Wholesale"/>
    <s v="Returning"/>
    <s v="Footwear"/>
    <s v="Canvas Sneaker"/>
    <s v="Ava Brooks"/>
    <n v="11"/>
    <n v="93.41"/>
    <n v="0.05"/>
    <n v="976.13"/>
    <n v="1027.51"/>
  </r>
  <r>
    <s v="K7-11698"/>
    <d v="2026-09-15T00:00:00"/>
    <s v="Louisiana"/>
    <s v="South"/>
    <s v="Online"/>
    <s v="New"/>
    <s v="Tops"/>
    <s v="Striped Polo"/>
    <s v="Priya Nair"/>
    <n v="4"/>
    <n v="55.05"/>
    <n v="0.2"/>
    <n v="176.16"/>
    <n v="220.2"/>
  </r>
  <r>
    <s v="K7-11699"/>
    <d v="2026-05-12T00:00:00"/>
    <s v="Florida"/>
    <s v="South"/>
    <s v="Retail Store"/>
    <s v="New"/>
    <s v="Tops"/>
    <s v="Striped Polo"/>
    <s v="Elena Vargas"/>
    <n v="2"/>
    <n v="50.92"/>
    <n v="0"/>
    <n v="101.84"/>
    <n v="101.84"/>
  </r>
  <r>
    <s v="K7-11700"/>
    <d v="2026-12-07T00:00:00"/>
    <s v="North Carolina"/>
    <s v="South"/>
    <s v="Online"/>
    <s v="Returning"/>
    <s v="Footwear"/>
    <s v="Canvas Sneaker"/>
    <s v="Noor Haddad"/>
    <n v="10"/>
    <n v="84.94"/>
    <n v="0"/>
    <n v="849.4"/>
    <n v="849.4"/>
  </r>
  <r>
    <s v="K7-11701"/>
    <d v="2026-10-09T00:00:00"/>
    <s v="Georgia"/>
    <s v="South"/>
    <s v="Online"/>
    <s v="Returning"/>
    <s v="Footwear"/>
    <s v="Leather Boot"/>
    <s v="Priya Nair"/>
    <n v="6"/>
    <n v="215.49"/>
    <n v="0"/>
    <n v="1292.94"/>
    <n v="1292.94"/>
  </r>
  <r>
    <s v="K7-11702"/>
    <d v="2026-11-10T00:00:00"/>
    <s v="Wisconsin"/>
    <s v="Midwest"/>
    <s v="Online"/>
    <s v="New"/>
    <s v="Accessories"/>
    <s v="Knit Beanie"/>
    <s v="Priya Nair"/>
    <n v="2"/>
    <n v="25.51"/>
    <n v="0"/>
    <n v="51.02"/>
    <n v="51.02"/>
  </r>
  <r>
    <s v="K7-11703"/>
    <d v="2026-08-23T00:00:00"/>
    <s v="Washington"/>
    <s v="West"/>
    <s v="Online"/>
    <s v="Returning"/>
    <s v="Bottoms"/>
    <s v="Slim Chino"/>
    <s v="Marcus Reed"/>
    <n v="1"/>
    <n v="78.709999999999994"/>
    <n v="0.15"/>
    <n v="66.900000000000006"/>
    <n v="78.709999999999994"/>
  </r>
  <r>
    <s v="K7-11704"/>
    <d v="2026-12-28T00:00:00"/>
    <s v="North Carolina"/>
    <s v="South"/>
    <s v="Marketplace"/>
    <s v="Returning"/>
    <s v="Outerwear"/>
    <s v="Hooded Parka"/>
    <s v="Jonah Wright"/>
    <n v="3"/>
    <n v="246.14"/>
    <n v="0.1"/>
    <n v="664.58"/>
    <n v="738.42"/>
  </r>
  <r>
    <s v="K7-11705"/>
    <d v="2026-06-04T00:00:00"/>
    <s v="South Carolina"/>
    <s v="South"/>
    <s v="Online"/>
    <s v="New"/>
    <s v="Accessories"/>
    <s v="Silk Scarf"/>
    <s v="Marcus Reed"/>
    <n v="4"/>
    <n v="60.37"/>
    <n v="0"/>
    <n v="241.48"/>
    <n v="241.48"/>
  </r>
  <r>
    <s v="K7-11706"/>
    <d v="2026-03-09T00:00:00"/>
    <s v="Georgia"/>
    <s v="South"/>
    <s v="Online"/>
    <s v="Returning"/>
    <s v="Accessories"/>
    <s v="Knit Beanie"/>
    <s v="Grace Okafor"/>
    <n v="8"/>
    <n v="27.87"/>
    <n v="0"/>
    <n v="222.96"/>
    <n v="222.96"/>
  </r>
  <r>
    <s v="K7-11707"/>
    <d v="2026-03-24T00:00:00"/>
    <s v="Illinois"/>
    <s v="Midwest"/>
    <s v="Retail Store"/>
    <s v="New"/>
    <s v="Accessories"/>
    <s v="Knit Beanie"/>
    <s v="Priya Nair"/>
    <n v="2"/>
    <n v="27.45"/>
    <n v="0.1"/>
    <n v="49.41"/>
    <n v="54.9"/>
  </r>
  <r>
    <s v="K7-11708"/>
    <d v="2026-08-16T00:00:00"/>
    <s v="California"/>
    <s v="West"/>
    <s v="Online"/>
    <s v="Returning"/>
    <s v="Accessories"/>
    <s v="Silk Scarf"/>
    <s v="Marcus Reed"/>
    <n v="2"/>
    <n v="65.59"/>
    <n v="0"/>
    <n v="131.18"/>
    <n v="131.18"/>
  </r>
  <r>
    <s v="K7-11709"/>
    <d v="2026-06-09T00:00:00"/>
    <s v="New York"/>
    <s v="Northeast"/>
    <s v="Wholesale"/>
    <s v="New"/>
    <s v="Dresses"/>
    <s v="Midi Slip Dress"/>
    <s v="Jonah Wright"/>
    <n v="5"/>
    <n v="97.84"/>
    <n v="0"/>
    <n v="489.2"/>
    <n v="489.20000000000005"/>
  </r>
  <r>
    <s v="K7-11710"/>
    <d v="2026-02-14T00:00:00"/>
    <s v="Illinois"/>
    <s v="Midwest"/>
    <s v="Online"/>
    <s v="New"/>
    <s v="Tops"/>
    <s v="Classic Tee"/>
    <s v="Jonah Wright"/>
    <n v="1"/>
    <n v="33.51"/>
    <n v="0"/>
    <n v="33.51"/>
    <n v="33.51"/>
  </r>
  <r>
    <s v="K7-11711"/>
    <d v="2026-07-21T00:00:00"/>
    <s v="Indiana"/>
    <s v="Midwest"/>
    <s v="Online"/>
    <s v="New"/>
    <s v="Footwear"/>
    <s v="Canvas Sneaker"/>
    <s v="Grace Okafor"/>
    <n v="1"/>
    <n v="86.08"/>
    <n v="0.15"/>
    <n v="73.17"/>
    <n v="86.08"/>
  </r>
  <r>
    <s v="K7-11712"/>
    <d v="2026-07-25T00:00:00"/>
    <s v="Florida"/>
    <s v="South"/>
    <s v="Retail Store"/>
    <s v="New"/>
    <s v="Bottoms"/>
    <s v="Straight Jeans"/>
    <s v="Ava Brooks"/>
    <n v="1"/>
    <n v="97.42"/>
    <n v="0"/>
    <n v="97.42"/>
    <n v="97.42"/>
  </r>
  <r>
    <s v="K7-11713"/>
    <d v="2026-12-31T00:00:00"/>
    <s v="Illinois"/>
    <s v="Midwest"/>
    <s v="Online"/>
    <s v="New"/>
    <s v="Dresses"/>
    <s v="Linen Shirt Dress"/>
    <s v="Grace Okafor"/>
    <n v="7"/>
    <n v="141.21"/>
    <n v="0"/>
    <n v="988.47"/>
    <n v="988.47"/>
  </r>
  <r>
    <s v="K7-11714"/>
    <d v="2026-08-11T00:00:00"/>
    <s v="Connecticut"/>
    <s v="Northeast"/>
    <s v="Online"/>
    <s v="Returning"/>
    <s v="Accessories"/>
    <s v="Silk Scarf"/>
    <s v="Noor Haddad"/>
    <n v="3"/>
    <n v="61.49"/>
    <n v="0"/>
    <n v="184.47"/>
    <n v="184.47"/>
  </r>
  <r>
    <s v="K7-11715"/>
    <d v="2026-01-21T00:00:00"/>
    <s v="Missouri"/>
    <s v="Midwest"/>
    <s v="Online"/>
    <s v="Returning"/>
    <s v="Bottoms"/>
    <s v="Slim Chino"/>
    <s v="Noor Haddad"/>
    <n v="1"/>
    <n v="80.930000000000007"/>
    <n v="0.1"/>
    <n v="72.84"/>
    <n v="80.930000000000007"/>
  </r>
  <r>
    <s v="K7-11716"/>
    <d v="2026-08-14T00:00:00"/>
    <s v="Florida"/>
    <s v="South"/>
    <s v="Online"/>
    <s v="Returning"/>
    <s v="Footwear"/>
    <s v="Leather Boot"/>
    <s v="Priya Nair"/>
    <n v="1"/>
    <n v="213.43"/>
    <n v="0.2"/>
    <n v="170.74"/>
    <n v="213.43"/>
  </r>
  <r>
    <s v="K7-11717"/>
    <d v="2026-08-16T00:00:00"/>
    <s v="Ohio"/>
    <s v="Midwest"/>
    <s v="Online"/>
    <s v="Returning"/>
    <s v="Tops"/>
    <s v="Classic Tee"/>
    <s v="Jonah Wright"/>
    <n v="1"/>
    <n v="30.35"/>
    <n v="0.15"/>
    <n v="25.8"/>
    <n v="30.35"/>
  </r>
  <r>
    <s v="K7-11718"/>
    <d v="2026-11-03T00:00:00"/>
    <s v="North Carolina"/>
    <s v="South"/>
    <s v="Online"/>
    <s v="New"/>
    <s v="Footwear"/>
    <s v="Leather Boot"/>
    <s v="Marcus Reed"/>
    <n v="4"/>
    <n v="213.55"/>
    <n v="0.2"/>
    <n v="683.36"/>
    <n v="854.2"/>
  </r>
  <r>
    <s v="K7-11719"/>
    <d v="2026-11-25T00:00:00"/>
    <s v="New York"/>
    <s v="Northeast"/>
    <s v="Retail Store"/>
    <s v="New"/>
    <s v="Outerwear"/>
    <s v="Denim Trucker"/>
    <s v="Jonah Wright"/>
    <n v="18"/>
    <n v="120.57"/>
    <n v="0"/>
    <n v="2170.2600000000002"/>
    <n v="2170.2599999999998"/>
  </r>
  <r>
    <s v="K7-11720"/>
    <d v="2026-02-21T00:00:00"/>
    <s v="California"/>
    <s v="West"/>
    <s v="Wholesale"/>
    <s v="New"/>
    <s v="Footwear"/>
    <s v="Leather Boot"/>
    <s v="Noor Haddad"/>
    <n v="1"/>
    <n v="220.61"/>
    <n v="0"/>
    <n v="220.61"/>
    <n v="220.61"/>
  </r>
  <r>
    <s v="K7-11721"/>
    <d v="2026-09-10T00:00:00"/>
    <s v="Pennsylvania"/>
    <s v="Northeast"/>
    <s v="Online"/>
    <s v="Returning"/>
    <s v="Tops"/>
    <s v="Oxford Shirt"/>
    <s v="Ava Brooks"/>
    <n v="4"/>
    <n v="67.540000000000006"/>
    <n v="0.05"/>
    <n v="256.64999999999998"/>
    <n v="270.16000000000003"/>
  </r>
  <r>
    <s v="K7-11722"/>
    <d v="2026-05-03T00:00:00"/>
    <s v="Washington"/>
    <s v="West"/>
    <s v="Marketplace"/>
    <s v="Returning"/>
    <s v="Tops"/>
    <s v="Classic Tee"/>
    <s v="Ava Brooks"/>
    <n v="1"/>
    <n v="30.67"/>
    <n v="0"/>
    <n v="30.67"/>
    <n v="30.67"/>
  </r>
  <r>
    <s v="K7-11723"/>
    <d v="2026-09-07T00:00:00"/>
    <s v="Tennessee"/>
    <s v="South"/>
    <s v="Online"/>
    <s v="New"/>
    <s v="Footwear"/>
    <s v="Suede Loafer"/>
    <s v="Dylan Foster"/>
    <n v="4"/>
    <n v="147.24"/>
    <n v="0"/>
    <n v="588.96"/>
    <n v="588.96"/>
  </r>
  <r>
    <s v="K7-11724"/>
    <d v="2026-07-07T00:00:00"/>
    <s v="Pennsylvania"/>
    <s v="Northeast"/>
    <s v="Online"/>
    <s v="Returning"/>
    <s v="Bottoms"/>
    <s v="Straight Jeans"/>
    <s v="Marcus Reed"/>
    <n v="2"/>
    <n v="99.1"/>
    <n v="0"/>
    <n v="198.2"/>
    <n v="198.2"/>
  </r>
  <r>
    <s v="K7-11725"/>
    <d v="2026-08-16T00:00:00"/>
    <s v="California"/>
    <s v="West"/>
    <s v="Marketplace"/>
    <s v="Returning"/>
    <s v="Tops"/>
    <s v="Striped Polo"/>
    <s v="Dylan Foster"/>
    <n v="1"/>
    <n v="52.89"/>
    <n v="0.3"/>
    <n v="37.020000000000003"/>
    <n v="52.89"/>
  </r>
  <r>
    <s v="K7-11726"/>
    <d v="2026-01-31T00:00:00"/>
    <s v="Florida"/>
    <s v="South"/>
    <s v="Online"/>
    <s v="Returning"/>
    <s v="Dresses"/>
    <s v="Wrap Dress"/>
    <s v="Jonah Wright"/>
    <n v="2"/>
    <n v="116.78"/>
    <n v="0.3"/>
    <n v="163.49"/>
    <n v="233.56"/>
  </r>
  <r>
    <s v="K7-11727"/>
    <d v="2026-02-13T00:00:00"/>
    <s v="California"/>
    <s v="West"/>
    <s v="Marketplace"/>
    <s v="Returning"/>
    <s v="Tops"/>
    <s v="Classic Tee"/>
    <s v="Dylan Foster"/>
    <n v="2"/>
    <n v="30.02"/>
    <n v="0"/>
    <n v="60.04"/>
    <n v="60.04"/>
  </r>
  <r>
    <s v="K7-11728"/>
    <d v="2026-08-09T00:00:00"/>
    <s v="Florida"/>
    <s v="South"/>
    <s v="Online"/>
    <s v="Returning"/>
    <s v="Bottoms"/>
    <s v="Slim Chino"/>
    <s v="Dylan Foster"/>
    <n v="5"/>
    <n v="75.569999999999993"/>
    <n v="0"/>
    <n v="377.85"/>
    <n v="377.84999999999997"/>
  </r>
  <r>
    <s v="K7-11729"/>
    <d v="2026-10-13T00:00:00"/>
    <s v="Florida"/>
    <s v="South"/>
    <s v="Online"/>
    <s v="Returning"/>
    <s v="Footwear"/>
    <s v="Canvas Sneaker"/>
    <s v="Dylan Foster"/>
    <n v="1"/>
    <n v="89.03"/>
    <n v="0"/>
    <n v="89.03"/>
    <n v="89.03"/>
  </r>
  <r>
    <s v="K7-11730"/>
    <d v="2026-11-10T00:00:00"/>
    <s v="New York"/>
    <s v="Northeast"/>
    <s v="Online"/>
    <s v="Returning"/>
    <s v="Outerwear"/>
    <s v="Wool Overcoat"/>
    <s v="Dylan Foster"/>
    <n v="2"/>
    <n v="308.75"/>
    <n v="0"/>
    <n v="617.5"/>
    <n v="617.5"/>
  </r>
  <r>
    <s v="K7-11731"/>
    <d v="2026-04-22T00:00:00"/>
    <s v="Maryland"/>
    <s v="South"/>
    <s v="Marketplace"/>
    <s v="Returning"/>
    <s v="Outerwear"/>
    <s v="Quilted Jacket"/>
    <s v="Priya Nair"/>
    <n v="9"/>
    <n v="168.08"/>
    <n v="0"/>
    <n v="1512.72"/>
    <n v="1512.72"/>
  </r>
  <r>
    <s v="K7-11732"/>
    <d v="2026-05-31T00:00:00"/>
    <s v="Oregon"/>
    <s v="West"/>
    <s v="Wholesale"/>
    <s v="New"/>
    <s v="Tops"/>
    <s v="Oxford Shirt"/>
    <s v="Ava Brooks"/>
    <n v="1"/>
    <n v="69.3"/>
    <n v="0"/>
    <n v="69.3"/>
    <n v="69.3"/>
  </r>
  <r>
    <s v="K7-11733"/>
    <d v="2026-03-23T00:00:00"/>
    <s v="Missouri"/>
    <s v="Midwest"/>
    <s v="Retail Store"/>
    <s v="Returning"/>
    <s v="Bottoms"/>
    <s v="Slim Chino"/>
    <s v="Ava Brooks"/>
    <n v="1"/>
    <n v="78.91"/>
    <n v="0.2"/>
    <n v="63.13"/>
    <n v="78.91"/>
  </r>
  <r>
    <s v="K7-11734"/>
    <d v="2026-04-13T00:00:00"/>
    <s v="New York"/>
    <s v="Northeast"/>
    <s v="Wholesale"/>
    <s v="Returning"/>
    <s v="Footwear"/>
    <s v="Canvas Sneaker"/>
    <s v="Dylan Foster"/>
    <n v="9"/>
    <n v="89.17"/>
    <n v="0"/>
    <n v="802.53"/>
    <n v="802.53"/>
  </r>
  <r>
    <s v="K7-11735"/>
    <d v="2026-01-17T00:00:00"/>
    <s v="Texas"/>
    <s v="South"/>
    <s v="Marketplace"/>
    <s v="Returning"/>
    <s v="Bottoms"/>
    <s v="Tailored Short"/>
    <s v="Ava Brooks"/>
    <n v="3"/>
    <n v="54.12"/>
    <n v="0.05"/>
    <n v="154.24"/>
    <n v="162.35999999999999"/>
  </r>
  <r>
    <s v="K7-11736"/>
    <d v="2026-06-23T00:00:00"/>
    <s v="Tennessee"/>
    <s v="South"/>
    <s v="Online"/>
    <s v="New"/>
    <s v="Footwear"/>
    <s v="Suede Loafer"/>
    <s v="Jonah Wright"/>
    <n v="1"/>
    <n v="147.68"/>
    <n v="0"/>
    <n v="147.68"/>
    <n v="147.68"/>
  </r>
  <r>
    <s v="K7-11737"/>
    <d v="2026-07-18T00:00:00"/>
    <s v="Indiana"/>
    <s v="Midwest"/>
    <s v="Retail Store"/>
    <s v="Returning"/>
    <s v="Tops"/>
    <s v="Henley Long Sleeve"/>
    <s v="Jonah Wright"/>
    <n v="1"/>
    <n v="43.53"/>
    <n v="0"/>
    <n v="43.53"/>
    <n v="43.53"/>
  </r>
  <r>
    <s v="K7-11738"/>
    <d v="2026-07-19T00:00:00"/>
    <s v="California"/>
    <s v="West"/>
    <s v="Online"/>
    <s v="New"/>
    <s v="Footwear"/>
    <s v="Suede Loafer"/>
    <s v="Priya Nair"/>
    <n v="1"/>
    <n v="164.07"/>
    <n v="0"/>
    <n v="164.07"/>
    <n v="164.07"/>
  </r>
  <r>
    <s v="K7-11739"/>
    <d v="2026-12-02T00:00:00"/>
    <s v="Florida"/>
    <s v="South"/>
    <s v="Retail Store"/>
    <s v="Returning"/>
    <s v="Tops"/>
    <s v="Classic Tee"/>
    <s v="Marcus Reed"/>
    <n v="3"/>
    <n v="33.06"/>
    <n v="0"/>
    <n v="99.18"/>
    <n v="99.18"/>
  </r>
  <r>
    <s v="K7-11740"/>
    <d v="2026-01-29T00:00:00"/>
    <s v="Indiana"/>
    <s v="Midwest"/>
    <s v="Retail Store"/>
    <s v="Returning"/>
    <s v="Outerwear"/>
    <s v="Quilted Jacket"/>
    <s v="Ava Brooks"/>
    <n v="3"/>
    <n v="172.8"/>
    <n v="0"/>
    <n v="518.4"/>
    <n v="518.40000000000009"/>
  </r>
  <r>
    <s v="K7-11741"/>
    <d v="2026-04-27T00:00:00"/>
    <s v="North Carolina"/>
    <s v="South"/>
    <s v="Online"/>
    <s v="New"/>
    <s v="Accessories"/>
    <s v="Silk Scarf"/>
    <s v="Marcus Reed"/>
    <n v="3"/>
    <n v="63.18"/>
    <n v="0"/>
    <n v="189.54"/>
    <n v="189.54"/>
  </r>
  <r>
    <s v="K7-11742"/>
    <d v="2026-05-05T00:00:00"/>
    <s v="Texas"/>
    <s v="South"/>
    <s v="Retail Store"/>
    <s v="New"/>
    <s v="Tops"/>
    <s v="Striped Polo"/>
    <s v="Elena Vargas"/>
    <n v="1"/>
    <n v="56.34"/>
    <n v="0"/>
    <n v="56.34"/>
    <n v="56.34"/>
  </r>
  <r>
    <s v="K7-11743"/>
    <d v="2026-11-27T00:00:00"/>
    <s v="Illinois"/>
    <s v="Midwest"/>
    <s v="Marketplace"/>
    <s v="Returning"/>
    <s v="Dresses"/>
    <s v="Wrap Dress"/>
    <s v="Priya Nair"/>
    <n v="2"/>
    <n v="113.86"/>
    <n v="0.05"/>
    <n v="216.33"/>
    <n v="227.72"/>
  </r>
  <r>
    <s v="K7-11744"/>
    <d v="2026-11-13T00:00:00"/>
    <s v="North Carolina"/>
    <s v="South"/>
    <s v="Online"/>
    <s v="Returning"/>
    <s v="Bottoms"/>
    <s v="Cargo Pant"/>
    <s v="Elena Vargas"/>
    <n v="1"/>
    <n v="82.73"/>
    <n v="0.05"/>
    <n v="78.59"/>
    <n v="82.73"/>
  </r>
  <r>
    <s v="K7-11745"/>
    <d v="2026-06-14T00:00:00"/>
    <s v="Virginia"/>
    <s v="South"/>
    <s v="Online"/>
    <s v="Returning"/>
    <s v="Bottoms"/>
    <s v="Straight Jeans"/>
    <s v="Grace Okafor"/>
    <n v="1"/>
    <n v="91.11"/>
    <n v="0"/>
    <n v="91.11"/>
    <n v="91.11"/>
  </r>
  <r>
    <s v="K7-11746"/>
    <d v="2026-01-10T00:00:00"/>
    <s v="Virginia"/>
    <s v="South"/>
    <s v="Online"/>
    <s v="New"/>
    <s v="Tops"/>
    <s v="Oxford Shirt"/>
    <s v="Elena Vargas"/>
    <n v="2"/>
    <n v="66.23"/>
    <n v="0"/>
    <n v="132.46"/>
    <n v="132.46"/>
  </r>
  <r>
    <s v="K7-11747"/>
    <d v="2026-12-22T00:00:00"/>
    <s v="Missouri"/>
    <s v="Midwest"/>
    <s v="Marketplace"/>
    <s v="New"/>
    <s v="Dresses"/>
    <s v="Midi Slip Dress"/>
    <s v="Priya Nair"/>
    <n v="3"/>
    <n v="99.1"/>
    <n v="0"/>
    <n v="297.3"/>
    <n v="297.29999999999995"/>
  </r>
  <r>
    <s v="K7-11748"/>
    <d v="2026-10-21T00:00:00"/>
    <s v="Washington"/>
    <s v="West"/>
    <s v="Online"/>
    <s v="New"/>
    <s v="Bottoms"/>
    <s v="Cargo Pant"/>
    <s v="Noor Haddad"/>
    <n v="3"/>
    <n v="79.25"/>
    <n v="0"/>
    <n v="237.75"/>
    <n v="237.75"/>
  </r>
  <r>
    <s v="K7-11749"/>
    <d v="2026-01-03T00:00:00"/>
    <s v="New York"/>
    <s v="Northeast"/>
    <s v="Retail Store"/>
    <s v="Returning"/>
    <s v="Outerwear"/>
    <s v="Quilted Jacket"/>
    <s v="Elena Vargas"/>
    <n v="8"/>
    <n v="166.25"/>
    <n v="0"/>
    <n v="1330"/>
    <n v="1330"/>
  </r>
  <r>
    <s v="K7-11750"/>
    <d v="2026-10-12T00:00:00"/>
    <s v="Virginia"/>
    <s v="South"/>
    <s v="Retail Store"/>
    <s v="Returning"/>
    <s v="Tops"/>
    <s v="Classic Tee"/>
    <s v="Ava Brooks"/>
    <n v="2"/>
    <n v="29.83"/>
    <n v="0"/>
    <n v="59.66"/>
    <n v="59.66"/>
  </r>
  <r>
    <s v="K7-11751"/>
    <d v="2026-04-08T00:00:00"/>
    <s v="New York"/>
    <s v="Northeast"/>
    <s v="Retail Store"/>
    <s v="Returning"/>
    <s v="Accessories"/>
    <s v="Knit Beanie"/>
    <s v="Dylan Foster"/>
    <n v="3"/>
    <n v="25.14"/>
    <n v="0.05"/>
    <n v="71.650000000000006"/>
    <n v="75.42"/>
  </r>
  <r>
    <s v="K7-11752"/>
    <d v="2026-07-13T00:00:00"/>
    <s v="Tennessee"/>
    <s v="South"/>
    <s v="Online"/>
    <s v="Returning"/>
    <s v="Bottoms"/>
    <s v="Cargo Pant"/>
    <s v="Dylan Foster"/>
    <n v="1"/>
    <n v="86.85"/>
    <n v="0.3"/>
    <n v="60.79"/>
    <n v="86.85"/>
  </r>
  <r>
    <s v="K7-11753"/>
    <d v="2026-12-30T00:00:00"/>
    <s v="Texas"/>
    <s v="South"/>
    <s v="Online"/>
    <s v="Returning"/>
    <s v="Outerwear"/>
    <s v="Quilted Jacket"/>
    <s v="Noor Haddad"/>
    <n v="2"/>
    <n v="157.13"/>
    <n v="0"/>
    <n v="314.26"/>
    <n v="314.26"/>
  </r>
  <r>
    <s v="K7-11754"/>
    <d v="2026-09-22T00:00:00"/>
    <s v="Pennsylvania"/>
    <s v="Northeast"/>
    <s v="Online"/>
    <s v="New"/>
    <s v="Tops"/>
    <s v="Oxford Shirt"/>
    <s v="Noor Haddad"/>
    <n v="3"/>
    <n v="69.680000000000007"/>
    <n v="0"/>
    <n v="209.04"/>
    <n v="209.04000000000002"/>
  </r>
  <r>
    <s v="K7-11755"/>
    <d v="2026-03-29T00:00:00"/>
    <s v="Florida"/>
    <s v="South"/>
    <s v="Retail Store"/>
    <s v="New"/>
    <s v="Tops"/>
    <s v="Henley Long Sleeve"/>
    <s v="Elena Vargas"/>
    <n v="5"/>
    <n v="42.87"/>
    <n v="0"/>
    <n v="214.35"/>
    <n v="214.35"/>
  </r>
  <r>
    <s v="K7-11756"/>
    <d v="2026-09-11T00:00:00"/>
    <s v="Pennsylvania"/>
    <s v="Northeast"/>
    <s v="Retail Store"/>
    <s v="New"/>
    <s v="Outerwear"/>
    <s v="Hooded Parka"/>
    <s v="Marcus Reed"/>
    <n v="3"/>
    <n v="245.6"/>
    <n v="0.1"/>
    <n v="663.12"/>
    <n v="736.8"/>
  </r>
  <r>
    <s v="K7-11757"/>
    <d v="2026-03-18T00:00:00"/>
    <s v="Georgia"/>
    <s v="South"/>
    <s v="Retail Store"/>
    <s v="Returning"/>
    <s v="Accessories"/>
    <s v="Canvas Tote"/>
    <s v="Noor Haddad"/>
    <n v="1"/>
    <n v="39.69"/>
    <n v="0"/>
    <n v="39.69"/>
    <n v="39.69"/>
  </r>
  <r>
    <s v="K7-11758"/>
    <d v="2026-03-12T00:00:00"/>
    <s v="Illinois"/>
    <s v="Midwest"/>
    <s v="Online"/>
    <s v="Returning"/>
    <s v="Outerwear"/>
    <s v="Quilted Jacket"/>
    <s v="Elena Vargas"/>
    <n v="6"/>
    <n v="168.54"/>
    <n v="0.05"/>
    <n v="960.68"/>
    <n v="1011.24"/>
  </r>
  <r>
    <s v="K7-11759"/>
    <d v="2026-11-14T00:00:00"/>
    <s v="New York"/>
    <s v="Northeast"/>
    <s v="Wholesale"/>
    <s v="Returning"/>
    <s v="Bottoms"/>
    <s v="Slim Chino"/>
    <s v="Dylan Foster"/>
    <n v="2"/>
    <n v="81.88"/>
    <n v="0"/>
    <n v="163.76"/>
    <n v="163.76"/>
  </r>
  <r>
    <s v="K7-11760"/>
    <d v="2026-04-15T00:00:00"/>
    <s v="Florida"/>
    <s v="South"/>
    <s v="Online"/>
    <s v="Returning"/>
    <s v="Accessories"/>
    <s v="Silk Scarf"/>
    <s v="Marcus Reed"/>
    <n v="2"/>
    <n v="62.82"/>
    <n v="0"/>
    <n v="125.64"/>
    <n v="125.64"/>
  </r>
  <r>
    <s v="K7-11761"/>
    <d v="2026-07-13T00:00:00"/>
    <s v="Washington"/>
    <s v="West"/>
    <s v="Retail Store"/>
    <s v="Returning"/>
    <s v="Outerwear"/>
    <s v="Denim Trucker"/>
    <s v="Priya Nair"/>
    <n v="1"/>
    <n v="128.11000000000001"/>
    <n v="0"/>
    <n v="128.11000000000001"/>
    <n v="128.11000000000001"/>
  </r>
  <r>
    <s v="K7-11762"/>
    <d v="2026-03-01T00:00:00"/>
    <s v="Minnesota"/>
    <s v="Midwest"/>
    <s v="Marketplace"/>
    <s v="Returning"/>
    <s v="Footwear"/>
    <s v="Canvas Sneaker"/>
    <s v="Dylan Foster"/>
    <n v="2"/>
    <n v="85.12"/>
    <n v="0"/>
    <n v="170.24"/>
    <n v="170.24"/>
  </r>
  <r>
    <s v="K7-11763"/>
    <d v="2026-07-18T00:00:00"/>
    <s v="Missouri"/>
    <s v="Midwest"/>
    <s v="Wholesale"/>
    <s v="New"/>
    <s v="Dresses"/>
    <s v="Linen Shirt Dress"/>
    <s v="Priya Nair"/>
    <n v="5"/>
    <n v="143.47"/>
    <n v="0"/>
    <n v="717.35"/>
    <n v="717.35"/>
  </r>
  <r>
    <s v="K7-11764"/>
    <d v="2026-06-23T00:00:00"/>
    <s v="Michigan"/>
    <s v="Midwest"/>
    <s v="Online"/>
    <s v="Returning"/>
    <s v="Tops"/>
    <s v="Striped Polo"/>
    <s v="Elena Vargas"/>
    <n v="2"/>
    <n v="52.6"/>
    <n v="0"/>
    <n v="105.2"/>
    <n v="105.2"/>
  </r>
  <r>
    <s v="K7-11765"/>
    <d v="2026-10-07T00:00:00"/>
    <s v="New York"/>
    <s v="Northeast"/>
    <s v="Wholesale"/>
    <s v="Returning"/>
    <s v="Tops"/>
    <s v="Classic Tee"/>
    <s v="Noor Haddad"/>
    <n v="5"/>
    <n v="29.98"/>
    <n v="0"/>
    <n v="149.9"/>
    <n v="149.9"/>
  </r>
  <r>
    <s v="K7-11766"/>
    <d v="2026-01-28T00:00:00"/>
    <s v="Virginia"/>
    <s v="South"/>
    <s v="Online"/>
    <s v="New"/>
    <s v="Bottoms"/>
    <s v="Slim Chino"/>
    <s v="Jonah Wright"/>
    <n v="1"/>
    <n v="78.180000000000007"/>
    <n v="0"/>
    <n v="78.180000000000007"/>
    <n v="78.180000000000007"/>
  </r>
  <r>
    <s v="K7-11767"/>
    <d v="2026-03-04T00:00:00"/>
    <s v="California"/>
    <s v="West"/>
    <s v="Retail Store"/>
    <s v="Returning"/>
    <s v="Tops"/>
    <s v="Henley Long Sleeve"/>
    <s v="Elena Vargas"/>
    <n v="1"/>
    <n v="46.87"/>
    <n v="0.15"/>
    <n v="39.840000000000003"/>
    <n v="46.87"/>
  </r>
  <r>
    <s v="K7-11768"/>
    <d v="2026-06-09T00:00:00"/>
    <s v="Indiana"/>
    <s v="Midwest"/>
    <s v="Wholesale"/>
    <s v="Returning"/>
    <s v="Footwear"/>
    <s v="Suede Loafer"/>
    <s v="Noor Haddad"/>
    <n v="1"/>
    <n v="167.72"/>
    <n v="0"/>
    <n v="167.72"/>
    <n v="167.72"/>
  </r>
  <r>
    <s v="K7-11769"/>
    <d v="2026-03-30T00:00:00"/>
    <s v="Ohio"/>
    <s v="Midwest"/>
    <s v="Marketplace"/>
    <s v="Returning"/>
    <s v="Bottoms"/>
    <s v="Cargo Pant"/>
    <s v="Dylan Foster"/>
    <n v="4"/>
    <n v="82.39"/>
    <n v="0"/>
    <n v="329.56"/>
    <n v="329.56"/>
  </r>
  <r>
    <s v="K7-11770"/>
    <d v="2026-12-09T00:00:00"/>
    <s v="Michigan"/>
    <s v="Midwest"/>
    <s v="Marketplace"/>
    <s v="Returning"/>
    <s v="Bottoms"/>
    <s v="Slim Chino"/>
    <s v="Noor Haddad"/>
    <n v="7"/>
    <n v="77.62"/>
    <n v="0.15"/>
    <n v="461.84"/>
    <n v="543.34"/>
  </r>
  <r>
    <s v="K7-11771"/>
    <d v="2026-02-09T00:00:00"/>
    <s v="Texas"/>
    <s v="South"/>
    <s v="Online"/>
    <s v="New"/>
    <s v="Footwear"/>
    <s v="Leather Boot"/>
    <s v="Marcus Reed"/>
    <n v="1"/>
    <n v="208.42"/>
    <n v="0.2"/>
    <n v="166.74"/>
    <n v="208.42"/>
  </r>
  <r>
    <s v="K7-11772"/>
    <d v="2026-11-24T00:00:00"/>
    <s v="Colorado"/>
    <s v="West"/>
    <s v="Online"/>
    <s v="New"/>
    <s v="Dresses"/>
    <s v="Wrap Dress"/>
    <s v="Elena Vargas"/>
    <n v="1"/>
    <n v="120.62"/>
    <n v="0"/>
    <n v="120.62"/>
    <n v="120.62"/>
  </r>
  <r>
    <s v="K7-11773"/>
    <d v="2026-08-07T00:00:00"/>
    <s v="Connecticut"/>
    <s v="Northeast"/>
    <s v="Online"/>
    <s v="New"/>
    <s v="Tops"/>
    <s v="Henley Long Sleeve"/>
    <s v="Grace Okafor"/>
    <n v="10"/>
    <n v="44.54"/>
    <n v="0"/>
    <n v="445.4"/>
    <n v="445.4"/>
  </r>
  <r>
    <s v="K7-11774"/>
    <d v="2026-10-20T00:00:00"/>
    <s v="Colorado"/>
    <s v="West"/>
    <s v="Online"/>
    <s v="Returning"/>
    <s v="Tops"/>
    <s v="Classic Tee"/>
    <s v="Elena Vargas"/>
    <n v="5"/>
    <n v="33.22"/>
    <n v="0.05"/>
    <n v="157.79"/>
    <n v="166.1"/>
  </r>
  <r>
    <s v="K7-11775"/>
    <d v="2026-10-25T00:00:00"/>
    <s v="Minnesota"/>
    <s v="Midwest"/>
    <s v="Online"/>
    <s v="New"/>
    <s v="Tops"/>
    <s v="Striped Polo"/>
    <s v="Marcus Reed"/>
    <n v="1"/>
    <n v="58.15"/>
    <n v="0"/>
    <n v="58.15"/>
    <n v="58.15"/>
  </r>
  <r>
    <s v="K7-11776"/>
    <d v="2026-06-24T00:00:00"/>
    <s v="New York"/>
    <s v="Northeast"/>
    <s v="Wholesale"/>
    <s v="New"/>
    <s v="Accessories"/>
    <s v="Canvas Tote"/>
    <s v="Grace Okafor"/>
    <n v="9"/>
    <n v="36.32"/>
    <n v="0.2"/>
    <n v="261.5"/>
    <n v="326.88"/>
  </r>
  <r>
    <s v="K7-11777"/>
    <d v="2026-05-10T00:00:00"/>
    <s v="Ohio"/>
    <s v="Midwest"/>
    <s v="Marketplace"/>
    <s v="New"/>
    <s v="Tops"/>
    <s v="Oxford Shirt"/>
    <s v="Grace Okafor"/>
    <n v="2"/>
    <n v="70.08"/>
    <n v="0"/>
    <n v="140.16"/>
    <n v="140.16"/>
  </r>
  <r>
    <s v="K7-11778"/>
    <d v="2026-11-26T00:00:00"/>
    <s v="New Jersey"/>
    <s v="Northeast"/>
    <s v="Retail Store"/>
    <s v="Returning"/>
    <s v="Outerwear"/>
    <s v="Wool Overcoat"/>
    <s v="Grace Okafor"/>
    <n v="2"/>
    <n v="297.39999999999998"/>
    <n v="0"/>
    <n v="594.79999999999995"/>
    <n v="594.79999999999995"/>
  </r>
  <r>
    <s v="K7-11779"/>
    <d v="2026-07-21T00:00:00"/>
    <s v="Texas"/>
    <s v="South"/>
    <s v="Wholesale"/>
    <s v="Returning"/>
    <s v="Footwear"/>
    <s v="Leather Boot"/>
    <s v="Priya Nair"/>
    <n v="2"/>
    <n v="215.33"/>
    <n v="0"/>
    <n v="430.66"/>
    <n v="430.66"/>
  </r>
  <r>
    <s v="K7-11780"/>
    <d v="2026-05-02T00:00:00"/>
    <s v="Washington"/>
    <s v="West"/>
    <s v="Wholesale"/>
    <s v="Returning"/>
    <s v="Outerwear"/>
    <s v="Quilted Jacket"/>
    <s v="Ava Brooks"/>
    <n v="5"/>
    <n v="170.72"/>
    <n v="0"/>
    <n v="853.6"/>
    <n v="853.6"/>
  </r>
  <r>
    <s v="K7-11781"/>
    <d v="2026-10-18T00:00:00"/>
    <s v="Washington"/>
    <s v="West"/>
    <s v="Retail Store"/>
    <s v="Returning"/>
    <s v="Bottoms"/>
    <s v="Tailored Short"/>
    <s v="Grace Okafor"/>
    <n v="8"/>
    <n v="57.76"/>
    <n v="0.1"/>
    <n v="415.87"/>
    <n v="462.08"/>
  </r>
  <r>
    <s v="K7-11782"/>
    <d v="2026-05-09T00:00:00"/>
    <s v="Georgia"/>
    <s v="South"/>
    <s v="Marketplace"/>
    <s v="Returning"/>
    <s v="Accessories"/>
    <s v="Leather Belt"/>
    <s v="Priya Nair"/>
    <n v="4"/>
    <n v="45.71"/>
    <n v="0"/>
    <n v="182.84"/>
    <n v="182.84"/>
  </r>
  <r>
    <s v="K7-11783"/>
    <d v="2026-02-26T00:00:00"/>
    <s v="South Carolina"/>
    <s v="South"/>
    <s v="Retail Store"/>
    <s v="New"/>
    <s v="Tops"/>
    <s v="Henley Long Sleeve"/>
    <s v="Elena Vargas"/>
    <n v="1"/>
    <n v="49.42"/>
    <n v="0.05"/>
    <n v="46.95"/>
    <n v="49.42"/>
  </r>
  <r>
    <s v="K7-11784"/>
    <d v="2026-03-25T00:00:00"/>
    <s v="Texas"/>
    <s v="South"/>
    <s v="Retail Store"/>
    <s v="New"/>
    <s v="Tops"/>
    <s v="Henley Long Sleeve"/>
    <s v="Elena Vargas"/>
    <n v="4"/>
    <n v="45.35"/>
    <n v="0.15"/>
    <n v="154.19"/>
    <n v="181.4"/>
  </r>
  <r>
    <s v="K7-11785"/>
    <d v="2026-05-25T00:00:00"/>
    <s v="Illinois"/>
    <s v="Midwest"/>
    <s v="Online"/>
    <s v="Returning"/>
    <s v="Dresses"/>
    <s v="Linen Shirt Dress"/>
    <s v="Noor Haddad"/>
    <n v="3"/>
    <n v="142.29"/>
    <n v="0"/>
    <n v="426.87"/>
    <n v="426.87"/>
  </r>
  <r>
    <s v="K7-11786"/>
    <d v="2026-03-16T00:00:00"/>
    <s v="California"/>
    <s v="West"/>
    <s v="Online"/>
    <s v="New"/>
    <s v="Outerwear"/>
    <s v="Hooded Parka"/>
    <s v="Dylan Foster"/>
    <n v="1"/>
    <n v="227.12"/>
    <n v="0.05"/>
    <n v="215.76"/>
    <n v="227.12"/>
  </r>
  <r>
    <s v="K7-11787"/>
    <d v="2026-04-28T00:00:00"/>
    <s v="Indiana"/>
    <s v="Midwest"/>
    <s v="Online"/>
    <s v="Returning"/>
    <s v="Accessories"/>
    <s v="Leather Belt"/>
    <s v="Elena Vargas"/>
    <n v="1"/>
    <n v="50.08"/>
    <n v="0.05"/>
    <n v="47.58"/>
    <n v="50.08"/>
  </r>
  <r>
    <s v="K7-11788"/>
    <d v="2026-02-28T00:00:00"/>
    <s v="Texas"/>
    <s v="South"/>
    <s v="Retail Store"/>
    <s v="Returning"/>
    <s v="Accessories"/>
    <s v="Knit Beanie"/>
    <s v="Dylan Foster"/>
    <n v="8"/>
    <n v="23.94"/>
    <n v="0"/>
    <n v="191.52"/>
    <n v="191.52"/>
  </r>
  <r>
    <s v="K7-11789"/>
    <d v="2026-04-15T00:00:00"/>
    <s v="North Carolina"/>
    <s v="South"/>
    <s v="Retail Store"/>
    <s v="New"/>
    <s v="Footwear"/>
    <s v="Leather Boot"/>
    <s v="Priya Nair"/>
    <n v="2"/>
    <n v="215.22"/>
    <n v="0"/>
    <n v="430.44"/>
    <n v="430.44"/>
  </r>
  <r>
    <s v="K7-11790"/>
    <d v="2026-06-17T00:00:00"/>
    <s v="Texas"/>
    <s v="South"/>
    <s v="Online"/>
    <s v="Returning"/>
    <s v="Tops"/>
    <s v="Striped Polo"/>
    <s v="Ava Brooks"/>
    <n v="9"/>
    <n v="55.62"/>
    <n v="0"/>
    <n v="500.58"/>
    <n v="500.58"/>
  </r>
  <r>
    <s v="K7-11791"/>
    <d v="2026-04-13T00:00:00"/>
    <s v="California"/>
    <s v="West"/>
    <s v="Online"/>
    <s v="Returning"/>
    <s v="Bottoms"/>
    <s v="Slim Chino"/>
    <s v="Jonah Wright"/>
    <n v="5"/>
    <n v="81.91"/>
    <n v="0.05"/>
    <n v="389.07"/>
    <n v="409.54999999999995"/>
  </r>
  <r>
    <s v="K7-11792"/>
    <d v="2026-06-26T00:00:00"/>
    <s v="Texas"/>
    <s v="South"/>
    <s v="Retail Store"/>
    <s v="Returning"/>
    <s v="Outerwear"/>
    <s v="Wool Overcoat"/>
    <s v="Dylan Foster"/>
    <n v="1"/>
    <n v="311.35000000000002"/>
    <n v="0"/>
    <n v="311.35000000000002"/>
    <n v="311.35000000000002"/>
  </r>
  <r>
    <s v="K7-11793"/>
    <d v="2026-07-11T00:00:00"/>
    <s v="California"/>
    <s v="West"/>
    <s v="Online"/>
    <s v="Returning"/>
    <s v="Dresses"/>
    <s v="Wrap Dress"/>
    <s v="Grace Okafor"/>
    <n v="2"/>
    <n v="112.94"/>
    <n v="0.1"/>
    <n v="203.29"/>
    <n v="225.88"/>
  </r>
  <r>
    <s v="K7-11794"/>
    <d v="2026-01-25T00:00:00"/>
    <s v="Illinois"/>
    <s v="Midwest"/>
    <s v="Retail Store"/>
    <s v="Returning"/>
    <s v="Outerwear"/>
    <s v="Hooded Parka"/>
    <s v="Grace Okafor"/>
    <n v="1"/>
    <n v="227.47"/>
    <n v="0.1"/>
    <n v="204.72"/>
    <n v="227.47"/>
  </r>
  <r>
    <s v="K7-11795"/>
    <d v="2026-04-29T00:00:00"/>
    <s v="Pennsylvania"/>
    <s v="Northeast"/>
    <s v="Online"/>
    <s v="Returning"/>
    <s v="Accessories"/>
    <s v="Silk Scarf"/>
    <s v="Dylan Foster"/>
    <n v="2"/>
    <n v="65.19"/>
    <n v="0.15"/>
    <n v="110.82"/>
    <n v="130.38"/>
  </r>
  <r>
    <s v="K7-11796"/>
    <d v="2026-01-20T00:00:00"/>
    <s v="Washington"/>
    <s v="West"/>
    <s v="Marketplace"/>
    <s v="Returning"/>
    <s v="Footwear"/>
    <s v="Leather Boot"/>
    <s v="Ava Brooks"/>
    <n v="1"/>
    <n v="200.6"/>
    <n v="0"/>
    <n v="200.6"/>
    <n v="200.6"/>
  </r>
  <r>
    <s v="K7-11797"/>
    <d v="2026-03-12T00:00:00"/>
    <s v="New Jersey"/>
    <s v="Northeast"/>
    <s v="Online"/>
    <s v="New"/>
    <s v="Footwear"/>
    <s v="Canvas Sneaker"/>
    <s v="Ava Brooks"/>
    <n v="8"/>
    <n v="83.54"/>
    <n v="0.3"/>
    <n v="467.82"/>
    <n v="668.32"/>
  </r>
  <r>
    <s v="K7-11798"/>
    <d v="2026-07-06T00:00:00"/>
    <s v="New York"/>
    <s v="Northeast"/>
    <s v="Retail Store"/>
    <s v="New"/>
    <s v="Bottoms"/>
    <s v="Cargo Pant"/>
    <s v="Grace Okafor"/>
    <n v="1"/>
    <n v="85.1"/>
    <n v="0.05"/>
    <n v="80.84"/>
    <n v="85.1"/>
  </r>
  <r>
    <s v="K7-11799"/>
    <d v="2026-08-31T00:00:00"/>
    <s v="California"/>
    <s v="West"/>
    <s v="Wholesale"/>
    <s v="Returning"/>
    <s v="Dresses"/>
    <s v="Wrap Dress"/>
    <s v="Elena Vargas"/>
    <n v="1"/>
    <n v="110.72"/>
    <n v="0"/>
    <n v="110.72"/>
    <n v="110.72"/>
  </r>
  <r>
    <s v="K7-11800"/>
    <d v="2026-09-18T00:00:00"/>
    <s v="Florida"/>
    <s v="South"/>
    <s v="Wholesale"/>
    <s v="Returning"/>
    <s v="Footwear"/>
    <s v="Suede Loafer"/>
    <s v="Noor Haddad"/>
    <n v="15"/>
    <n v="146.88999999999999"/>
    <n v="0"/>
    <n v="2203.35"/>
    <n v="2203.35"/>
  </r>
  <r>
    <s v="K7-11801"/>
    <d v="2026-10-18T00:00:00"/>
    <s v="New York"/>
    <s v="Northeast"/>
    <s v="Retail Store"/>
    <s v="Returning"/>
    <s v="Tops"/>
    <s v="Henley Long Sleeve"/>
    <s v="Priya Nair"/>
    <n v="1"/>
    <n v="48.23"/>
    <n v="0"/>
    <n v="48.23"/>
    <n v="48.23"/>
  </r>
  <r>
    <s v="K7-11802"/>
    <d v="2026-11-22T00:00:00"/>
    <s v="Alabama"/>
    <s v="South"/>
    <s v="Wholesale"/>
    <s v="New"/>
    <s v="Bottoms"/>
    <s v="Straight Jeans"/>
    <s v="Ava Brooks"/>
    <n v="4"/>
    <n v="97.65"/>
    <n v="0"/>
    <n v="390.6"/>
    <n v="390.6"/>
  </r>
  <r>
    <s v="K7-11803"/>
    <d v="2026-10-29T00:00:00"/>
    <s v="Pennsylvania"/>
    <s v="Northeast"/>
    <s v="Online"/>
    <s v="New"/>
    <s v="Footwear"/>
    <s v="Leather Boot"/>
    <s v="Jonah Wright"/>
    <n v="2"/>
    <n v="207.47"/>
    <n v="0"/>
    <n v="414.94"/>
    <n v="414.94"/>
  </r>
  <r>
    <s v="K7-11804"/>
    <d v="2026-08-26T00:00:00"/>
    <s v="Texas"/>
    <s v="South"/>
    <s v="Retail Store"/>
    <s v="New"/>
    <s v="Footwear"/>
    <s v="Leather Boot"/>
    <s v="Noor Haddad"/>
    <n v="4"/>
    <n v="228.74"/>
    <n v="0"/>
    <n v="914.96"/>
    <n v="914.96"/>
  </r>
  <r>
    <s v="K7-11805"/>
    <d v="2026-12-09T00:00:00"/>
    <s v="California"/>
    <s v="West"/>
    <s v="Online"/>
    <s v="Returning"/>
    <s v="Footwear"/>
    <s v="Canvas Sneaker"/>
    <s v="Elena Vargas"/>
    <n v="3"/>
    <n v="84.35"/>
    <n v="0"/>
    <n v="253.05"/>
    <n v="253.04999999999998"/>
  </r>
  <r>
    <s v="K7-11806"/>
    <d v="2026-04-23T00:00:00"/>
    <s v="California"/>
    <s v="West"/>
    <s v="Retail Store"/>
    <s v="Returning"/>
    <s v="Tops"/>
    <s v="Henley Long Sleeve"/>
    <s v="Elena Vargas"/>
    <n v="1"/>
    <n v="48.22"/>
    <n v="0"/>
    <n v="48.22"/>
    <n v="48.22"/>
  </r>
  <r>
    <s v="K7-11807"/>
    <d v="2026-05-14T00:00:00"/>
    <s v="Texas"/>
    <s v="South"/>
    <s v="Online"/>
    <s v="New"/>
    <s v="Accessories"/>
    <s v="Knit Beanie"/>
    <s v="Dylan Foster"/>
    <n v="3"/>
    <n v="25.09"/>
    <n v="0"/>
    <n v="75.27"/>
    <n v="75.27"/>
  </r>
  <r>
    <s v="K7-11808"/>
    <d v="2026-04-05T00:00:00"/>
    <s v="Minnesota"/>
    <s v="Midwest"/>
    <s v="Online"/>
    <s v="Returning"/>
    <s v="Footwear"/>
    <s v="Suede Loafer"/>
    <s v="Ava Brooks"/>
    <n v="5"/>
    <n v="160.13"/>
    <n v="0"/>
    <n v="800.65"/>
    <n v="800.65"/>
  </r>
  <r>
    <s v="K7-11809"/>
    <d v="2026-04-18T00:00:00"/>
    <s v="Virginia"/>
    <s v="South"/>
    <s v="Retail Store"/>
    <s v="New"/>
    <s v="Bottoms"/>
    <s v="Slim Chino"/>
    <s v="Dylan Foster"/>
    <n v="4"/>
    <n v="81.97"/>
    <n v="0.1"/>
    <n v="295.08999999999997"/>
    <n v="327.88"/>
  </r>
  <r>
    <s v="K7-11810"/>
    <d v="2026-10-13T00:00:00"/>
    <s v="California"/>
    <s v="West"/>
    <s v="Wholesale"/>
    <s v="Returning"/>
    <s v="Tops"/>
    <s v="Henley Long Sleeve"/>
    <s v="Noor Haddad"/>
    <n v="2"/>
    <n v="43.28"/>
    <n v="0"/>
    <n v="86.56"/>
    <n v="86.56"/>
  </r>
  <r>
    <s v="K7-11811"/>
    <d v="2026-11-28T00:00:00"/>
    <s v="North Carolina"/>
    <s v="South"/>
    <s v="Online"/>
    <s v="Returning"/>
    <s v="Tops"/>
    <s v="Striped Polo"/>
    <s v="Jonah Wright"/>
    <n v="1"/>
    <n v="56.03"/>
    <n v="0.05"/>
    <n v="53.23"/>
    <n v="56.03"/>
  </r>
  <r>
    <s v="K7-11812"/>
    <d v="2026-06-16T00:00:00"/>
    <s v="California"/>
    <s v="West"/>
    <s v="Online"/>
    <s v="Returning"/>
    <s v="Accessories"/>
    <s v="Leather Belt"/>
    <s v="Elena Vargas"/>
    <n v="2"/>
    <n v="46.57"/>
    <n v="0.15"/>
    <n v="79.17"/>
    <n v="93.14"/>
  </r>
  <r>
    <s v="K7-11813"/>
    <d v="2026-12-03T00:00:00"/>
    <s v="Georgia"/>
    <s v="South"/>
    <s v="Retail Store"/>
    <s v="New"/>
    <s v="Footwear"/>
    <s v="Canvas Sneaker"/>
    <s v="Grace Okafor"/>
    <n v="6"/>
    <n v="82.05"/>
    <n v="0.05"/>
    <n v="467.68"/>
    <n v="492.29999999999995"/>
  </r>
  <r>
    <s v="K7-11814"/>
    <d v="2026-02-16T00:00:00"/>
    <s v="California"/>
    <s v="West"/>
    <s v="Online"/>
    <s v="New"/>
    <s v="Bottoms"/>
    <s v="Cargo Pant"/>
    <s v="Priya Nair"/>
    <n v="2"/>
    <n v="79.09"/>
    <n v="0.3"/>
    <n v="110.73"/>
    <n v="158.18"/>
  </r>
  <r>
    <s v="K7-11815"/>
    <d v="2026-01-28T00:00:00"/>
    <s v="New Jersey"/>
    <s v="Northeast"/>
    <s v="Retail Store"/>
    <s v="New"/>
    <s v="Footwear"/>
    <s v="Canvas Sneaker"/>
    <s v="Jonah Wright"/>
    <n v="3"/>
    <n v="82.02"/>
    <n v="0.1"/>
    <n v="221.45"/>
    <n v="246.06"/>
  </r>
  <r>
    <s v="K7-11816"/>
    <d v="2026-05-05T00:00:00"/>
    <s v="Texas"/>
    <s v="South"/>
    <s v="Online"/>
    <s v="Returning"/>
    <s v="Bottoms"/>
    <s v="Slim Chino"/>
    <s v="Ava Brooks"/>
    <n v="3"/>
    <n v="74.900000000000006"/>
    <n v="0"/>
    <n v="224.7"/>
    <n v="224.70000000000002"/>
  </r>
  <r>
    <s v="K7-11817"/>
    <d v="2026-11-16T00:00:00"/>
    <s v="Massachusetts"/>
    <s v="Northeast"/>
    <s v="Online"/>
    <s v="Returning"/>
    <s v="Accessories"/>
    <s v="Silk Scarf"/>
    <s v="Noor Haddad"/>
    <n v="1"/>
    <n v="58.27"/>
    <n v="0.1"/>
    <n v="52.44"/>
    <n v="58.27"/>
  </r>
  <r>
    <s v="K7-11818"/>
    <d v="2026-08-16T00:00:00"/>
    <s v="Massachusetts"/>
    <s v="Northeast"/>
    <s v="Retail Store"/>
    <s v="New"/>
    <s v="Bottoms"/>
    <s v="Straight Jeans"/>
    <s v="Elena Vargas"/>
    <n v="4"/>
    <n v="94.08"/>
    <n v="0.05"/>
    <n v="357.5"/>
    <n v="376.32"/>
  </r>
  <r>
    <s v="K7-11819"/>
    <d v="2026-12-20T00:00:00"/>
    <s v="North Carolina"/>
    <s v="South"/>
    <s v="Retail Store"/>
    <s v="Returning"/>
    <s v="Accessories"/>
    <s v="Knit Beanie"/>
    <s v="Elena Vargas"/>
    <n v="7"/>
    <n v="27.16"/>
    <n v="0"/>
    <n v="190.12"/>
    <n v="190.12"/>
  </r>
  <r>
    <s v="K7-11820"/>
    <d v="2026-04-07T00:00:00"/>
    <s v="Washington"/>
    <s v="West"/>
    <s v="Online"/>
    <s v="New"/>
    <s v="Bottoms"/>
    <s v="Straight Jeans"/>
    <s v="Priya Nair"/>
    <n v="6"/>
    <n v="90.34"/>
    <n v="0"/>
    <n v="542.04"/>
    <n v="542.04"/>
  </r>
  <r>
    <s v="K7-11821"/>
    <d v="2026-03-15T00:00:00"/>
    <s v="Florida"/>
    <s v="South"/>
    <s v="Marketplace"/>
    <s v="New"/>
    <s v="Bottoms"/>
    <s v="Slim Chino"/>
    <s v="Grace Okafor"/>
    <n v="5"/>
    <n v="80.69"/>
    <n v="0.1"/>
    <n v="363.11"/>
    <n v="403.45"/>
  </r>
  <r>
    <s v="K7-11822"/>
    <d v="2026-05-11T00:00:00"/>
    <s v="Washington"/>
    <s v="West"/>
    <s v="Online"/>
    <s v="Returning"/>
    <s v="Accessories"/>
    <s v="Leather Belt"/>
    <s v="Noor Haddad"/>
    <n v="1"/>
    <n v="46.35"/>
    <n v="0"/>
    <n v="46.35"/>
    <n v="46.35"/>
  </r>
  <r>
    <s v="K7-11823"/>
    <d v="2026-11-07T00:00:00"/>
    <s v="Florida"/>
    <s v="South"/>
    <s v="Wholesale"/>
    <s v="Returning"/>
    <s v="Tops"/>
    <s v="Classic Tee"/>
    <s v="Grace Okafor"/>
    <n v="5"/>
    <n v="33"/>
    <n v="0"/>
    <n v="165"/>
    <n v="165"/>
  </r>
  <r>
    <s v="K7-11824"/>
    <d v="2026-06-06T00:00:00"/>
    <s v="South Carolina"/>
    <s v="South"/>
    <s v="Retail Store"/>
    <s v="New"/>
    <s v="Bottoms"/>
    <s v="Tailored Short"/>
    <s v="Jonah Wright"/>
    <n v="2"/>
    <n v="59.7"/>
    <n v="0.05"/>
    <n v="113.43"/>
    <n v="119.4"/>
  </r>
  <r>
    <s v="K7-11825"/>
    <d v="2026-09-14T00:00:00"/>
    <s v="New York"/>
    <s v="Northeast"/>
    <s v="Marketplace"/>
    <s v="Returning"/>
    <s v="Footwear"/>
    <s v="Leather Boot"/>
    <s v="Noor Haddad"/>
    <n v="4"/>
    <n v="210.55"/>
    <n v="0"/>
    <n v="842.2"/>
    <n v="842.2"/>
  </r>
  <r>
    <s v="K7-11826"/>
    <d v="2026-05-10T00:00:00"/>
    <s v="California"/>
    <s v="West"/>
    <s v="Wholesale"/>
    <s v="Returning"/>
    <s v="Bottoms"/>
    <s v="Tailored Short"/>
    <s v="Marcus Reed"/>
    <n v="2"/>
    <n v="60.22"/>
    <n v="0"/>
    <n v="120.44"/>
    <n v="120.44"/>
  </r>
  <r>
    <s v="K7-11827"/>
    <d v="2026-02-27T00:00:00"/>
    <s v="Tennessee"/>
    <s v="South"/>
    <s v="Retail Store"/>
    <s v="Returning"/>
    <s v="Bottoms"/>
    <s v="Slim Chino"/>
    <s v="Priya Nair"/>
    <n v="1"/>
    <n v="80.28"/>
    <n v="0.1"/>
    <n v="72.25"/>
    <n v="80.28"/>
  </r>
  <r>
    <s v="K7-11828"/>
    <d v="2026-12-05T00:00:00"/>
    <s v="California"/>
    <s v="West"/>
    <s v="Retail Store"/>
    <s v="Returning"/>
    <s v="Dresses"/>
    <s v="Linen Shirt Dress"/>
    <s v="Priya Nair"/>
    <n v="5"/>
    <n v="131.01"/>
    <n v="0"/>
    <n v="655.04999999999995"/>
    <n v="655.04999999999995"/>
  </r>
  <r>
    <s v="K7-11829"/>
    <d v="2026-10-18T00:00:00"/>
    <s v="New York"/>
    <s v="Northeast"/>
    <s v="Retail Store"/>
    <s v="Returning"/>
    <s v="Tops"/>
    <s v="Oxford Shirt"/>
    <s v="Noor Haddad"/>
    <n v="1"/>
    <n v="72.22"/>
    <n v="0"/>
    <n v="72.22"/>
    <n v="72.22"/>
  </r>
  <r>
    <s v="K7-11830"/>
    <d v="2026-09-07T00:00:00"/>
    <s v="California"/>
    <s v="West"/>
    <s v="Online"/>
    <s v="Returning"/>
    <s v="Accessories"/>
    <s v="Knit Beanie"/>
    <s v="Grace Okafor"/>
    <n v="2"/>
    <n v="24.15"/>
    <n v="0"/>
    <n v="48.3"/>
    <n v="48.3"/>
  </r>
  <r>
    <s v="K7-11831"/>
    <d v="2026-02-21T00:00:00"/>
    <s v="Minnesota"/>
    <s v="Midwest"/>
    <s v="Online"/>
    <s v="Returning"/>
    <s v="Dresses"/>
    <s v="Midi Slip Dress"/>
    <s v="Grace Okafor"/>
    <n v="1"/>
    <n v="98.52"/>
    <n v="0"/>
    <n v="98.52"/>
    <n v="98.52"/>
  </r>
  <r>
    <s v="K7-11832"/>
    <d v="2026-02-03T00:00:00"/>
    <s v="Tennessee"/>
    <s v="South"/>
    <s v="Wholesale"/>
    <s v="Returning"/>
    <s v="Outerwear"/>
    <s v="Wool Overcoat"/>
    <s v="Ava Brooks"/>
    <n v="1"/>
    <n v="301.64999999999998"/>
    <n v="0"/>
    <n v="301.64999999999998"/>
    <n v="301.64999999999998"/>
  </r>
  <r>
    <s v="K7-11833"/>
    <d v="2026-08-23T00:00:00"/>
    <s v="New Jersey"/>
    <s v="Northeast"/>
    <s v="Retail Store"/>
    <s v="Returning"/>
    <s v="Accessories"/>
    <s v="Leather Belt"/>
    <s v="Elena Vargas"/>
    <n v="2"/>
    <n v="46.48"/>
    <n v="0.15"/>
    <n v="79.02"/>
    <n v="92.96"/>
  </r>
  <r>
    <s v="K7-11834"/>
    <d v="2026-11-25T00:00:00"/>
    <s v="Virginia"/>
    <s v="South"/>
    <s v="Online"/>
    <s v="Returning"/>
    <s v="Tops"/>
    <s v="Oxford Shirt"/>
    <s v="Priya Nair"/>
    <n v="2"/>
    <n v="66.62"/>
    <n v="0.05"/>
    <n v="126.58"/>
    <n v="133.24"/>
  </r>
  <r>
    <s v="K7-11835"/>
    <d v="2026-03-28T00:00:00"/>
    <s v="New York"/>
    <s v="Northeast"/>
    <s v="Marketplace"/>
    <s v="Returning"/>
    <s v="Tops"/>
    <s v="Oxford Shirt"/>
    <s v="Priya Nair"/>
    <n v="1"/>
    <n v="72.930000000000007"/>
    <n v="0"/>
    <n v="72.930000000000007"/>
    <n v="72.930000000000007"/>
  </r>
  <r>
    <s v="K7-11836"/>
    <d v="2026-10-15T00:00:00"/>
    <s v="California"/>
    <s v="West"/>
    <s v="Marketplace"/>
    <s v="Returning"/>
    <s v="Tops"/>
    <s v="Henley Long Sleeve"/>
    <s v="Priya Nair"/>
    <n v="4"/>
    <n v="42.51"/>
    <n v="0.15"/>
    <n v="144.53"/>
    <n v="170.04"/>
  </r>
  <r>
    <s v="K7-11837"/>
    <d v="2026-04-16T00:00:00"/>
    <s v="Utah"/>
    <s v="West"/>
    <s v="Wholesale"/>
    <s v="New"/>
    <s v="Outerwear"/>
    <s v="Quilted Jacket"/>
    <s v="Grace Okafor"/>
    <n v="1"/>
    <n v="164.68"/>
    <n v="0"/>
    <n v="164.68"/>
    <n v="164.68"/>
  </r>
  <r>
    <s v="K7-11838"/>
    <d v="2026-06-02T00:00:00"/>
    <s v="Missouri"/>
    <s v="Midwest"/>
    <s v="Online"/>
    <s v="New"/>
    <s v="Footwear"/>
    <s v="Leather Boot"/>
    <s v="Dylan Foster"/>
    <n v="1"/>
    <n v="226.51"/>
    <n v="0"/>
    <n v="226.51"/>
    <n v="226.51"/>
  </r>
  <r>
    <s v="K7-11839"/>
    <d v="2026-04-12T00:00:00"/>
    <s v="Virginia"/>
    <s v="South"/>
    <s v="Online"/>
    <s v="New"/>
    <s v="Outerwear"/>
    <s v="Wool Overcoat"/>
    <s v="Grace Okafor"/>
    <n v="5"/>
    <n v="277.86"/>
    <n v="0"/>
    <n v="1389.3"/>
    <n v="1389.3000000000002"/>
  </r>
  <r>
    <s v="K7-11840"/>
    <d v="2026-08-24T00:00:00"/>
    <s v="Texas"/>
    <s v="South"/>
    <s v="Retail Store"/>
    <s v="New"/>
    <s v="Dresses"/>
    <s v="Midi Slip Dress"/>
    <s v="Dylan Foster"/>
    <n v="8"/>
    <n v="93"/>
    <n v="0"/>
    <n v="744"/>
    <n v="744"/>
  </r>
  <r>
    <s v="K7-11841"/>
    <d v="2026-05-05T00:00:00"/>
    <s v="New York"/>
    <s v="Northeast"/>
    <s v="Marketplace"/>
    <s v="Returning"/>
    <s v="Dresses"/>
    <s v="Midi Slip Dress"/>
    <s v="Jonah Wright"/>
    <n v="4"/>
    <n v="95"/>
    <n v="0"/>
    <n v="380"/>
    <n v="380"/>
  </r>
  <r>
    <s v="K7-11842"/>
    <d v="2026-11-28T00:00:00"/>
    <s v="Massachusetts"/>
    <s v="Northeast"/>
    <s v="Online"/>
    <s v="New"/>
    <s v="Tops"/>
    <s v="Classic Tee"/>
    <s v="Noor Haddad"/>
    <n v="5"/>
    <n v="29.61"/>
    <n v="0"/>
    <n v="148.05000000000001"/>
    <n v="148.05000000000001"/>
  </r>
  <r>
    <s v="K7-11843"/>
    <d v="2026-09-14T00:00:00"/>
    <s v="Utah"/>
    <s v="West"/>
    <s v="Online"/>
    <s v="New"/>
    <s v="Footwear"/>
    <s v="Suede Loafer"/>
    <s v="Jonah Wright"/>
    <n v="3"/>
    <n v="161.22999999999999"/>
    <n v="0"/>
    <n v="483.69"/>
    <n v="483.68999999999994"/>
  </r>
  <r>
    <s v="K7-11844"/>
    <d v="2026-03-05T00:00:00"/>
    <s v="Washington"/>
    <s v="West"/>
    <s v="Retail Store"/>
    <s v="Returning"/>
    <s v="Dresses"/>
    <s v="Midi Slip Dress"/>
    <s v="Elena Vargas"/>
    <n v="8"/>
    <n v="92.87"/>
    <n v="0"/>
    <n v="742.96"/>
    <n v="742.96"/>
  </r>
  <r>
    <s v="K7-11845"/>
    <d v="2026-05-28T00:00:00"/>
    <s v="Washington"/>
    <s v="West"/>
    <s v="Retail Store"/>
    <s v="Returning"/>
    <s v="Dresses"/>
    <s v="Linen Shirt Dress"/>
    <s v="Jonah Wright"/>
    <n v="1"/>
    <n v="124.71"/>
    <n v="0.05"/>
    <n v="118.47"/>
    <n v="124.71"/>
  </r>
  <r>
    <s v="K7-11846"/>
    <d v="2026-03-18T00:00:00"/>
    <s v="Minnesota"/>
    <s v="Midwest"/>
    <s v="Wholesale"/>
    <s v="New"/>
    <s v="Accessories"/>
    <s v="Canvas Tote"/>
    <s v="Ava Brooks"/>
    <n v="5"/>
    <n v="39.21"/>
    <n v="0"/>
    <n v="196.05"/>
    <n v="196.05"/>
  </r>
  <r>
    <s v="K7-11847"/>
    <d v="2026-04-18T00:00:00"/>
    <s v="California"/>
    <s v="West"/>
    <s v="Wholesale"/>
    <s v="Returning"/>
    <s v="Outerwear"/>
    <s v="Denim Trucker"/>
    <s v="Grace Okafor"/>
    <n v="6"/>
    <n v="121.61"/>
    <n v="0.2"/>
    <n v="583.73"/>
    <n v="729.66"/>
  </r>
  <r>
    <s v="K7-11848"/>
    <d v="2026-02-28T00:00:00"/>
    <s v="Colorado"/>
    <s v="West"/>
    <s v="Marketplace"/>
    <s v="Returning"/>
    <s v="Footwear"/>
    <s v="Suede Loafer"/>
    <s v="Priya Nair"/>
    <n v="1"/>
    <n v="161.52000000000001"/>
    <n v="0.1"/>
    <n v="145.37"/>
    <n v="161.52000000000001"/>
  </r>
  <r>
    <s v="K7-11849"/>
    <d v="2026-10-02T00:00:00"/>
    <s v="Ohio"/>
    <s v="Midwest"/>
    <s v="Online"/>
    <s v="Returning"/>
    <s v="Bottoms"/>
    <s v="Cargo Pant"/>
    <s v="Dylan Foster"/>
    <n v="3"/>
    <n v="83.71"/>
    <n v="0"/>
    <n v="251.13"/>
    <n v="251.13"/>
  </r>
  <r>
    <s v="K7-11850"/>
    <d v="2026-10-10T00:00:00"/>
    <s v="Florida"/>
    <s v="South"/>
    <s v="Online"/>
    <s v="Returning"/>
    <s v="Outerwear"/>
    <s v="Denim Trucker"/>
    <s v="Jonah Wright"/>
    <n v="3"/>
    <n v="131.66999999999999"/>
    <n v="0"/>
    <n v="395.01"/>
    <n v="395.01"/>
  </r>
  <r>
    <s v="K7-11851"/>
    <d v="2026-06-09T00:00:00"/>
    <s v="Texas"/>
    <s v="South"/>
    <s v="Wholesale"/>
    <s v="Returning"/>
    <s v="Footwear"/>
    <s v="Suede Loafer"/>
    <s v="Elena Vargas"/>
    <n v="1"/>
    <n v="161.07"/>
    <n v="0"/>
    <n v="161.07"/>
    <n v="161.07"/>
  </r>
  <r>
    <s v="K7-11852"/>
    <d v="2026-06-27T00:00:00"/>
    <s v="Ohio"/>
    <s v="Midwest"/>
    <s v="Online"/>
    <s v="New"/>
    <s v="Tops"/>
    <s v="Classic Tee"/>
    <s v="Ava Brooks"/>
    <n v="1"/>
    <n v="32.89"/>
    <n v="0"/>
    <n v="32.89"/>
    <n v="32.89"/>
  </r>
  <r>
    <s v="K7-11853"/>
    <d v="2026-02-21T00:00:00"/>
    <s v="Massachusetts"/>
    <s v="Northeast"/>
    <s v="Online"/>
    <s v="New"/>
    <s v="Dresses"/>
    <s v="Wrap Dress"/>
    <s v="Marcus Reed"/>
    <n v="1"/>
    <n v="119.2"/>
    <n v="0.05"/>
    <n v="113.24"/>
    <n v="119.2"/>
  </r>
  <r>
    <s v="K7-11854"/>
    <d v="2026-06-07T00:00:00"/>
    <s v="Utah"/>
    <s v="West"/>
    <s v="Retail Store"/>
    <s v="Returning"/>
    <s v="Bottoms"/>
    <s v="Tailored Short"/>
    <s v="Noor Haddad"/>
    <n v="1"/>
    <n v="56.98"/>
    <n v="0.05"/>
    <n v="54.13"/>
    <n v="56.98"/>
  </r>
  <r>
    <s v="K7-11855"/>
    <d v="2026-04-24T00:00:00"/>
    <s v="Virginia"/>
    <s v="South"/>
    <s v="Online"/>
    <s v="Returning"/>
    <s v="Accessories"/>
    <s v="Leather Belt"/>
    <s v="Noor Haddad"/>
    <n v="1"/>
    <n v="46.49"/>
    <n v="0"/>
    <n v="46.49"/>
    <n v="46.49"/>
  </r>
  <r>
    <s v="K7-11856"/>
    <d v="2026-08-15T00:00:00"/>
    <s v="Ohio"/>
    <s v="Midwest"/>
    <s v="Online"/>
    <s v="Returning"/>
    <s v="Outerwear"/>
    <s v="Hooded Parka"/>
    <s v="Noor Haddad"/>
    <n v="6"/>
    <n v="247.2"/>
    <n v="0"/>
    <n v="1483.2"/>
    <n v="1483.1999999999998"/>
  </r>
  <r>
    <s v="K7-11857"/>
    <d v="2026-12-02T00:00:00"/>
    <s v="Indiana"/>
    <s v="Midwest"/>
    <s v="Online"/>
    <s v="New"/>
    <s v="Accessories"/>
    <s v="Leather Belt"/>
    <s v="Ava Brooks"/>
    <n v="2"/>
    <n v="44.78"/>
    <n v="0"/>
    <n v="89.56"/>
    <n v="89.56"/>
  </r>
  <r>
    <s v="K7-11858"/>
    <d v="2026-09-19T00:00:00"/>
    <s v="Virginia"/>
    <s v="South"/>
    <s v="Online"/>
    <s v="Returning"/>
    <s v="Dresses"/>
    <s v="Wrap Dress"/>
    <s v="Marcus Reed"/>
    <n v="8"/>
    <n v="116.77"/>
    <n v="0"/>
    <n v="934.16"/>
    <n v="934.16"/>
  </r>
  <r>
    <s v="K7-11859"/>
    <d v="2026-06-29T00:00:00"/>
    <s v="Oregon"/>
    <s v="West"/>
    <s v="Online"/>
    <s v="Returning"/>
    <s v="Bottoms"/>
    <s v="Tailored Short"/>
    <s v="Noor Haddad"/>
    <n v="1"/>
    <n v="58.76"/>
    <n v="0.1"/>
    <n v="52.88"/>
    <n v="58.76"/>
  </r>
  <r>
    <s v="K7-11860"/>
    <d v="2026-12-24T00:00:00"/>
    <s v="New Jersey"/>
    <s v="Northeast"/>
    <s v="Retail Store"/>
    <s v="Returning"/>
    <s v="Accessories"/>
    <s v="Knit Beanie"/>
    <s v="Dylan Foster"/>
    <n v="18"/>
    <n v="25.88"/>
    <n v="0.05"/>
    <n v="442.55"/>
    <n v="465.84"/>
  </r>
  <r>
    <s v="K7-11861"/>
    <d v="2026-03-29T00:00:00"/>
    <s v="Indiana"/>
    <s v="Midwest"/>
    <s v="Wholesale"/>
    <s v="Returning"/>
    <s v="Outerwear"/>
    <s v="Wool Overcoat"/>
    <s v="Priya Nair"/>
    <n v="1"/>
    <n v="287.86"/>
    <n v="0.3"/>
    <n v="201.5"/>
    <n v="287.86"/>
  </r>
  <r>
    <s v="K7-11862"/>
    <d v="2026-07-10T00:00:00"/>
    <s v="Georgia"/>
    <s v="South"/>
    <s v="Online"/>
    <s v="Returning"/>
    <s v="Outerwear"/>
    <s v="Hooded Parka"/>
    <s v="Jonah Wright"/>
    <n v="1"/>
    <n v="253.75"/>
    <n v="0.1"/>
    <n v="228.38"/>
    <n v="253.75"/>
  </r>
  <r>
    <s v="K7-11863"/>
    <d v="2026-09-24T00:00:00"/>
    <s v="Florida"/>
    <s v="South"/>
    <s v="Online"/>
    <s v="New"/>
    <s v="Bottoms"/>
    <s v="Cargo Pant"/>
    <s v="Marcus Reed"/>
    <n v="1"/>
    <n v="85.35"/>
    <n v="0.1"/>
    <n v="76.81"/>
    <n v="85.35"/>
  </r>
  <r>
    <s v="K7-11864"/>
    <d v="2026-03-07T00:00:00"/>
    <s v="Pennsylvania"/>
    <s v="Northeast"/>
    <s v="Retail Store"/>
    <s v="Returning"/>
    <s v="Tops"/>
    <s v="Oxford Shirt"/>
    <s v="Marcus Reed"/>
    <n v="6"/>
    <n v="63.84"/>
    <n v="0.05"/>
    <n v="363.89"/>
    <n v="383.04"/>
  </r>
  <r>
    <s v="K7-11865"/>
    <d v="2026-05-02T00:00:00"/>
    <s v="Pennsylvania"/>
    <s v="Northeast"/>
    <s v="Online"/>
    <s v="Returning"/>
    <s v="Dresses"/>
    <s v="Wrap Dress"/>
    <s v="Priya Nair"/>
    <n v="2"/>
    <n v="124.15"/>
    <n v="0"/>
    <n v="248.3"/>
    <n v="248.3"/>
  </r>
  <r>
    <s v="K7-11866"/>
    <d v="2026-08-04T00:00:00"/>
    <s v="Alabama"/>
    <s v="South"/>
    <s v="Retail Store"/>
    <s v="Returning"/>
    <s v="Outerwear"/>
    <s v="Quilted Jacket"/>
    <s v="Marcus Reed"/>
    <n v="3"/>
    <n v="157.88"/>
    <n v="0.05"/>
    <n v="449.96"/>
    <n v="473.64"/>
  </r>
  <r>
    <s v="K7-11867"/>
    <d v="2026-03-07T00:00:00"/>
    <s v="California"/>
    <s v="West"/>
    <s v="Marketplace"/>
    <s v="New"/>
    <s v="Dresses"/>
    <s v="Linen Shirt Dress"/>
    <s v="Marcus Reed"/>
    <n v="3"/>
    <n v="128.15"/>
    <n v="0"/>
    <n v="384.45"/>
    <n v="384.45000000000005"/>
  </r>
  <r>
    <s v="K7-11868"/>
    <d v="2026-02-25T00:00:00"/>
    <s v="Michigan"/>
    <s v="Midwest"/>
    <s v="Online"/>
    <s v="New"/>
    <s v="Bottoms"/>
    <s v="Slim Chino"/>
    <s v="Ava Brooks"/>
    <n v="1"/>
    <n v="79.23"/>
    <n v="0"/>
    <n v="79.23"/>
    <n v="79.23"/>
  </r>
  <r>
    <s v="K7-11869"/>
    <d v="2026-02-28T00:00:00"/>
    <s v="Pennsylvania"/>
    <s v="Northeast"/>
    <s v="Marketplace"/>
    <s v="Returning"/>
    <s v="Dresses"/>
    <s v="Linen Shirt Dress"/>
    <s v="Grace Okafor"/>
    <n v="1"/>
    <n v="126.44"/>
    <n v="0.1"/>
    <n v="113.8"/>
    <n v="126.44"/>
  </r>
  <r>
    <s v="K7-11870"/>
    <d v="2026-08-26T00:00:00"/>
    <s v="Georgia"/>
    <s v="South"/>
    <s v="Online"/>
    <s v="Returning"/>
    <s v="Bottoms"/>
    <s v="Tailored Short"/>
    <s v="Noor Haddad"/>
    <n v="1"/>
    <n v="57.25"/>
    <n v="0.2"/>
    <n v="45.8"/>
    <n v="57.25"/>
  </r>
  <r>
    <s v="K7-11871"/>
    <d v="2026-12-27T00:00:00"/>
    <s v="California"/>
    <s v="West"/>
    <s v="Marketplace"/>
    <s v="Returning"/>
    <s v="Accessories"/>
    <s v="Canvas Tote"/>
    <s v="Elena Vargas"/>
    <n v="1"/>
    <n v="38.979999999999997"/>
    <n v="0"/>
    <n v="38.979999999999997"/>
    <n v="38.979999999999997"/>
  </r>
  <r>
    <s v="K7-11872"/>
    <d v="2026-10-07T00:00:00"/>
    <s v="Washington"/>
    <s v="West"/>
    <s v="Retail Store"/>
    <s v="Returning"/>
    <s v="Accessories"/>
    <s v="Canvas Tote"/>
    <s v="Marcus Reed"/>
    <n v="5"/>
    <n v="38.729999999999997"/>
    <n v="0"/>
    <n v="193.65"/>
    <n v="193.64999999999998"/>
  </r>
  <r>
    <s v="K7-11873"/>
    <d v="2026-11-23T00:00:00"/>
    <s v="Texas"/>
    <s v="South"/>
    <s v="Retail Store"/>
    <s v="Returning"/>
    <s v="Tops"/>
    <s v="Striped Polo"/>
    <s v="Marcus Reed"/>
    <n v="2"/>
    <n v="53.31"/>
    <n v="0"/>
    <n v="106.62"/>
    <n v="106.62"/>
  </r>
  <r>
    <s v="K7-11874"/>
    <d v="2026-12-08T00:00:00"/>
    <s v="Minnesota"/>
    <s v="Midwest"/>
    <s v="Online"/>
    <s v="Returning"/>
    <s v="Tops"/>
    <s v="Striped Polo"/>
    <s v="Dylan Foster"/>
    <n v="2"/>
    <n v="51.53"/>
    <n v="0.05"/>
    <n v="97.91"/>
    <n v="103.06"/>
  </r>
  <r>
    <s v="K7-11875"/>
    <d v="2026-07-03T00:00:00"/>
    <s v="Virginia"/>
    <s v="South"/>
    <s v="Marketplace"/>
    <s v="Returning"/>
    <s v="Tops"/>
    <s v="Henley Long Sleeve"/>
    <s v="Noor Haddad"/>
    <n v="1"/>
    <n v="44.42"/>
    <n v="0.05"/>
    <n v="42.2"/>
    <n v="44.42"/>
  </r>
  <r>
    <s v="K7-11876"/>
    <d v="2026-09-16T00:00:00"/>
    <s v="New Jersey"/>
    <s v="Northeast"/>
    <s v="Wholesale"/>
    <s v="Returning"/>
    <s v="Tops"/>
    <s v="Classic Tee"/>
    <s v="Jonah Wright"/>
    <n v="5"/>
    <n v="32.630000000000003"/>
    <n v="0"/>
    <n v="163.15"/>
    <n v="163.15"/>
  </r>
  <r>
    <s v="K7-11877"/>
    <d v="2026-01-29T00:00:00"/>
    <s v="Texas"/>
    <s v="South"/>
    <s v="Retail Store"/>
    <s v="Returning"/>
    <s v="Tops"/>
    <s v="Oxford Shirt"/>
    <s v="Ava Brooks"/>
    <n v="1"/>
    <n v="63.48"/>
    <n v="0"/>
    <n v="63.48"/>
    <n v="63.48"/>
  </r>
  <r>
    <s v="K7-11878"/>
    <d v="2026-05-23T00:00:00"/>
    <s v="Pennsylvania"/>
    <s v="Northeast"/>
    <s v="Retail Store"/>
    <s v="New"/>
    <s v="Dresses"/>
    <s v="Wrap Dress"/>
    <s v="Marcus Reed"/>
    <n v="2"/>
    <n v="121.86"/>
    <n v="0.15"/>
    <n v="207.16"/>
    <n v="243.72"/>
  </r>
  <r>
    <s v="K7-11879"/>
    <d v="2026-12-06T00:00:00"/>
    <s v="California"/>
    <s v="West"/>
    <s v="Online"/>
    <s v="New"/>
    <s v="Dresses"/>
    <s v="Midi Slip Dress"/>
    <s v="Noor Haddad"/>
    <n v="6"/>
    <n v="97.59"/>
    <n v="0.05"/>
    <n v="556.26"/>
    <n v="585.54"/>
  </r>
  <r>
    <s v="K7-11880"/>
    <d v="2026-11-28T00:00:00"/>
    <s v="Texas"/>
    <s v="South"/>
    <s v="Online"/>
    <s v="New"/>
    <s v="Outerwear"/>
    <s v="Hooded Parka"/>
    <s v="Noor Haddad"/>
    <n v="10"/>
    <n v="237.43"/>
    <n v="0"/>
    <n v="2374.3000000000002"/>
    <n v="2374.3000000000002"/>
  </r>
  <r>
    <s v="K7-11881"/>
    <d v="2026-03-07T00:00:00"/>
    <s v="North Carolina"/>
    <s v="South"/>
    <s v="Marketplace"/>
    <s v="Returning"/>
    <s v="Bottoms"/>
    <s v="Slim Chino"/>
    <s v="Grace Okafor"/>
    <n v="5"/>
    <n v="71.73"/>
    <n v="0"/>
    <n v="358.65"/>
    <n v="358.65000000000003"/>
  </r>
  <r>
    <s v="K7-11882"/>
    <d v="2026-03-02T00:00:00"/>
    <s v="Wisconsin"/>
    <s v="Midwest"/>
    <s v="Retail Store"/>
    <s v="Returning"/>
    <s v="Bottoms"/>
    <s v="Straight Jeans"/>
    <s v="Elena Vargas"/>
    <n v="1"/>
    <n v="91.43"/>
    <n v="0.1"/>
    <n v="82.29"/>
    <n v="91.43"/>
  </r>
  <r>
    <s v="K7-11883"/>
    <d v="2026-03-30T00:00:00"/>
    <s v="New York"/>
    <s v="Northeast"/>
    <s v="Wholesale"/>
    <s v="New"/>
    <s v="Bottoms"/>
    <s v="Cargo Pant"/>
    <s v="Dylan Foster"/>
    <n v="3"/>
    <n v="80.319999999999993"/>
    <n v="0"/>
    <n v="240.96"/>
    <n v="240.95999999999998"/>
  </r>
  <r>
    <s v="K7-11884"/>
    <d v="2026-02-21T00:00:00"/>
    <s v="California"/>
    <s v="West"/>
    <s v="Retail Store"/>
    <s v="New"/>
    <s v="Bottoms"/>
    <s v="Cargo Pant"/>
    <s v="Jonah Wright"/>
    <n v="4"/>
    <n v="83.98"/>
    <n v="0"/>
    <n v="335.92"/>
    <n v="335.92"/>
  </r>
  <r>
    <s v="K7-11885"/>
    <d v="2026-11-24T00:00:00"/>
    <s v="Virginia"/>
    <s v="South"/>
    <s v="Online"/>
    <s v="New"/>
    <s v="Accessories"/>
    <s v="Canvas Tote"/>
    <s v="Marcus Reed"/>
    <n v="1"/>
    <n v="35.630000000000003"/>
    <n v="0"/>
    <n v="35.630000000000003"/>
    <n v="35.630000000000003"/>
  </r>
  <r>
    <s v="K7-11886"/>
    <d v="2026-02-17T00:00:00"/>
    <s v="Illinois"/>
    <s v="Midwest"/>
    <s v="Retail Store"/>
    <s v="Returning"/>
    <s v="Tops"/>
    <s v="Henley Long Sleeve"/>
    <s v="Priya Nair"/>
    <n v="4"/>
    <n v="44.38"/>
    <n v="0"/>
    <n v="177.52"/>
    <n v="177.52"/>
  </r>
  <r>
    <s v="K7-11887"/>
    <d v="2026-12-07T00:00:00"/>
    <s v="Texas"/>
    <s v="South"/>
    <s v="Wholesale"/>
    <s v="Returning"/>
    <s v="Bottoms"/>
    <s v="Cargo Pant"/>
    <s v="Priya Nair"/>
    <n v="2"/>
    <n v="81.77"/>
    <n v="0"/>
    <n v="163.54"/>
    <n v="163.54"/>
  </r>
  <r>
    <s v="K7-11888"/>
    <d v="2026-03-22T00:00:00"/>
    <s v="California"/>
    <s v="West"/>
    <s v="Online"/>
    <s v="New"/>
    <s v="Bottoms"/>
    <s v="Straight Jeans"/>
    <s v="Priya Nair"/>
    <n v="2"/>
    <n v="98.02"/>
    <n v="0.05"/>
    <n v="186.24"/>
    <n v="196.04"/>
  </r>
  <r>
    <s v="K7-11889"/>
    <d v="2026-08-20T00:00:00"/>
    <s v="Tennessee"/>
    <s v="South"/>
    <s v="Marketplace"/>
    <s v="Returning"/>
    <s v="Outerwear"/>
    <s v="Wool Overcoat"/>
    <s v="Grace Okafor"/>
    <n v="10"/>
    <n v="286.33999999999997"/>
    <n v="0"/>
    <n v="2863.4"/>
    <n v="2863.3999999999996"/>
  </r>
  <r>
    <s v="K7-11890"/>
    <d v="2026-03-02T00:00:00"/>
    <s v="Georgia"/>
    <s v="South"/>
    <s v="Marketplace"/>
    <s v="Returning"/>
    <s v="Tops"/>
    <s v="Henley Long Sleeve"/>
    <s v="Priya Nair"/>
    <n v="1"/>
    <n v="42.45"/>
    <n v="0"/>
    <n v="42.45"/>
    <n v="42.45"/>
  </r>
  <r>
    <s v="K7-11891"/>
    <d v="2026-12-12T00:00:00"/>
    <s v="Connecticut"/>
    <s v="Northeast"/>
    <s v="Online"/>
    <s v="New"/>
    <s v="Bottoms"/>
    <s v="Tailored Short"/>
    <s v="Grace Okafor"/>
    <n v="2"/>
    <n v="62.04"/>
    <n v="0.1"/>
    <n v="111.67"/>
    <n v="124.08"/>
  </r>
  <r>
    <s v="K7-11892"/>
    <d v="2026-05-09T00:00:00"/>
    <s v="Texas"/>
    <s v="South"/>
    <s v="Retail Store"/>
    <s v="Returning"/>
    <s v="Dresses"/>
    <s v="Linen Shirt Dress"/>
    <s v="Dylan Foster"/>
    <n v="1"/>
    <n v="125.31"/>
    <n v="0"/>
    <n v="125.31"/>
    <n v="125.31"/>
  </r>
  <r>
    <s v="K7-11893"/>
    <d v="2026-12-29T00:00:00"/>
    <s v="Colorado"/>
    <s v="West"/>
    <s v="Online"/>
    <s v="Returning"/>
    <s v="Bottoms"/>
    <s v="Straight Jeans"/>
    <s v="Noor Haddad"/>
    <n v="2"/>
    <n v="93.3"/>
    <n v="0"/>
    <n v="186.6"/>
    <n v="186.6"/>
  </r>
  <r>
    <s v="K7-11894"/>
    <d v="2026-03-29T00:00:00"/>
    <s v="Louisiana"/>
    <s v="South"/>
    <s v="Retail Store"/>
    <s v="Returning"/>
    <s v="Tops"/>
    <s v="Classic Tee"/>
    <s v="Elena Vargas"/>
    <n v="1"/>
    <n v="30.3"/>
    <n v="0"/>
    <n v="30.3"/>
    <n v="30.3"/>
  </r>
  <r>
    <s v="K7-11895"/>
    <d v="2026-04-13T00:00:00"/>
    <s v="Maryland"/>
    <s v="South"/>
    <s v="Wholesale"/>
    <s v="New"/>
    <s v="Outerwear"/>
    <s v="Quilted Jacket"/>
    <s v="Priya Nair"/>
    <n v="1"/>
    <n v="162.68"/>
    <n v="0"/>
    <n v="162.68"/>
    <n v="162.68"/>
  </r>
  <r>
    <s v="K7-11896"/>
    <d v="2026-03-24T00:00:00"/>
    <s v="Washington"/>
    <s v="West"/>
    <s v="Wholesale"/>
    <s v="Returning"/>
    <s v="Tops"/>
    <s v="Classic Tee"/>
    <s v="Elena Vargas"/>
    <n v="3"/>
    <n v="32.49"/>
    <n v="0"/>
    <n v="97.47"/>
    <n v="97.47"/>
  </r>
  <r>
    <s v="K7-11897"/>
    <d v="2026-07-07T00:00:00"/>
    <s v="New Jersey"/>
    <s v="Northeast"/>
    <s v="Marketplace"/>
    <s v="Returning"/>
    <s v="Accessories"/>
    <s v="Knit Beanie"/>
    <s v="Grace Okafor"/>
    <n v="7"/>
    <n v="25.13"/>
    <n v="0.05"/>
    <n v="167.11"/>
    <n v="175.91"/>
  </r>
  <r>
    <s v="K7-11898"/>
    <d v="2026-12-25T00:00:00"/>
    <s v="New Jersey"/>
    <s v="Northeast"/>
    <s v="Retail Store"/>
    <s v="New"/>
    <s v="Outerwear"/>
    <s v="Quilted Jacket"/>
    <s v="Marcus Reed"/>
    <n v="3"/>
    <n v="172.23"/>
    <n v="0.05"/>
    <n v="490.86"/>
    <n v="516.68999999999994"/>
  </r>
  <r>
    <s v="K7-11899"/>
    <d v="2026-04-08T00:00:00"/>
    <s v="Michigan"/>
    <s v="Midwest"/>
    <s v="Marketplace"/>
    <s v="Returning"/>
    <s v="Outerwear"/>
    <s v="Denim Trucker"/>
    <s v="Priya Nair"/>
    <n v="3"/>
    <n v="137.11000000000001"/>
    <n v="0"/>
    <n v="411.33"/>
    <n v="411.33000000000004"/>
  </r>
  <r>
    <s v="K7-11900"/>
    <d v="2026-09-27T00:00:00"/>
    <s v="South Carolina"/>
    <s v="South"/>
    <s v="Retail Store"/>
    <s v="New"/>
    <s v="Bottoms"/>
    <s v="Cargo Pant"/>
    <s v="Grace Okafor"/>
    <n v="2"/>
    <n v="80.47"/>
    <n v="0"/>
    <n v="160.94"/>
    <n v="160.94"/>
  </r>
  <r>
    <s v="K7-11901"/>
    <d v="2026-06-04T00:00:00"/>
    <s v="Ohio"/>
    <s v="Midwest"/>
    <s v="Wholesale"/>
    <s v="Returning"/>
    <s v="Footwear"/>
    <s v="Leather Boot"/>
    <s v="Ava Brooks"/>
    <n v="1"/>
    <n v="205.57"/>
    <n v="0"/>
    <n v="205.57"/>
    <n v="205.57"/>
  </r>
  <r>
    <s v="K7-11902"/>
    <d v="2026-09-19T00:00:00"/>
    <s v="Florida"/>
    <s v="South"/>
    <s v="Marketplace"/>
    <s v="New"/>
    <s v="Outerwear"/>
    <s v="Quilted Jacket"/>
    <s v="Elena Vargas"/>
    <n v="5"/>
    <n v="177.13"/>
    <n v="0"/>
    <n v="885.65"/>
    <n v="885.65"/>
  </r>
  <r>
    <s v="K7-11903"/>
    <d v="2026-02-20T00:00:00"/>
    <s v="New York"/>
    <s v="Northeast"/>
    <s v="Retail Store"/>
    <s v="Returning"/>
    <s v="Outerwear"/>
    <s v="Quilted Jacket"/>
    <s v="Grace Okafor"/>
    <n v="1"/>
    <n v="161.24"/>
    <n v="0"/>
    <n v="161.24"/>
    <n v="161.24"/>
  </r>
  <r>
    <s v="K7-11904"/>
    <d v="2026-06-26T00:00:00"/>
    <s v="California"/>
    <s v="West"/>
    <s v="Online"/>
    <s v="New"/>
    <s v="Outerwear"/>
    <s v="Wool Overcoat"/>
    <s v="Ava Brooks"/>
    <n v="1"/>
    <n v="274.32"/>
    <n v="0"/>
    <n v="274.32"/>
    <n v="274.32"/>
  </r>
  <r>
    <s v="K7-11905"/>
    <d v="2026-01-27T00:00:00"/>
    <s v="New Jersey"/>
    <s v="Northeast"/>
    <s v="Online"/>
    <s v="Returning"/>
    <s v="Footwear"/>
    <s v="Suede Loafer"/>
    <s v="Ava Brooks"/>
    <n v="1"/>
    <n v="165.01"/>
    <n v="0"/>
    <n v="165.01"/>
    <n v="165.01"/>
  </r>
  <r>
    <s v="K7-11906"/>
    <d v="2026-08-04T00:00:00"/>
    <s v="Nevada"/>
    <s v="West"/>
    <s v="Retail Store"/>
    <s v="Returning"/>
    <s v="Outerwear"/>
    <s v="Denim Trucker"/>
    <s v="Noor Haddad"/>
    <n v="3"/>
    <n v="128.88"/>
    <n v="0"/>
    <n v="386.64"/>
    <n v="386.64"/>
  </r>
  <r>
    <s v="K7-11907"/>
    <d v="2026-05-07T00:00:00"/>
    <s v="North Carolina"/>
    <s v="South"/>
    <s v="Online"/>
    <s v="Returning"/>
    <s v="Bottoms"/>
    <s v="Slim Chino"/>
    <s v="Noor Haddad"/>
    <n v="2"/>
    <n v="81.010000000000005"/>
    <n v="0.05"/>
    <n v="153.91999999999999"/>
    <n v="162.02000000000001"/>
  </r>
  <r>
    <s v="K7-11908"/>
    <d v="2026-08-31T00:00:00"/>
    <s v="Michigan"/>
    <s v="Midwest"/>
    <s v="Wholesale"/>
    <s v="New"/>
    <s v="Accessories"/>
    <s v="Canvas Tote"/>
    <s v="Noor Haddad"/>
    <n v="2"/>
    <n v="35.11"/>
    <n v="0"/>
    <n v="70.22"/>
    <n v="70.22"/>
  </r>
  <r>
    <s v="K7-11909"/>
    <d v="2026-09-18T00:00:00"/>
    <s v="Pennsylvania"/>
    <s v="Northeast"/>
    <s v="Retail Store"/>
    <s v="Returning"/>
    <s v="Dresses"/>
    <s v="Wrap Dress"/>
    <s v="Dylan Foster"/>
    <n v="1"/>
    <n v="114.26"/>
    <n v="0"/>
    <n v="114.26"/>
    <n v="114.26"/>
  </r>
  <r>
    <s v="K7-11910"/>
    <d v="2026-05-03T00:00:00"/>
    <s v="Louisiana"/>
    <s v="South"/>
    <s v="Marketplace"/>
    <s v="New"/>
    <s v="Footwear"/>
    <s v="Leather Boot"/>
    <s v="Grace Okafor"/>
    <n v="2"/>
    <n v="216.68"/>
    <n v="0"/>
    <n v="433.36"/>
    <n v="433.36"/>
  </r>
  <r>
    <s v="K7-11911"/>
    <d v="2026-04-03T00:00:00"/>
    <s v="Virginia"/>
    <s v="South"/>
    <s v="Retail Store"/>
    <s v="Returning"/>
    <s v="Bottoms"/>
    <s v="Slim Chino"/>
    <s v="Ava Brooks"/>
    <n v="9"/>
    <n v="72.510000000000005"/>
    <n v="0"/>
    <n v="652.59"/>
    <n v="652.59"/>
  </r>
  <r>
    <s v="K7-11912"/>
    <d v="2026-07-18T00:00:00"/>
    <s v="Georgia"/>
    <s v="South"/>
    <s v="Retail Store"/>
    <s v="New"/>
    <s v="Bottoms"/>
    <s v="Straight Jeans"/>
    <s v="Jonah Wright"/>
    <n v="9"/>
    <n v="99.28"/>
    <n v="0"/>
    <n v="893.52"/>
    <n v="893.52"/>
  </r>
  <r>
    <s v="K7-11913"/>
    <d v="2026-05-19T00:00:00"/>
    <s v="Ohio"/>
    <s v="Midwest"/>
    <s v="Retail Store"/>
    <s v="Returning"/>
    <s v="Footwear"/>
    <s v="Canvas Sneaker"/>
    <s v="Noor Haddad"/>
    <n v="4"/>
    <n v="85.84"/>
    <n v="0.05"/>
    <n v="326.19"/>
    <n v="343.36"/>
  </r>
  <r>
    <s v="K7-11914"/>
    <d v="2026-09-13T00:00:00"/>
    <s v="Utah"/>
    <s v="West"/>
    <s v="Retail Store"/>
    <s v="Returning"/>
    <s v="Accessories"/>
    <s v="Silk Scarf"/>
    <s v="Ava Brooks"/>
    <n v="1"/>
    <n v="61.38"/>
    <n v="0.2"/>
    <n v="49.1"/>
    <n v="61.38"/>
  </r>
  <r>
    <s v="K7-11915"/>
    <d v="2026-11-30T00:00:00"/>
    <s v="Texas"/>
    <s v="South"/>
    <s v="Wholesale"/>
    <s v="Returning"/>
    <s v="Outerwear"/>
    <s v="Quilted Jacket"/>
    <s v="Priya Nair"/>
    <n v="10"/>
    <n v="177.14"/>
    <n v="0"/>
    <n v="1771.4"/>
    <n v="1771.3999999999999"/>
  </r>
  <r>
    <s v="K7-11916"/>
    <d v="2026-12-13T00:00:00"/>
    <s v="Colorado"/>
    <s v="West"/>
    <s v="Retail Store"/>
    <s v="Returning"/>
    <s v="Dresses"/>
    <s v="Midi Slip Dress"/>
    <s v="Grace Okafor"/>
    <n v="1"/>
    <n v="90.2"/>
    <n v="0.05"/>
    <n v="85.69"/>
    <n v="90.2"/>
  </r>
  <r>
    <s v="K7-11917"/>
    <d v="2026-05-30T00:00:00"/>
    <s v="Nevada"/>
    <s v="West"/>
    <s v="Online"/>
    <s v="Returning"/>
    <s v="Outerwear"/>
    <s v="Denim Trucker"/>
    <s v="Marcus Reed"/>
    <n v="1"/>
    <n v="124.98"/>
    <n v="0"/>
    <n v="124.98"/>
    <n v="124.98"/>
  </r>
  <r>
    <s v="K7-11918"/>
    <d v="2026-11-20T00:00:00"/>
    <s v="New York"/>
    <s v="Northeast"/>
    <s v="Online"/>
    <s v="Returning"/>
    <s v="Tops"/>
    <s v="Classic Tee"/>
    <s v="Jonah Wright"/>
    <n v="6"/>
    <n v="30.34"/>
    <n v="0.2"/>
    <n v="145.63"/>
    <n v="182.04"/>
  </r>
  <r>
    <s v="K7-11919"/>
    <d v="2026-09-15T00:00:00"/>
    <s v="Illinois"/>
    <s v="Midwest"/>
    <s v="Wholesale"/>
    <s v="New"/>
    <s v="Bottoms"/>
    <s v="Cargo Pant"/>
    <s v="Dylan Foster"/>
    <n v="1"/>
    <n v="89.65"/>
    <n v="0.1"/>
    <n v="80.69"/>
    <n v="89.65"/>
  </r>
  <r>
    <s v="K7-11920"/>
    <d v="2026-03-16T00:00:00"/>
    <s v="Tennessee"/>
    <s v="South"/>
    <s v="Retail Store"/>
    <s v="Returning"/>
    <s v="Tops"/>
    <s v="Henley Long Sleeve"/>
    <s v="Jonah Wright"/>
    <n v="1"/>
    <n v="43.81"/>
    <n v="0"/>
    <n v="43.81"/>
    <n v="43.81"/>
  </r>
  <r>
    <s v="K7-11921"/>
    <d v="2026-08-02T00:00:00"/>
    <s v="Georgia"/>
    <s v="South"/>
    <s v="Wholesale"/>
    <s v="Returning"/>
    <s v="Bottoms"/>
    <s v="Tailored Short"/>
    <s v="Priya Nair"/>
    <n v="3"/>
    <n v="58.85"/>
    <n v="0"/>
    <n v="176.55"/>
    <n v="176.55"/>
  </r>
  <r>
    <s v="K7-11922"/>
    <d v="2026-09-28T00:00:00"/>
    <s v="California"/>
    <s v="West"/>
    <s v="Online"/>
    <s v="Returning"/>
    <s v="Tops"/>
    <s v="Striped Polo"/>
    <s v="Priya Nair"/>
    <n v="1"/>
    <n v="53.22"/>
    <n v="0"/>
    <n v="53.22"/>
    <n v="53.22"/>
  </r>
  <r>
    <s v="K7-11923"/>
    <d v="2026-04-10T00:00:00"/>
    <s v="California"/>
    <s v="West"/>
    <s v="Marketplace"/>
    <s v="Returning"/>
    <s v="Bottoms"/>
    <s v="Straight Jeans"/>
    <s v="Noor Haddad"/>
    <n v="1"/>
    <n v="92.9"/>
    <n v="0"/>
    <n v="92.9"/>
    <n v="92.9"/>
  </r>
  <r>
    <s v="K7-11924"/>
    <d v="2026-02-12T00:00:00"/>
    <s v="Pennsylvania"/>
    <s v="Northeast"/>
    <s v="Marketplace"/>
    <s v="Returning"/>
    <s v="Bottoms"/>
    <s v="Straight Jeans"/>
    <s v="Grace Okafor"/>
    <n v="2"/>
    <n v="88.38"/>
    <n v="0"/>
    <n v="176.76"/>
    <n v="176.76"/>
  </r>
  <r>
    <s v="K7-11925"/>
    <d v="2026-04-01T00:00:00"/>
    <s v="Maryland"/>
    <s v="South"/>
    <s v="Marketplace"/>
    <s v="Returning"/>
    <s v="Bottoms"/>
    <s v="Slim Chino"/>
    <s v="Grace Okafor"/>
    <n v="2"/>
    <n v="77.900000000000006"/>
    <n v="0.15"/>
    <n v="132.43"/>
    <n v="155.80000000000001"/>
  </r>
  <r>
    <s v="K7-11926"/>
    <d v="2026-12-14T00:00:00"/>
    <s v="Washington"/>
    <s v="West"/>
    <s v="Marketplace"/>
    <s v="New"/>
    <s v="Bottoms"/>
    <s v="Straight Jeans"/>
    <s v="Ava Brooks"/>
    <n v="7"/>
    <n v="92"/>
    <n v="0"/>
    <n v="644"/>
    <n v="644"/>
  </r>
  <r>
    <s v="K7-11927"/>
    <d v="2026-03-26T00:00:00"/>
    <s v="Georgia"/>
    <s v="South"/>
    <s v="Retail Store"/>
    <s v="New"/>
    <s v="Accessories"/>
    <s v="Leather Belt"/>
    <s v="Dylan Foster"/>
    <n v="4"/>
    <n v="44.4"/>
    <n v="0"/>
    <n v="177.6"/>
    <n v="177.6"/>
  </r>
  <r>
    <s v="K7-11928"/>
    <d v="2026-02-11T00:00:00"/>
    <s v="Texas"/>
    <s v="South"/>
    <s v="Online"/>
    <s v="Returning"/>
    <s v="Dresses"/>
    <s v="Wrap Dress"/>
    <s v="Jonah Wright"/>
    <n v="1"/>
    <n v="127.32"/>
    <n v="0.15"/>
    <n v="108.22"/>
    <n v="127.32"/>
  </r>
  <r>
    <s v="K7-11929"/>
    <d v="2026-11-02T00:00:00"/>
    <s v="Ohio"/>
    <s v="Midwest"/>
    <s v="Online"/>
    <s v="Returning"/>
    <s v="Bottoms"/>
    <s v="Straight Jeans"/>
    <s v="Noor Haddad"/>
    <n v="1"/>
    <n v="95.8"/>
    <n v="0"/>
    <n v="95.8"/>
    <n v="95.8"/>
  </r>
  <r>
    <s v="K7-11930"/>
    <d v="2026-05-09T00:00:00"/>
    <s v="Missouri"/>
    <s v="Midwest"/>
    <s v="Retail Store"/>
    <s v="New"/>
    <s v="Bottoms"/>
    <s v="Slim Chino"/>
    <s v="Noor Haddad"/>
    <n v="2"/>
    <n v="72.930000000000007"/>
    <n v="0"/>
    <n v="145.86000000000001"/>
    <n v="145.86000000000001"/>
  </r>
  <r>
    <s v="K7-11931"/>
    <d v="2026-10-28T00:00:00"/>
    <s v="Louisiana"/>
    <s v="South"/>
    <s v="Marketplace"/>
    <s v="Returning"/>
    <s v="Accessories"/>
    <s v="Leather Belt"/>
    <s v="Elena Vargas"/>
    <n v="4"/>
    <n v="47.93"/>
    <n v="0"/>
    <n v="191.72"/>
    <n v="191.72"/>
  </r>
  <r>
    <s v="K7-11932"/>
    <d v="2026-05-25T00:00:00"/>
    <s v="Minnesota"/>
    <s v="Midwest"/>
    <s v="Online"/>
    <s v="Returning"/>
    <s v="Dresses"/>
    <s v="Wrap Dress"/>
    <s v="Dylan Foster"/>
    <n v="2"/>
    <n v="117.24"/>
    <n v="0.05"/>
    <n v="222.76"/>
    <n v="234.48"/>
  </r>
  <r>
    <s v="K7-11933"/>
    <d v="2026-05-22T00:00:00"/>
    <s v="Utah"/>
    <s v="West"/>
    <s v="Online"/>
    <s v="Returning"/>
    <s v="Bottoms"/>
    <s v="Straight Jeans"/>
    <s v="Grace Okafor"/>
    <n v="5"/>
    <n v="95.41"/>
    <n v="0"/>
    <n v="477.05"/>
    <n v="477.04999999999995"/>
  </r>
  <r>
    <s v="K7-11934"/>
    <d v="2026-12-15T00:00:00"/>
    <s v="Maryland"/>
    <s v="South"/>
    <s v="Retail Store"/>
    <s v="New"/>
    <s v="Tops"/>
    <s v="Striped Polo"/>
    <s v="Marcus Reed"/>
    <n v="1"/>
    <n v="50.75"/>
    <n v="0.1"/>
    <n v="45.68"/>
    <n v="50.75"/>
  </r>
  <r>
    <s v="K7-11935"/>
    <d v="2026-04-12T00:00:00"/>
    <s v="Michigan"/>
    <s v="Midwest"/>
    <s v="Retail Store"/>
    <s v="Returning"/>
    <s v="Bottoms"/>
    <s v="Straight Jeans"/>
    <s v="Noor Haddad"/>
    <n v="6"/>
    <n v="85.63"/>
    <n v="0"/>
    <n v="513.78"/>
    <n v="513.78"/>
  </r>
  <r>
    <s v="K7-11936"/>
    <d v="2026-12-09T00:00:00"/>
    <s v="Michigan"/>
    <s v="Midwest"/>
    <s v="Online"/>
    <s v="Returning"/>
    <s v="Footwear"/>
    <s v="Canvas Sneaker"/>
    <s v="Priya Nair"/>
    <n v="1"/>
    <n v="89.56"/>
    <n v="0.05"/>
    <n v="85.08"/>
    <n v="89.56"/>
  </r>
  <r>
    <s v="K7-11937"/>
    <d v="2026-08-01T00:00:00"/>
    <s v="Texas"/>
    <s v="South"/>
    <s v="Online"/>
    <s v="Returning"/>
    <s v="Dresses"/>
    <s v="Wrap Dress"/>
    <s v="Priya Nair"/>
    <n v="1"/>
    <n v="111.87"/>
    <n v="0"/>
    <n v="111.87"/>
    <n v="111.87"/>
  </r>
  <r>
    <s v="K7-11938"/>
    <d v="2026-10-16T00:00:00"/>
    <s v="Tennessee"/>
    <s v="South"/>
    <s v="Online"/>
    <s v="Returning"/>
    <s v="Accessories"/>
    <s v="Silk Scarf"/>
    <s v="Grace Okafor"/>
    <n v="3"/>
    <n v="58.53"/>
    <n v="0"/>
    <n v="175.59"/>
    <n v="175.59"/>
  </r>
  <r>
    <s v="K7-11939"/>
    <d v="2026-11-12T00:00:00"/>
    <s v="California"/>
    <s v="West"/>
    <s v="Wholesale"/>
    <s v="Returning"/>
    <s v="Footwear"/>
    <s v="Canvas Sneaker"/>
    <s v="Priya Nair"/>
    <n v="2"/>
    <n v="90.78"/>
    <n v="0"/>
    <n v="181.56"/>
    <n v="181.56"/>
  </r>
  <r>
    <s v="K7-11940"/>
    <d v="2026-11-09T00:00:00"/>
    <s v="Illinois"/>
    <s v="Midwest"/>
    <s v="Retail Store"/>
    <s v="New"/>
    <s v="Bottoms"/>
    <s v="Cargo Pant"/>
    <s v="Ava Brooks"/>
    <n v="2"/>
    <n v="90.47"/>
    <n v="0.1"/>
    <n v="162.85"/>
    <n v="180.94"/>
  </r>
  <r>
    <s v="K7-11941"/>
    <d v="2026-03-08T00:00:00"/>
    <s v="Texas"/>
    <s v="South"/>
    <s v="Online"/>
    <s v="New"/>
    <s v="Tops"/>
    <s v="Oxford Shirt"/>
    <s v="Marcus Reed"/>
    <n v="3"/>
    <n v="69.84"/>
    <n v="0"/>
    <n v="209.52"/>
    <n v="209.52"/>
  </r>
  <r>
    <s v="K7-11942"/>
    <d v="2026-07-28T00:00:00"/>
    <s v="California"/>
    <s v="West"/>
    <s v="Online"/>
    <s v="Returning"/>
    <s v="Tops"/>
    <s v="Striped Polo"/>
    <s v="Dylan Foster"/>
    <n v="1"/>
    <n v="53.62"/>
    <n v="0"/>
    <n v="53.62"/>
    <n v="53.62"/>
  </r>
  <r>
    <s v="K7-11943"/>
    <d v="2026-03-01T00:00:00"/>
    <s v="California"/>
    <s v="West"/>
    <s v="Online"/>
    <s v="Returning"/>
    <s v="Tops"/>
    <s v="Henley Long Sleeve"/>
    <s v="Grace Okafor"/>
    <n v="3"/>
    <n v="49.16"/>
    <n v="0.15"/>
    <n v="125.36"/>
    <n v="147.47999999999999"/>
  </r>
  <r>
    <s v="K7-11944"/>
    <d v="2026-08-22T00:00:00"/>
    <s v="Washington"/>
    <s v="West"/>
    <s v="Online"/>
    <s v="New"/>
    <s v="Dresses"/>
    <s v="Wrap Dress"/>
    <s v="Noor Haddad"/>
    <n v="2"/>
    <n v="122.26"/>
    <n v="0"/>
    <n v="244.52"/>
    <n v="244.52"/>
  </r>
  <r>
    <s v="K7-11945"/>
    <d v="2026-08-18T00:00:00"/>
    <s v="New York"/>
    <s v="Northeast"/>
    <s v="Online"/>
    <s v="Returning"/>
    <s v="Outerwear"/>
    <s v="Quilted Jacket"/>
    <s v="Priya Nair"/>
    <n v="5"/>
    <n v="155.62"/>
    <n v="0.1"/>
    <n v="700.29"/>
    <n v="778.1"/>
  </r>
  <r>
    <s v="K7-11946"/>
    <d v="2026-12-31T00:00:00"/>
    <s v="Florida"/>
    <s v="South"/>
    <s v="Wholesale"/>
    <s v="Returning"/>
    <s v="Bottoms"/>
    <s v="Slim Chino"/>
    <s v="Marcus Reed"/>
    <n v="1"/>
    <n v="73.709999999999994"/>
    <n v="0"/>
    <n v="73.709999999999994"/>
    <n v="73.709999999999994"/>
  </r>
  <r>
    <s v="K7-11947"/>
    <d v="2026-04-05T00:00:00"/>
    <s v="Indiana"/>
    <s v="Midwest"/>
    <s v="Online"/>
    <s v="Returning"/>
    <s v="Tops"/>
    <s v="Classic Tee"/>
    <s v="Priya Nair"/>
    <n v="2"/>
    <n v="31.14"/>
    <n v="0"/>
    <n v="62.28"/>
    <n v="62.28"/>
  </r>
  <r>
    <s v="K7-11948"/>
    <d v="2026-10-10T00:00:00"/>
    <s v="Georgia"/>
    <s v="South"/>
    <s v="Wholesale"/>
    <s v="Returning"/>
    <s v="Outerwear"/>
    <s v="Denim Trucker"/>
    <s v="Dylan Foster"/>
    <n v="2"/>
    <n v="120.67"/>
    <n v="0"/>
    <n v="241.34"/>
    <n v="241.34"/>
  </r>
  <r>
    <s v="K7-11949"/>
    <d v="2026-02-09T00:00:00"/>
    <s v="Oregon"/>
    <s v="West"/>
    <s v="Online"/>
    <s v="Returning"/>
    <s v="Dresses"/>
    <s v="Linen Shirt Dress"/>
    <s v="Marcus Reed"/>
    <n v="5"/>
    <n v="129.72"/>
    <n v="0"/>
    <n v="648.6"/>
    <n v="648.6"/>
  </r>
  <r>
    <s v="K7-11950"/>
    <d v="2026-04-04T00:00:00"/>
    <s v="New York"/>
    <s v="Northeast"/>
    <s v="Online"/>
    <s v="New"/>
    <s v="Bottoms"/>
    <s v="Slim Chino"/>
    <s v="Noor Haddad"/>
    <n v="2"/>
    <n v="70.099999999999994"/>
    <n v="0"/>
    <n v="140.19999999999999"/>
    <n v="140.19999999999999"/>
  </r>
  <r>
    <s v="K7-11951"/>
    <d v="2026-10-12T00:00:00"/>
    <s v="Massachusetts"/>
    <s v="Northeast"/>
    <s v="Marketplace"/>
    <s v="New"/>
    <s v="Outerwear"/>
    <s v="Hooded Parka"/>
    <s v="Ava Brooks"/>
    <n v="8"/>
    <n v="226.42"/>
    <n v="0"/>
    <n v="1811.36"/>
    <n v="1811.36"/>
  </r>
  <r>
    <s v="K7-11952"/>
    <d v="2026-04-09T00:00:00"/>
    <s v="Connecticut"/>
    <s v="Northeast"/>
    <s v="Online"/>
    <s v="New"/>
    <s v="Dresses"/>
    <s v="Wrap Dress"/>
    <s v="Ava Brooks"/>
    <n v="6"/>
    <n v="118.58"/>
    <n v="0"/>
    <n v="711.48"/>
    <n v="711.48"/>
  </r>
  <r>
    <s v="K7-11953"/>
    <d v="2026-12-11T00:00:00"/>
    <s v="Pennsylvania"/>
    <s v="Northeast"/>
    <s v="Online"/>
    <s v="Returning"/>
    <s v="Bottoms"/>
    <s v="Cargo Pant"/>
    <s v="Priya Nair"/>
    <n v="2"/>
    <n v="86.71"/>
    <n v="0"/>
    <n v="173.42"/>
    <n v="173.42"/>
  </r>
  <r>
    <s v="K7-11954"/>
    <d v="2026-09-13T00:00:00"/>
    <s v="New York"/>
    <s v="Northeast"/>
    <s v="Marketplace"/>
    <s v="New"/>
    <s v="Footwear"/>
    <s v="Suede Loafer"/>
    <s v="Noor Haddad"/>
    <n v="1"/>
    <n v="166.89"/>
    <n v="0"/>
    <n v="166.89"/>
    <n v="166.89"/>
  </r>
  <r>
    <s v="K7-11955"/>
    <d v="2026-01-08T00:00:00"/>
    <s v="Wisconsin"/>
    <s v="Midwest"/>
    <s v="Online"/>
    <s v="New"/>
    <s v="Bottoms"/>
    <s v="Straight Jeans"/>
    <s v="Grace Okafor"/>
    <n v="1"/>
    <n v="88.78"/>
    <n v="0"/>
    <n v="88.78"/>
    <n v="88.78"/>
  </r>
  <r>
    <s v="K7-11956"/>
    <d v="2026-10-09T00:00:00"/>
    <s v="Florida"/>
    <s v="South"/>
    <s v="Retail Store"/>
    <s v="Returning"/>
    <s v="Footwear"/>
    <s v="Suede Loafer"/>
    <s v="Noor Haddad"/>
    <n v="8"/>
    <n v="152.28"/>
    <n v="0"/>
    <n v="1218.24"/>
    <n v="1218.24"/>
  </r>
  <r>
    <s v="K7-11957"/>
    <d v="2026-12-06T00:00:00"/>
    <s v="California"/>
    <s v="West"/>
    <s v="Online"/>
    <s v="New"/>
    <s v="Accessories"/>
    <s v="Canvas Tote"/>
    <s v="Elena Vargas"/>
    <n v="1"/>
    <n v="40.35"/>
    <n v="0"/>
    <n v="40.35"/>
    <n v="40.35"/>
  </r>
  <r>
    <s v="K7-11958"/>
    <d v="2026-05-04T00:00:00"/>
    <s v="Florida"/>
    <s v="South"/>
    <s v="Retail Store"/>
    <s v="New"/>
    <s v="Bottoms"/>
    <s v="Slim Chino"/>
    <s v="Dylan Foster"/>
    <n v="1"/>
    <n v="72.19"/>
    <n v="0.1"/>
    <n v="64.97"/>
    <n v="72.19"/>
  </r>
  <r>
    <s v="K7-11959"/>
    <d v="2026-01-28T00:00:00"/>
    <s v="Texas"/>
    <s v="South"/>
    <s v="Marketplace"/>
    <s v="Returning"/>
    <s v="Dresses"/>
    <s v="Wrap Dress"/>
    <s v="Priya Nair"/>
    <n v="2"/>
    <n v="122.92"/>
    <n v="0.2"/>
    <n v="196.67"/>
    <n v="245.84"/>
  </r>
  <r>
    <s v="K7-11960"/>
    <d v="2026-10-08T00:00:00"/>
    <s v="Alabama"/>
    <s v="South"/>
    <s v="Marketplace"/>
    <s v="New"/>
    <s v="Dresses"/>
    <s v="Midi Slip Dress"/>
    <s v="Marcus Reed"/>
    <n v="1"/>
    <n v="102.83"/>
    <n v="0"/>
    <n v="102.83"/>
    <n v="102.83"/>
  </r>
  <r>
    <s v="K7-11961"/>
    <d v="2026-11-22T00:00:00"/>
    <s v="New York"/>
    <s v="Northeast"/>
    <s v="Marketplace"/>
    <s v="Returning"/>
    <s v="Outerwear"/>
    <s v="Quilted Jacket"/>
    <s v="Marcus Reed"/>
    <n v="2"/>
    <n v="157.35"/>
    <n v="0"/>
    <n v="314.7"/>
    <n v="314.7"/>
  </r>
  <r>
    <s v="K7-11962"/>
    <d v="2026-07-22T00:00:00"/>
    <s v="Illinois"/>
    <s v="Midwest"/>
    <s v="Online"/>
    <s v="New"/>
    <s v="Dresses"/>
    <s v="Midi Slip Dress"/>
    <s v="Dylan Foster"/>
    <n v="1"/>
    <n v="104.86"/>
    <n v="0"/>
    <n v="104.86"/>
    <n v="104.86"/>
  </r>
  <r>
    <s v="K7-11963"/>
    <d v="2026-02-25T00:00:00"/>
    <s v="California"/>
    <s v="West"/>
    <s v="Retail Store"/>
    <s v="New"/>
    <s v="Footwear"/>
    <s v="Leather Boot"/>
    <s v="Dylan Foster"/>
    <n v="2"/>
    <n v="201.26"/>
    <n v="0.1"/>
    <n v="362.27"/>
    <n v="402.52"/>
  </r>
  <r>
    <s v="K7-11964"/>
    <d v="2026-02-16T00:00:00"/>
    <s v="California"/>
    <s v="West"/>
    <s v="Retail Store"/>
    <s v="New"/>
    <s v="Bottoms"/>
    <s v="Straight Jeans"/>
    <s v="Dylan Foster"/>
    <n v="1"/>
    <n v="91.94"/>
    <n v="0.15"/>
    <n v="78.150000000000006"/>
    <n v="91.94"/>
  </r>
  <r>
    <s v="K7-11965"/>
    <d v="2026-12-26T00:00:00"/>
    <s v="Florida"/>
    <s v="South"/>
    <s v="Online"/>
    <s v="Returning"/>
    <s v="Tops"/>
    <s v="Henley Long Sleeve"/>
    <s v="Jonah Wright"/>
    <n v="10"/>
    <n v="48.37"/>
    <n v="0.05"/>
    <n v="459.51"/>
    <n v="483.7"/>
  </r>
  <r>
    <s v="K7-11966"/>
    <d v="2026-03-10T00:00:00"/>
    <s v="Maryland"/>
    <s v="South"/>
    <s v="Retail Store"/>
    <s v="New"/>
    <s v="Bottoms"/>
    <s v="Straight Jeans"/>
    <s v="Noor Haddad"/>
    <n v="1"/>
    <n v="94.21"/>
    <n v="0"/>
    <n v="94.21"/>
    <n v="94.21"/>
  </r>
  <r>
    <s v="K7-11967"/>
    <d v="2026-05-02T00:00:00"/>
    <s v="Texas"/>
    <s v="South"/>
    <s v="Retail Store"/>
    <s v="Returning"/>
    <s v="Bottoms"/>
    <s v="Cargo Pant"/>
    <s v="Jonah Wright"/>
    <n v="6"/>
    <n v="79.81"/>
    <n v="0"/>
    <n v="478.86"/>
    <n v="478.86"/>
  </r>
  <r>
    <s v="K7-11968"/>
    <d v="2026-05-04T00:00:00"/>
    <s v="Ohio"/>
    <s v="Midwest"/>
    <s v="Online"/>
    <s v="Returning"/>
    <s v="Footwear"/>
    <s v="Canvas Sneaker"/>
    <s v="Marcus Reed"/>
    <n v="1"/>
    <n v="82.33"/>
    <n v="0.15"/>
    <n v="69.98"/>
    <n v="82.33"/>
  </r>
  <r>
    <s v="K7-11969"/>
    <d v="2026-09-15T00:00:00"/>
    <s v="New Jersey"/>
    <s v="Northeast"/>
    <s v="Online"/>
    <s v="New"/>
    <s v="Bottoms"/>
    <s v="Straight Jeans"/>
    <s v="Ava Brooks"/>
    <n v="2"/>
    <n v="86.15"/>
    <n v="0.3"/>
    <n v="120.61"/>
    <n v="172.3"/>
  </r>
  <r>
    <s v="K7-11970"/>
    <d v="2026-02-24T00:00:00"/>
    <s v="New Jersey"/>
    <s v="Northeast"/>
    <s v="Marketplace"/>
    <s v="Returning"/>
    <s v="Accessories"/>
    <s v="Knit Beanie"/>
    <s v="Grace Okafor"/>
    <n v="1"/>
    <n v="25.51"/>
    <n v="0.1"/>
    <n v="22.96"/>
    <n v="25.51"/>
  </r>
  <r>
    <s v="K7-11971"/>
    <d v="2026-09-07T00:00:00"/>
    <s v="Pennsylvania"/>
    <s v="Northeast"/>
    <s v="Online"/>
    <s v="Returning"/>
    <s v="Tops"/>
    <s v="Henley Long Sleeve"/>
    <s v="Grace Okafor"/>
    <n v="11"/>
    <n v="46.36"/>
    <n v="0.15"/>
    <n v="433.47"/>
    <n v="509.96"/>
  </r>
  <r>
    <s v="K7-11972"/>
    <d v="2026-12-30T00:00:00"/>
    <s v="Florida"/>
    <s v="South"/>
    <s v="Online"/>
    <s v="New"/>
    <s v="Tops"/>
    <s v="Classic Tee"/>
    <s v="Ava Brooks"/>
    <n v="6"/>
    <n v="30.95"/>
    <n v="0"/>
    <n v="185.7"/>
    <n v="185.7"/>
  </r>
  <r>
    <s v="K7-11973"/>
    <d v="2026-05-07T00:00:00"/>
    <s v="Washington"/>
    <s v="West"/>
    <s v="Retail Store"/>
    <s v="New"/>
    <s v="Tops"/>
    <s v="Oxford Shirt"/>
    <s v="Priya Nair"/>
    <n v="6"/>
    <n v="65.08"/>
    <n v="0.2"/>
    <n v="312.38"/>
    <n v="390.48"/>
  </r>
  <r>
    <s v="K7-11974"/>
    <d v="2026-02-13T00:00:00"/>
    <s v="California"/>
    <s v="West"/>
    <s v="Retail Store"/>
    <s v="Returning"/>
    <s v="Footwear"/>
    <s v="Canvas Sneaker"/>
    <s v="Jonah Wright"/>
    <n v="1"/>
    <n v="90.85"/>
    <n v="0.15"/>
    <n v="77.22"/>
    <n v="90.85"/>
  </r>
  <r>
    <s v="K7-11975"/>
    <d v="2026-05-14T00:00:00"/>
    <s v="Michigan"/>
    <s v="Midwest"/>
    <s v="Marketplace"/>
    <s v="New"/>
    <s v="Accessories"/>
    <s v="Canvas Tote"/>
    <s v="Elena Vargas"/>
    <n v="5"/>
    <n v="38.06"/>
    <n v="0"/>
    <n v="190.3"/>
    <n v="190.3"/>
  </r>
  <r>
    <s v="K7-11976"/>
    <d v="2026-09-30T00:00:00"/>
    <s v="Idaho"/>
    <s v="West"/>
    <s v="Online"/>
    <s v="New"/>
    <s v="Bottoms"/>
    <s v="Tailored Short"/>
    <s v="Ava Brooks"/>
    <n v="1"/>
    <n v="57.4"/>
    <n v="0"/>
    <n v="57.4"/>
    <n v="57.4"/>
  </r>
  <r>
    <s v="K7-11977"/>
    <d v="2026-11-13T00:00:00"/>
    <s v="Minnesota"/>
    <s v="Midwest"/>
    <s v="Online"/>
    <s v="Returning"/>
    <s v="Bottoms"/>
    <s v="Tailored Short"/>
    <s v="Marcus Reed"/>
    <n v="1"/>
    <n v="57.07"/>
    <n v="0.3"/>
    <n v="39.950000000000003"/>
    <n v="57.07"/>
  </r>
  <r>
    <s v="K7-11978"/>
    <d v="2026-09-20T00:00:00"/>
    <s v="Alabama"/>
    <s v="South"/>
    <s v="Online"/>
    <s v="New"/>
    <s v="Tops"/>
    <s v="Oxford Shirt"/>
    <s v="Priya Nair"/>
    <n v="15"/>
    <n v="70.75"/>
    <n v="0.15"/>
    <n v="902.06"/>
    <n v="1061.25"/>
  </r>
  <r>
    <s v="K7-11979"/>
    <d v="2026-12-13T00:00:00"/>
    <s v="New Jersey"/>
    <s v="Northeast"/>
    <s v="Retail Store"/>
    <s v="Returning"/>
    <s v="Tops"/>
    <s v="Striped Polo"/>
    <s v="Elena Vargas"/>
    <n v="3"/>
    <n v="57.25"/>
    <n v="0.05"/>
    <n v="163.16"/>
    <n v="171.75"/>
  </r>
  <r>
    <s v="K7-11980"/>
    <d v="2026-04-06T00:00:00"/>
    <s v="Texas"/>
    <s v="South"/>
    <s v="Online"/>
    <s v="New"/>
    <s v="Dresses"/>
    <s v="Midi Slip Dress"/>
    <s v="Priya Nair"/>
    <n v="11"/>
    <n v="100.6"/>
    <n v="0"/>
    <n v="1106.5999999999999"/>
    <n v="1106.5999999999999"/>
  </r>
  <r>
    <s v="K7-11981"/>
    <d v="2026-01-16T00:00:00"/>
    <s v="Maryland"/>
    <s v="South"/>
    <s v="Online"/>
    <s v="New"/>
    <s v="Footwear"/>
    <s v="Suede Loafer"/>
    <s v="Grace Okafor"/>
    <n v="2"/>
    <n v="147.75"/>
    <n v="0"/>
    <n v="295.5"/>
    <n v="295.5"/>
  </r>
  <r>
    <s v="K7-11982"/>
    <d v="2026-08-11T00:00:00"/>
    <s v="Florida"/>
    <s v="South"/>
    <s v="Online"/>
    <s v="Returning"/>
    <s v="Bottoms"/>
    <s v="Tailored Short"/>
    <s v="Noor Haddad"/>
    <n v="1"/>
    <n v="61.19"/>
    <n v="0"/>
    <n v="61.19"/>
    <n v="61.19"/>
  </r>
  <r>
    <s v="K7-11983"/>
    <d v="2026-01-17T00:00:00"/>
    <s v="Alabama"/>
    <s v="South"/>
    <s v="Online"/>
    <s v="New"/>
    <s v="Bottoms"/>
    <s v="Straight Jeans"/>
    <s v="Marcus Reed"/>
    <n v="8"/>
    <n v="84.85"/>
    <n v="0"/>
    <n v="678.8"/>
    <n v="678.8"/>
  </r>
  <r>
    <s v="K7-11984"/>
    <d v="2026-08-04T00:00:00"/>
    <s v="New York"/>
    <s v="Northeast"/>
    <s v="Retail Store"/>
    <s v="Returning"/>
    <s v="Tops"/>
    <s v="Striped Polo"/>
    <s v="Elena Vargas"/>
    <n v="3"/>
    <n v="57.24"/>
    <n v="0.05"/>
    <n v="163.13"/>
    <n v="171.72"/>
  </r>
  <r>
    <s v="K7-11985"/>
    <d v="2026-09-09T00:00:00"/>
    <s v="Florida"/>
    <s v="South"/>
    <s v="Online"/>
    <s v="Returning"/>
    <s v="Tops"/>
    <s v="Oxford Shirt"/>
    <s v="Jonah Wright"/>
    <n v="2"/>
    <n v="64.75"/>
    <n v="0.05"/>
    <n v="123.02"/>
    <n v="129.5"/>
  </r>
  <r>
    <s v="K7-11986"/>
    <d v="2026-06-15T00:00:00"/>
    <s v="South Carolina"/>
    <s v="South"/>
    <s v="Retail Store"/>
    <s v="Returning"/>
    <s v="Tops"/>
    <s v="Striped Polo"/>
    <s v="Jonah Wright"/>
    <n v="1"/>
    <n v="53.01"/>
    <n v="0"/>
    <n v="53.01"/>
    <n v="53.01"/>
  </r>
  <r>
    <s v="K7-11987"/>
    <d v="2026-08-22T00:00:00"/>
    <s v="Texas"/>
    <s v="South"/>
    <s v="Online"/>
    <s v="New"/>
    <s v="Dresses"/>
    <s v="Wrap Dress"/>
    <s v="Ava Brooks"/>
    <n v="5"/>
    <n v="111.33"/>
    <n v="0"/>
    <n v="556.65"/>
    <n v="556.65"/>
  </r>
  <r>
    <s v="K7-11988"/>
    <d v="2026-11-25T00:00:00"/>
    <s v="New Jersey"/>
    <s v="Northeast"/>
    <s v="Wholesale"/>
    <s v="Returning"/>
    <s v="Footwear"/>
    <s v="Suede Loafer"/>
    <s v="Dylan Foster"/>
    <n v="5"/>
    <n v="166.91"/>
    <n v="0.3"/>
    <n v="584.17999999999995"/>
    <n v="834.55"/>
  </r>
  <r>
    <s v="K7-11989"/>
    <d v="2026-05-01T00:00:00"/>
    <s v="North Carolina"/>
    <s v="South"/>
    <s v="Marketplace"/>
    <s v="Returning"/>
    <s v="Outerwear"/>
    <s v="Wool Overcoat"/>
    <s v="Dylan Foster"/>
    <n v="5"/>
    <n v="305.7"/>
    <n v="0"/>
    <n v="1528.5"/>
    <n v="1528.5"/>
  </r>
  <r>
    <s v="K7-11990"/>
    <d v="2026-06-14T00:00:00"/>
    <s v="Michigan"/>
    <s v="Midwest"/>
    <s v="Marketplace"/>
    <s v="New"/>
    <s v="Outerwear"/>
    <s v="Wool Overcoat"/>
    <s v="Grace Okafor"/>
    <n v="9"/>
    <n v="275.39999999999998"/>
    <n v="0"/>
    <n v="2478.6"/>
    <n v="2478.6"/>
  </r>
  <r>
    <s v="K7-11991"/>
    <d v="2026-11-11T00:00:00"/>
    <s v="Georgia"/>
    <s v="South"/>
    <s v="Marketplace"/>
    <s v="Returning"/>
    <s v="Outerwear"/>
    <s v="Quilted Jacket"/>
    <s v="Noor Haddad"/>
    <n v="5"/>
    <n v="181.41"/>
    <n v="0"/>
    <n v="907.05"/>
    <n v="907.05"/>
  </r>
  <r>
    <s v="K7-11992"/>
    <d v="2026-09-30T00:00:00"/>
    <s v="Indiana"/>
    <s v="Midwest"/>
    <s v="Online"/>
    <s v="New"/>
    <s v="Outerwear"/>
    <s v="Hooded Parka"/>
    <s v="Elena Vargas"/>
    <n v="5"/>
    <n v="255.43"/>
    <n v="0"/>
    <n v="1277.1500000000001"/>
    <n v="1277.1500000000001"/>
  </r>
  <r>
    <s v="K7-11993"/>
    <d v="2026-06-22T00:00:00"/>
    <s v="Idaho"/>
    <s v="West"/>
    <s v="Marketplace"/>
    <s v="Returning"/>
    <s v="Dresses"/>
    <s v="Midi Slip Dress"/>
    <s v="Jonah Wright"/>
    <n v="2"/>
    <n v="96.33"/>
    <n v="0"/>
    <n v="192.66"/>
    <n v="192.66"/>
  </r>
  <r>
    <s v="K7-11994"/>
    <d v="2026-03-06T00:00:00"/>
    <s v="Washington"/>
    <s v="West"/>
    <s v="Online"/>
    <s v="Returning"/>
    <s v="Outerwear"/>
    <s v="Quilted Jacket"/>
    <s v="Dylan Foster"/>
    <n v="3"/>
    <n v="176.47"/>
    <n v="0"/>
    <n v="529.41"/>
    <n v="529.41"/>
  </r>
  <r>
    <s v="K7-11995"/>
    <d v="2026-06-02T00:00:00"/>
    <s v="California"/>
    <s v="West"/>
    <s v="Retail Store"/>
    <s v="Returning"/>
    <s v="Tops"/>
    <s v="Henley Long Sleeve"/>
    <s v="Marcus Reed"/>
    <n v="1"/>
    <n v="48.47"/>
    <n v="0"/>
    <n v="48.47"/>
    <n v="48.47"/>
  </r>
  <r>
    <s v="K7-11996"/>
    <d v="2026-04-21T00:00:00"/>
    <s v="Virginia"/>
    <s v="South"/>
    <s v="Wholesale"/>
    <s v="Returning"/>
    <s v="Accessories"/>
    <s v="Canvas Tote"/>
    <s v="Grace Okafor"/>
    <n v="11"/>
    <n v="37.04"/>
    <n v="0"/>
    <n v="407.44"/>
    <n v="407.44"/>
  </r>
  <r>
    <s v="K7-11997"/>
    <d v="2026-11-26T00:00:00"/>
    <s v="California"/>
    <s v="West"/>
    <s v="Online"/>
    <s v="Returning"/>
    <s v="Bottoms"/>
    <s v="Straight Jeans"/>
    <s v="Jonah Wright"/>
    <n v="2"/>
    <n v="92.06"/>
    <n v="0"/>
    <n v="184.12"/>
    <n v="184.12"/>
  </r>
  <r>
    <s v="K7-11998"/>
    <d v="2026-04-01T00:00:00"/>
    <s v="New York"/>
    <s v="Northeast"/>
    <s v="Online"/>
    <s v="Returning"/>
    <s v="Tops"/>
    <s v="Oxford Shirt"/>
    <s v="Ava Brooks"/>
    <n v="3"/>
    <n v="66.319999999999993"/>
    <n v="0.05"/>
    <n v="189.01"/>
    <n v="198.95999999999998"/>
  </r>
  <r>
    <s v="K7-11999"/>
    <d v="2026-02-05T00:00:00"/>
    <s v="Florida"/>
    <s v="South"/>
    <s v="Retail Store"/>
    <s v="Returning"/>
    <s v="Accessories"/>
    <s v="Silk Scarf"/>
    <s v="Elena Vargas"/>
    <n v="2"/>
    <n v="59.65"/>
    <n v="0.05"/>
    <n v="113.33"/>
    <n v="119.3"/>
  </r>
  <r>
    <s v="K7-12000"/>
    <d v="2026-05-05T00:00:00"/>
    <s v="Florida"/>
    <s v="South"/>
    <s v="Online"/>
    <s v="New"/>
    <s v="Tops"/>
    <s v="Henley Long Sleeve"/>
    <s v="Elena Vargas"/>
    <n v="3"/>
    <n v="47.48"/>
    <n v="0"/>
    <n v="142.44"/>
    <n v="142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K7-10001"/>
    <x v="0"/>
    <x v="0"/>
    <x v="0"/>
    <x v="0"/>
    <x v="0"/>
    <x v="0"/>
    <x v="0"/>
    <s v="Grace Okafor"/>
    <n v="5"/>
    <n v="53.79"/>
    <n v="0.2"/>
    <n v="215.16"/>
    <n v="711860.9799999987"/>
    <m/>
    <x v="0"/>
  </r>
  <r>
    <s v="K7-10002"/>
    <x v="1"/>
    <x v="1"/>
    <x v="1"/>
    <x v="0"/>
    <x v="0"/>
    <x v="1"/>
    <x v="1"/>
    <s v="Elena Vargas"/>
    <n v="4"/>
    <n v="135.87"/>
    <n v="0"/>
    <n v="543.48"/>
    <n v="2000"/>
    <m/>
    <x v="1"/>
  </r>
  <r>
    <s v="K7-10003"/>
    <x v="2"/>
    <x v="1"/>
    <x v="1"/>
    <x v="0"/>
    <x v="1"/>
    <x v="2"/>
    <x v="2"/>
    <s v="Grace Okafor"/>
    <n v="2"/>
    <n v="24.98"/>
    <n v="0"/>
    <n v="49.96"/>
    <n v="355.93048999999934"/>
    <m/>
    <x v="0"/>
  </r>
  <r>
    <s v="K7-10004"/>
    <x v="3"/>
    <x v="2"/>
    <x v="2"/>
    <x v="1"/>
    <x v="1"/>
    <x v="1"/>
    <x v="3"/>
    <s v="Marcus Reed"/>
    <n v="2"/>
    <n v="176.2"/>
    <n v="0.1"/>
    <n v="317.16000000000003"/>
    <m/>
    <m/>
    <x v="1"/>
  </r>
  <r>
    <s v="K7-10005"/>
    <x v="4"/>
    <x v="1"/>
    <x v="1"/>
    <x v="2"/>
    <x v="0"/>
    <x v="3"/>
    <x v="4"/>
    <s v="Ava Brooks"/>
    <n v="4"/>
    <n v="131.31"/>
    <n v="0.05"/>
    <n v="498.98"/>
    <m/>
    <m/>
    <x v="2"/>
  </r>
  <r>
    <s v="K7-10006"/>
    <x v="5"/>
    <x v="1"/>
    <x v="1"/>
    <x v="3"/>
    <x v="1"/>
    <x v="2"/>
    <x v="5"/>
    <s v="Jonah Wright"/>
    <n v="6"/>
    <n v="38.43"/>
    <n v="0"/>
    <n v="230.58"/>
    <m/>
    <m/>
    <x v="3"/>
  </r>
  <r>
    <s v="K7-10007"/>
    <x v="6"/>
    <x v="3"/>
    <x v="0"/>
    <x v="1"/>
    <x v="0"/>
    <x v="4"/>
    <x v="6"/>
    <s v="Noor Haddad"/>
    <n v="1"/>
    <n v="53.92"/>
    <n v="0"/>
    <n v="53.92"/>
    <m/>
    <m/>
    <x v="4"/>
  </r>
  <r>
    <s v="K7-10008"/>
    <x v="7"/>
    <x v="4"/>
    <x v="3"/>
    <x v="0"/>
    <x v="0"/>
    <x v="5"/>
    <x v="7"/>
    <s v="Noor Haddad"/>
    <n v="5"/>
    <n v="162.35"/>
    <n v="0"/>
    <n v="811.75"/>
    <m/>
    <m/>
    <x v="5"/>
  </r>
  <r>
    <s v="K7-10009"/>
    <x v="8"/>
    <x v="5"/>
    <x v="0"/>
    <x v="0"/>
    <x v="0"/>
    <x v="3"/>
    <x v="4"/>
    <s v="Priya Nair"/>
    <n v="4"/>
    <n v="137.59"/>
    <n v="0"/>
    <n v="550.36"/>
    <m/>
    <m/>
    <x v="6"/>
  </r>
  <r>
    <s v="K7-10010"/>
    <x v="9"/>
    <x v="6"/>
    <x v="2"/>
    <x v="0"/>
    <x v="0"/>
    <x v="1"/>
    <x v="8"/>
    <s v="Noor Haddad"/>
    <n v="2"/>
    <n v="228.33"/>
    <n v="0.05"/>
    <n v="433.83"/>
    <m/>
    <m/>
    <x v="7"/>
  </r>
  <r>
    <s v="K7-10011"/>
    <x v="10"/>
    <x v="7"/>
    <x v="2"/>
    <x v="0"/>
    <x v="0"/>
    <x v="5"/>
    <x v="9"/>
    <s v="Noor Haddad"/>
    <n v="2"/>
    <n v="83.9"/>
    <n v="0"/>
    <n v="167.8"/>
    <m/>
    <m/>
    <x v="5"/>
  </r>
  <r>
    <s v="K7-10012"/>
    <x v="11"/>
    <x v="8"/>
    <x v="1"/>
    <x v="0"/>
    <x v="1"/>
    <x v="2"/>
    <x v="5"/>
    <s v="Priya Nair"/>
    <n v="3"/>
    <n v="38.67"/>
    <n v="0"/>
    <n v="116.01"/>
    <m/>
    <m/>
    <x v="8"/>
  </r>
  <r>
    <s v="K7-10013"/>
    <x v="12"/>
    <x v="0"/>
    <x v="0"/>
    <x v="1"/>
    <x v="1"/>
    <x v="1"/>
    <x v="3"/>
    <s v="Noor Haddad"/>
    <n v="2"/>
    <n v="168.02"/>
    <n v="0"/>
    <n v="336.04"/>
    <m/>
    <m/>
    <x v="0"/>
  </r>
  <r>
    <s v="K7-10014"/>
    <x v="13"/>
    <x v="1"/>
    <x v="1"/>
    <x v="3"/>
    <x v="1"/>
    <x v="0"/>
    <x v="0"/>
    <s v="Elena Vargas"/>
    <n v="6"/>
    <n v="53.01"/>
    <n v="0.15"/>
    <n v="270.35000000000002"/>
    <m/>
    <m/>
    <x v="4"/>
  </r>
  <r>
    <s v="K7-10015"/>
    <x v="14"/>
    <x v="0"/>
    <x v="0"/>
    <x v="0"/>
    <x v="1"/>
    <x v="4"/>
    <x v="6"/>
    <s v="Priya Nair"/>
    <n v="8"/>
    <n v="55.24"/>
    <n v="0.1"/>
    <n v="397.73"/>
    <m/>
    <m/>
    <x v="5"/>
  </r>
  <r>
    <s v="K7-10016"/>
    <x v="0"/>
    <x v="1"/>
    <x v="1"/>
    <x v="3"/>
    <x v="0"/>
    <x v="3"/>
    <x v="10"/>
    <s v="Elena Vargas"/>
    <n v="7"/>
    <n v="116.1"/>
    <n v="0.2"/>
    <n v="650.16"/>
    <m/>
    <m/>
    <x v="0"/>
  </r>
  <r>
    <s v="K7-10017"/>
    <x v="15"/>
    <x v="0"/>
    <x v="0"/>
    <x v="0"/>
    <x v="0"/>
    <x v="1"/>
    <x v="1"/>
    <s v="Noor Haddad"/>
    <n v="1"/>
    <n v="119.52"/>
    <n v="0"/>
    <n v="119.52"/>
    <m/>
    <m/>
    <x v="9"/>
  </r>
  <r>
    <s v="K7-10018"/>
    <x v="16"/>
    <x v="2"/>
    <x v="2"/>
    <x v="0"/>
    <x v="0"/>
    <x v="0"/>
    <x v="0"/>
    <s v="Noor Haddad"/>
    <n v="6"/>
    <n v="54.38"/>
    <n v="0.05"/>
    <n v="309.97000000000003"/>
    <m/>
    <m/>
    <x v="3"/>
  </r>
  <r>
    <s v="K7-10019"/>
    <x v="17"/>
    <x v="2"/>
    <x v="2"/>
    <x v="0"/>
    <x v="1"/>
    <x v="2"/>
    <x v="2"/>
    <s v="Dylan Foster"/>
    <n v="1"/>
    <n v="24.9"/>
    <n v="0"/>
    <n v="24.9"/>
    <m/>
    <m/>
    <x v="8"/>
  </r>
  <r>
    <s v="K7-10020"/>
    <x v="18"/>
    <x v="2"/>
    <x v="2"/>
    <x v="1"/>
    <x v="0"/>
    <x v="4"/>
    <x v="11"/>
    <s v="Marcus Reed"/>
    <n v="4"/>
    <n v="85.16"/>
    <n v="0.15"/>
    <n v="289.54000000000002"/>
    <m/>
    <m/>
    <x v="10"/>
  </r>
  <r>
    <s v="K7-10021"/>
    <x v="19"/>
    <x v="9"/>
    <x v="2"/>
    <x v="3"/>
    <x v="1"/>
    <x v="1"/>
    <x v="3"/>
    <s v="Ava Brooks"/>
    <n v="4"/>
    <n v="171.54"/>
    <n v="0.15"/>
    <n v="583.24"/>
    <m/>
    <m/>
    <x v="1"/>
  </r>
  <r>
    <s v="K7-10022"/>
    <x v="20"/>
    <x v="0"/>
    <x v="0"/>
    <x v="0"/>
    <x v="1"/>
    <x v="1"/>
    <x v="8"/>
    <s v="Grace Okafor"/>
    <n v="4"/>
    <n v="232.36"/>
    <n v="0"/>
    <n v="929.44"/>
    <m/>
    <m/>
    <x v="5"/>
  </r>
  <r>
    <s v="K7-10023"/>
    <x v="21"/>
    <x v="1"/>
    <x v="1"/>
    <x v="0"/>
    <x v="1"/>
    <x v="1"/>
    <x v="12"/>
    <s v="Grace Okafor"/>
    <n v="3"/>
    <n v="283.29000000000002"/>
    <n v="0.1"/>
    <n v="764.88"/>
    <m/>
    <m/>
    <x v="9"/>
  </r>
  <r>
    <s v="K7-10024"/>
    <x v="22"/>
    <x v="8"/>
    <x v="1"/>
    <x v="3"/>
    <x v="0"/>
    <x v="4"/>
    <x v="13"/>
    <s v="Marcus Reed"/>
    <n v="8"/>
    <n v="92.3"/>
    <n v="0.05"/>
    <n v="701.48"/>
    <m/>
    <m/>
    <x v="3"/>
  </r>
  <r>
    <s v="K7-10025"/>
    <x v="23"/>
    <x v="10"/>
    <x v="3"/>
    <x v="1"/>
    <x v="0"/>
    <x v="1"/>
    <x v="1"/>
    <s v="Noor Haddad"/>
    <n v="1"/>
    <n v="130.94"/>
    <n v="0.15"/>
    <n v="111.3"/>
    <m/>
    <m/>
    <x v="7"/>
  </r>
  <r>
    <s v="K7-10026"/>
    <x v="24"/>
    <x v="5"/>
    <x v="0"/>
    <x v="1"/>
    <x v="1"/>
    <x v="4"/>
    <x v="14"/>
    <s v="Noor Haddad"/>
    <n v="4"/>
    <n v="81.86"/>
    <n v="0.2"/>
    <n v="261.95"/>
    <m/>
    <m/>
    <x v="7"/>
  </r>
  <r>
    <s v="K7-10027"/>
    <x v="25"/>
    <x v="11"/>
    <x v="3"/>
    <x v="1"/>
    <x v="1"/>
    <x v="0"/>
    <x v="0"/>
    <s v="Marcus Reed"/>
    <n v="1"/>
    <n v="55.3"/>
    <n v="0"/>
    <n v="55.3"/>
    <m/>
    <m/>
    <x v="4"/>
  </r>
  <r>
    <s v="K7-10028"/>
    <x v="26"/>
    <x v="12"/>
    <x v="3"/>
    <x v="1"/>
    <x v="0"/>
    <x v="5"/>
    <x v="9"/>
    <s v="Noor Haddad"/>
    <n v="1"/>
    <n v="84.36"/>
    <n v="0"/>
    <n v="84.36"/>
    <m/>
    <m/>
    <x v="8"/>
  </r>
  <r>
    <s v="K7-10029"/>
    <x v="27"/>
    <x v="13"/>
    <x v="0"/>
    <x v="1"/>
    <x v="1"/>
    <x v="3"/>
    <x v="15"/>
    <s v="Elena Vargas"/>
    <n v="3"/>
    <n v="102.78"/>
    <n v="0"/>
    <n v="308.33999999999997"/>
    <m/>
    <m/>
    <x v="2"/>
  </r>
  <r>
    <s v="K7-10030"/>
    <x v="28"/>
    <x v="5"/>
    <x v="0"/>
    <x v="3"/>
    <x v="1"/>
    <x v="4"/>
    <x v="11"/>
    <s v="Grace Okafor"/>
    <n v="3"/>
    <n v="79.73"/>
    <n v="0"/>
    <n v="239.19"/>
    <m/>
    <m/>
    <x v="0"/>
  </r>
  <r>
    <s v="K7-10031"/>
    <x v="29"/>
    <x v="10"/>
    <x v="3"/>
    <x v="0"/>
    <x v="1"/>
    <x v="1"/>
    <x v="3"/>
    <s v="Noor Haddad"/>
    <n v="1"/>
    <n v="157.97999999999999"/>
    <n v="0.2"/>
    <n v="126.38"/>
    <m/>
    <m/>
    <x v="11"/>
  </r>
  <r>
    <s v="K7-10032"/>
    <x v="22"/>
    <x v="9"/>
    <x v="2"/>
    <x v="1"/>
    <x v="1"/>
    <x v="2"/>
    <x v="16"/>
    <s v="Ava Brooks"/>
    <n v="3"/>
    <n v="66.25"/>
    <n v="0"/>
    <n v="198.75"/>
    <m/>
    <m/>
    <x v="3"/>
  </r>
  <r>
    <s v="K7-10033"/>
    <x v="30"/>
    <x v="14"/>
    <x v="2"/>
    <x v="0"/>
    <x v="0"/>
    <x v="5"/>
    <x v="17"/>
    <s v="Jonah Wright"/>
    <n v="3"/>
    <n v="224.5"/>
    <n v="0"/>
    <n v="673.5"/>
    <m/>
    <m/>
    <x v="3"/>
  </r>
  <r>
    <s v="K7-10034"/>
    <x v="31"/>
    <x v="13"/>
    <x v="0"/>
    <x v="1"/>
    <x v="1"/>
    <x v="2"/>
    <x v="16"/>
    <s v="Grace Okafor"/>
    <n v="10"/>
    <n v="62.89"/>
    <n v="0.1"/>
    <n v="566.01"/>
    <m/>
    <m/>
    <x v="1"/>
  </r>
  <r>
    <s v="K7-10035"/>
    <x v="32"/>
    <x v="14"/>
    <x v="2"/>
    <x v="0"/>
    <x v="0"/>
    <x v="4"/>
    <x v="13"/>
    <s v="Grace Okafor"/>
    <n v="3"/>
    <n v="91.87"/>
    <n v="0"/>
    <n v="275.61"/>
    <m/>
    <m/>
    <x v="9"/>
  </r>
  <r>
    <s v="K7-10036"/>
    <x v="33"/>
    <x v="15"/>
    <x v="1"/>
    <x v="0"/>
    <x v="1"/>
    <x v="4"/>
    <x v="6"/>
    <s v="Grace Okafor"/>
    <n v="9"/>
    <n v="57.31"/>
    <n v="0.1"/>
    <n v="464.21"/>
    <m/>
    <m/>
    <x v="9"/>
  </r>
  <r>
    <s v="K7-10037"/>
    <x v="34"/>
    <x v="1"/>
    <x v="1"/>
    <x v="1"/>
    <x v="1"/>
    <x v="1"/>
    <x v="1"/>
    <s v="Dylan Foster"/>
    <n v="5"/>
    <n v="137.80000000000001"/>
    <n v="0.15"/>
    <n v="585.65"/>
    <m/>
    <m/>
    <x v="4"/>
  </r>
  <r>
    <s v="K7-10038"/>
    <x v="35"/>
    <x v="3"/>
    <x v="0"/>
    <x v="1"/>
    <x v="0"/>
    <x v="1"/>
    <x v="12"/>
    <s v="Ava Brooks"/>
    <n v="1"/>
    <n v="281.94"/>
    <n v="0.15"/>
    <n v="239.65"/>
    <m/>
    <m/>
    <x v="11"/>
  </r>
  <r>
    <s v="K7-10039"/>
    <x v="36"/>
    <x v="8"/>
    <x v="1"/>
    <x v="1"/>
    <x v="0"/>
    <x v="1"/>
    <x v="3"/>
    <s v="Elena Vargas"/>
    <n v="1"/>
    <n v="169.64"/>
    <n v="0"/>
    <n v="169.64"/>
    <m/>
    <m/>
    <x v="2"/>
  </r>
  <r>
    <s v="K7-10040"/>
    <x v="37"/>
    <x v="8"/>
    <x v="1"/>
    <x v="3"/>
    <x v="0"/>
    <x v="0"/>
    <x v="0"/>
    <s v="Priya Nair"/>
    <n v="11"/>
    <n v="51.96"/>
    <n v="0.1"/>
    <n v="514.4"/>
    <m/>
    <m/>
    <x v="10"/>
  </r>
  <r>
    <s v="K7-10041"/>
    <x v="38"/>
    <x v="1"/>
    <x v="1"/>
    <x v="1"/>
    <x v="0"/>
    <x v="4"/>
    <x v="14"/>
    <s v="Elena Vargas"/>
    <n v="2"/>
    <n v="75.540000000000006"/>
    <n v="0.3"/>
    <n v="105.76"/>
    <m/>
    <m/>
    <x v="3"/>
  </r>
  <r>
    <s v="K7-10042"/>
    <x v="39"/>
    <x v="2"/>
    <x v="2"/>
    <x v="0"/>
    <x v="1"/>
    <x v="3"/>
    <x v="10"/>
    <s v="Priya Nair"/>
    <n v="4"/>
    <n v="117.62"/>
    <n v="0.15"/>
    <n v="399.91"/>
    <m/>
    <m/>
    <x v="5"/>
  </r>
  <r>
    <s v="K7-10043"/>
    <x v="36"/>
    <x v="8"/>
    <x v="1"/>
    <x v="0"/>
    <x v="0"/>
    <x v="3"/>
    <x v="4"/>
    <s v="Dylan Foster"/>
    <n v="2"/>
    <n v="137.72999999999999"/>
    <n v="0"/>
    <n v="275.45999999999998"/>
    <m/>
    <m/>
    <x v="2"/>
  </r>
  <r>
    <s v="K7-10044"/>
    <x v="40"/>
    <x v="3"/>
    <x v="0"/>
    <x v="1"/>
    <x v="0"/>
    <x v="4"/>
    <x v="6"/>
    <s v="Marcus Reed"/>
    <n v="1"/>
    <n v="61.77"/>
    <n v="0.05"/>
    <n v="58.68"/>
    <m/>
    <m/>
    <x v="8"/>
  </r>
  <r>
    <s v="K7-10045"/>
    <x v="41"/>
    <x v="16"/>
    <x v="0"/>
    <x v="3"/>
    <x v="0"/>
    <x v="2"/>
    <x v="2"/>
    <s v="Jonah Wright"/>
    <n v="4"/>
    <n v="27.93"/>
    <n v="0.05"/>
    <n v="106.13"/>
    <m/>
    <m/>
    <x v="4"/>
  </r>
  <r>
    <s v="K7-10046"/>
    <x v="14"/>
    <x v="8"/>
    <x v="1"/>
    <x v="2"/>
    <x v="1"/>
    <x v="3"/>
    <x v="15"/>
    <s v="Marcus Reed"/>
    <n v="1"/>
    <n v="105.71"/>
    <n v="0.15"/>
    <n v="89.85"/>
    <m/>
    <m/>
    <x v="5"/>
  </r>
  <r>
    <s v="K7-10047"/>
    <x v="3"/>
    <x v="17"/>
    <x v="0"/>
    <x v="2"/>
    <x v="0"/>
    <x v="1"/>
    <x v="1"/>
    <s v="Jonah Wright"/>
    <n v="3"/>
    <n v="127.52"/>
    <n v="0"/>
    <n v="382.56"/>
    <m/>
    <m/>
    <x v="1"/>
  </r>
  <r>
    <s v="K7-10048"/>
    <x v="42"/>
    <x v="10"/>
    <x v="3"/>
    <x v="1"/>
    <x v="1"/>
    <x v="1"/>
    <x v="1"/>
    <s v="Elena Vargas"/>
    <n v="1"/>
    <n v="129.55000000000001"/>
    <n v="0"/>
    <n v="129.55000000000001"/>
    <m/>
    <m/>
    <x v="9"/>
  </r>
  <r>
    <s v="K7-10049"/>
    <x v="43"/>
    <x v="0"/>
    <x v="0"/>
    <x v="0"/>
    <x v="1"/>
    <x v="1"/>
    <x v="12"/>
    <s v="Ava Brooks"/>
    <n v="6"/>
    <n v="310.39999999999998"/>
    <n v="0"/>
    <n v="1862.4"/>
    <m/>
    <m/>
    <x v="5"/>
  </r>
  <r>
    <s v="K7-10050"/>
    <x v="44"/>
    <x v="18"/>
    <x v="3"/>
    <x v="1"/>
    <x v="0"/>
    <x v="5"/>
    <x v="17"/>
    <s v="Jonah Wright"/>
    <n v="1"/>
    <n v="202.77"/>
    <n v="0"/>
    <n v="202.77"/>
    <m/>
    <m/>
    <x v="6"/>
  </r>
  <r>
    <s v="K7-10051"/>
    <x v="45"/>
    <x v="19"/>
    <x v="1"/>
    <x v="1"/>
    <x v="0"/>
    <x v="2"/>
    <x v="16"/>
    <s v="Elena Vargas"/>
    <n v="3"/>
    <n v="58.23"/>
    <n v="0"/>
    <n v="174.69"/>
    <m/>
    <m/>
    <x v="6"/>
  </r>
  <r>
    <s v="K7-10052"/>
    <x v="46"/>
    <x v="1"/>
    <x v="1"/>
    <x v="0"/>
    <x v="1"/>
    <x v="2"/>
    <x v="5"/>
    <s v="Elena Vargas"/>
    <n v="5"/>
    <n v="36.369999999999997"/>
    <n v="0"/>
    <n v="181.85"/>
    <m/>
    <m/>
    <x v="4"/>
  </r>
  <r>
    <s v="K7-10053"/>
    <x v="47"/>
    <x v="14"/>
    <x v="2"/>
    <x v="2"/>
    <x v="1"/>
    <x v="0"/>
    <x v="0"/>
    <s v="Grace Okafor"/>
    <n v="2"/>
    <n v="50.93"/>
    <n v="0"/>
    <n v="101.86"/>
    <m/>
    <m/>
    <x v="2"/>
  </r>
  <r>
    <s v="K7-10054"/>
    <x v="48"/>
    <x v="7"/>
    <x v="2"/>
    <x v="3"/>
    <x v="0"/>
    <x v="1"/>
    <x v="12"/>
    <s v="Jonah Wright"/>
    <n v="1"/>
    <n v="316.77"/>
    <n v="0"/>
    <n v="316.77"/>
    <m/>
    <m/>
    <x v="7"/>
  </r>
  <r>
    <s v="K7-10055"/>
    <x v="49"/>
    <x v="20"/>
    <x v="3"/>
    <x v="0"/>
    <x v="0"/>
    <x v="2"/>
    <x v="16"/>
    <s v="Elena Vargas"/>
    <n v="2"/>
    <n v="63.06"/>
    <n v="0.15"/>
    <n v="107.2"/>
    <m/>
    <m/>
    <x v="4"/>
  </r>
  <r>
    <s v="K7-10056"/>
    <x v="50"/>
    <x v="15"/>
    <x v="1"/>
    <x v="3"/>
    <x v="0"/>
    <x v="1"/>
    <x v="8"/>
    <s v="Ava Brooks"/>
    <n v="5"/>
    <n v="236.7"/>
    <n v="0"/>
    <n v="1183.5"/>
    <m/>
    <m/>
    <x v="11"/>
  </r>
  <r>
    <s v="K7-10057"/>
    <x v="51"/>
    <x v="7"/>
    <x v="2"/>
    <x v="0"/>
    <x v="0"/>
    <x v="2"/>
    <x v="2"/>
    <s v="Noor Haddad"/>
    <n v="3"/>
    <n v="27"/>
    <n v="0"/>
    <n v="81"/>
    <m/>
    <m/>
    <x v="3"/>
  </r>
  <r>
    <s v="K7-10058"/>
    <x v="52"/>
    <x v="21"/>
    <x v="0"/>
    <x v="1"/>
    <x v="0"/>
    <x v="4"/>
    <x v="6"/>
    <s v="Noor Haddad"/>
    <n v="5"/>
    <n v="57.42"/>
    <n v="0.3"/>
    <n v="200.97"/>
    <m/>
    <m/>
    <x v="8"/>
  </r>
  <r>
    <s v="K7-10059"/>
    <x v="53"/>
    <x v="12"/>
    <x v="3"/>
    <x v="2"/>
    <x v="0"/>
    <x v="0"/>
    <x v="18"/>
    <s v="Grace Okafor"/>
    <n v="5"/>
    <n v="31.91"/>
    <n v="0"/>
    <n v="159.55000000000001"/>
    <m/>
    <m/>
    <x v="0"/>
  </r>
  <r>
    <s v="K7-10060"/>
    <x v="54"/>
    <x v="0"/>
    <x v="0"/>
    <x v="0"/>
    <x v="0"/>
    <x v="1"/>
    <x v="8"/>
    <s v="Jonah Wright"/>
    <n v="3"/>
    <n v="256.77"/>
    <n v="0"/>
    <n v="770.31"/>
    <m/>
    <m/>
    <x v="1"/>
  </r>
  <r>
    <s v="K7-10061"/>
    <x v="43"/>
    <x v="1"/>
    <x v="1"/>
    <x v="3"/>
    <x v="0"/>
    <x v="2"/>
    <x v="2"/>
    <s v="Noor Haddad"/>
    <n v="1"/>
    <n v="26.27"/>
    <n v="0.05"/>
    <n v="24.96"/>
    <m/>
    <m/>
    <x v="5"/>
  </r>
  <r>
    <s v="K7-10062"/>
    <x v="55"/>
    <x v="5"/>
    <x v="0"/>
    <x v="0"/>
    <x v="0"/>
    <x v="2"/>
    <x v="19"/>
    <s v="Grace Okafor"/>
    <n v="7"/>
    <n v="45.62"/>
    <n v="0"/>
    <n v="319.33999999999997"/>
    <m/>
    <m/>
    <x v="11"/>
  </r>
  <r>
    <s v="K7-10063"/>
    <x v="47"/>
    <x v="16"/>
    <x v="0"/>
    <x v="0"/>
    <x v="0"/>
    <x v="1"/>
    <x v="1"/>
    <s v="Marcus Reed"/>
    <n v="1"/>
    <n v="132.80000000000001"/>
    <n v="0"/>
    <n v="132.80000000000001"/>
    <m/>
    <m/>
    <x v="2"/>
  </r>
  <r>
    <s v="K7-10064"/>
    <x v="56"/>
    <x v="10"/>
    <x v="3"/>
    <x v="0"/>
    <x v="1"/>
    <x v="0"/>
    <x v="20"/>
    <s v="Dylan Foster"/>
    <n v="5"/>
    <n v="69.36"/>
    <n v="0.1"/>
    <n v="312.12"/>
    <m/>
    <m/>
    <x v="1"/>
  </r>
  <r>
    <s v="K7-10065"/>
    <x v="57"/>
    <x v="18"/>
    <x v="3"/>
    <x v="0"/>
    <x v="0"/>
    <x v="0"/>
    <x v="18"/>
    <s v="Grace Okafor"/>
    <n v="3"/>
    <n v="30.82"/>
    <n v="0.15"/>
    <n v="78.59"/>
    <m/>
    <m/>
    <x v="1"/>
  </r>
  <r>
    <s v="K7-10066"/>
    <x v="58"/>
    <x v="13"/>
    <x v="0"/>
    <x v="1"/>
    <x v="1"/>
    <x v="0"/>
    <x v="20"/>
    <s v="Elena Vargas"/>
    <n v="1"/>
    <n v="66.87"/>
    <n v="0"/>
    <n v="66.87"/>
    <m/>
    <m/>
    <x v="7"/>
  </r>
  <r>
    <s v="K7-10067"/>
    <x v="59"/>
    <x v="20"/>
    <x v="3"/>
    <x v="1"/>
    <x v="0"/>
    <x v="4"/>
    <x v="11"/>
    <s v="Priya Nair"/>
    <n v="1"/>
    <n v="90.62"/>
    <n v="0"/>
    <n v="90.62"/>
    <m/>
    <m/>
    <x v="11"/>
  </r>
  <r>
    <s v="K7-10068"/>
    <x v="60"/>
    <x v="7"/>
    <x v="2"/>
    <x v="2"/>
    <x v="1"/>
    <x v="2"/>
    <x v="2"/>
    <s v="Priya Nair"/>
    <n v="3"/>
    <n v="25.75"/>
    <n v="0"/>
    <n v="77.25"/>
    <m/>
    <m/>
    <x v="10"/>
  </r>
  <r>
    <s v="K7-10069"/>
    <x v="61"/>
    <x v="1"/>
    <x v="1"/>
    <x v="0"/>
    <x v="1"/>
    <x v="3"/>
    <x v="10"/>
    <s v="Jonah Wright"/>
    <n v="1"/>
    <n v="119.12"/>
    <n v="0"/>
    <n v="119.12"/>
    <m/>
    <m/>
    <x v="7"/>
  </r>
  <r>
    <s v="K7-10070"/>
    <x v="62"/>
    <x v="4"/>
    <x v="3"/>
    <x v="1"/>
    <x v="1"/>
    <x v="5"/>
    <x v="7"/>
    <s v="Noor Haddad"/>
    <n v="2"/>
    <n v="153.79"/>
    <n v="0"/>
    <n v="307.58"/>
    <m/>
    <m/>
    <x v="0"/>
  </r>
  <r>
    <s v="K7-10071"/>
    <x v="63"/>
    <x v="22"/>
    <x v="0"/>
    <x v="3"/>
    <x v="1"/>
    <x v="3"/>
    <x v="4"/>
    <s v="Jonah Wright"/>
    <n v="4"/>
    <n v="131.56"/>
    <n v="0"/>
    <n v="526.24"/>
    <m/>
    <m/>
    <x v="3"/>
  </r>
  <r>
    <s v="K7-10072"/>
    <x v="40"/>
    <x v="13"/>
    <x v="0"/>
    <x v="0"/>
    <x v="1"/>
    <x v="5"/>
    <x v="17"/>
    <s v="Noor Haddad"/>
    <n v="2"/>
    <n v="219.82"/>
    <n v="0"/>
    <n v="439.64"/>
    <m/>
    <m/>
    <x v="8"/>
  </r>
  <r>
    <s v="K7-10073"/>
    <x v="64"/>
    <x v="5"/>
    <x v="0"/>
    <x v="3"/>
    <x v="0"/>
    <x v="5"/>
    <x v="17"/>
    <s v="Jonah Wright"/>
    <n v="1"/>
    <n v="219.4"/>
    <n v="0"/>
    <n v="219.4"/>
    <m/>
    <m/>
    <x v="8"/>
  </r>
  <r>
    <s v="K7-10074"/>
    <x v="65"/>
    <x v="22"/>
    <x v="0"/>
    <x v="0"/>
    <x v="0"/>
    <x v="4"/>
    <x v="13"/>
    <s v="Grace Okafor"/>
    <n v="1"/>
    <n v="88.74"/>
    <n v="0"/>
    <n v="88.74"/>
    <m/>
    <m/>
    <x v="4"/>
  </r>
  <r>
    <s v="K7-10075"/>
    <x v="66"/>
    <x v="23"/>
    <x v="0"/>
    <x v="1"/>
    <x v="1"/>
    <x v="0"/>
    <x v="18"/>
    <s v="Ava Brooks"/>
    <n v="2"/>
    <n v="30.59"/>
    <n v="0.1"/>
    <n v="55.06"/>
    <m/>
    <m/>
    <x v="9"/>
  </r>
  <r>
    <s v="K7-10076"/>
    <x v="67"/>
    <x v="1"/>
    <x v="1"/>
    <x v="1"/>
    <x v="1"/>
    <x v="0"/>
    <x v="21"/>
    <s v="Priya Nair"/>
    <n v="8"/>
    <n v="46.85"/>
    <n v="0.2"/>
    <n v="299.83999999999997"/>
    <m/>
    <m/>
    <x v="2"/>
  </r>
  <r>
    <s v="K7-10077"/>
    <x v="68"/>
    <x v="24"/>
    <x v="2"/>
    <x v="0"/>
    <x v="0"/>
    <x v="0"/>
    <x v="21"/>
    <s v="Noor Haddad"/>
    <n v="4"/>
    <n v="44.71"/>
    <n v="0"/>
    <n v="178.84"/>
    <m/>
    <m/>
    <x v="3"/>
  </r>
  <r>
    <s v="K7-10078"/>
    <x v="69"/>
    <x v="11"/>
    <x v="3"/>
    <x v="0"/>
    <x v="0"/>
    <x v="1"/>
    <x v="1"/>
    <s v="Elena Vargas"/>
    <n v="2"/>
    <n v="130.62"/>
    <n v="0"/>
    <n v="261.24"/>
    <m/>
    <m/>
    <x v="1"/>
  </r>
  <r>
    <s v="K7-10079"/>
    <x v="70"/>
    <x v="1"/>
    <x v="1"/>
    <x v="0"/>
    <x v="0"/>
    <x v="1"/>
    <x v="8"/>
    <s v="Marcus Reed"/>
    <n v="1"/>
    <n v="237.79"/>
    <n v="0.1"/>
    <n v="214.01"/>
    <m/>
    <m/>
    <x v="8"/>
  </r>
  <r>
    <s v="K7-10080"/>
    <x v="71"/>
    <x v="25"/>
    <x v="3"/>
    <x v="0"/>
    <x v="0"/>
    <x v="4"/>
    <x v="13"/>
    <s v="Grace Okafor"/>
    <n v="1"/>
    <n v="97.02"/>
    <n v="0"/>
    <n v="97.02"/>
    <m/>
    <m/>
    <x v="7"/>
  </r>
  <r>
    <s v="K7-10081"/>
    <x v="62"/>
    <x v="3"/>
    <x v="0"/>
    <x v="3"/>
    <x v="0"/>
    <x v="4"/>
    <x v="14"/>
    <s v="Dylan Foster"/>
    <n v="6"/>
    <n v="71.569999999999993"/>
    <n v="0"/>
    <n v="429.42"/>
    <m/>
    <m/>
    <x v="0"/>
  </r>
  <r>
    <s v="K7-10082"/>
    <x v="30"/>
    <x v="14"/>
    <x v="2"/>
    <x v="1"/>
    <x v="0"/>
    <x v="2"/>
    <x v="16"/>
    <s v="Grace Okafor"/>
    <n v="8"/>
    <n v="58.99"/>
    <n v="0"/>
    <n v="471.92"/>
    <m/>
    <m/>
    <x v="3"/>
  </r>
  <r>
    <s v="K7-10083"/>
    <x v="72"/>
    <x v="20"/>
    <x v="3"/>
    <x v="0"/>
    <x v="0"/>
    <x v="0"/>
    <x v="21"/>
    <s v="Grace Okafor"/>
    <n v="1"/>
    <n v="46.98"/>
    <n v="0"/>
    <n v="46.98"/>
    <m/>
    <m/>
    <x v="8"/>
  </r>
  <r>
    <s v="K7-10084"/>
    <x v="73"/>
    <x v="26"/>
    <x v="2"/>
    <x v="1"/>
    <x v="0"/>
    <x v="1"/>
    <x v="12"/>
    <s v="Priya Nair"/>
    <n v="8"/>
    <n v="301.87"/>
    <n v="0"/>
    <n v="2414.96"/>
    <m/>
    <m/>
    <x v="10"/>
  </r>
  <r>
    <s v="K7-10085"/>
    <x v="61"/>
    <x v="27"/>
    <x v="2"/>
    <x v="3"/>
    <x v="1"/>
    <x v="4"/>
    <x v="6"/>
    <s v="Noor Haddad"/>
    <n v="3"/>
    <n v="58.82"/>
    <n v="0.1"/>
    <n v="158.81"/>
    <m/>
    <m/>
    <x v="7"/>
  </r>
  <r>
    <s v="K7-10086"/>
    <x v="74"/>
    <x v="9"/>
    <x v="2"/>
    <x v="1"/>
    <x v="0"/>
    <x v="3"/>
    <x v="4"/>
    <s v="Dylan Foster"/>
    <n v="1"/>
    <n v="140.41"/>
    <n v="0"/>
    <n v="140.41"/>
    <m/>
    <m/>
    <x v="5"/>
  </r>
  <r>
    <s v="K7-10087"/>
    <x v="75"/>
    <x v="4"/>
    <x v="3"/>
    <x v="2"/>
    <x v="1"/>
    <x v="0"/>
    <x v="18"/>
    <s v="Elena Vargas"/>
    <n v="1"/>
    <n v="33.1"/>
    <n v="0.05"/>
    <n v="31.45"/>
    <m/>
    <m/>
    <x v="8"/>
  </r>
  <r>
    <s v="K7-10088"/>
    <x v="76"/>
    <x v="25"/>
    <x v="3"/>
    <x v="1"/>
    <x v="0"/>
    <x v="0"/>
    <x v="20"/>
    <s v="Jonah Wright"/>
    <n v="5"/>
    <n v="64.099999999999994"/>
    <n v="0.05"/>
    <n v="304.47000000000003"/>
    <m/>
    <m/>
    <x v="4"/>
  </r>
  <r>
    <s v="K7-10089"/>
    <x v="77"/>
    <x v="4"/>
    <x v="3"/>
    <x v="0"/>
    <x v="0"/>
    <x v="1"/>
    <x v="1"/>
    <s v="Dylan Foster"/>
    <n v="1"/>
    <n v="136.1"/>
    <n v="0"/>
    <n v="136.1"/>
    <m/>
    <m/>
    <x v="9"/>
  </r>
  <r>
    <s v="K7-10090"/>
    <x v="78"/>
    <x v="0"/>
    <x v="0"/>
    <x v="0"/>
    <x v="1"/>
    <x v="5"/>
    <x v="17"/>
    <s v="Noor Haddad"/>
    <n v="1"/>
    <n v="218.55"/>
    <n v="0"/>
    <n v="218.55"/>
    <m/>
    <m/>
    <x v="2"/>
  </r>
  <r>
    <s v="K7-10091"/>
    <x v="79"/>
    <x v="28"/>
    <x v="0"/>
    <x v="0"/>
    <x v="1"/>
    <x v="4"/>
    <x v="13"/>
    <s v="Noor Haddad"/>
    <n v="2"/>
    <n v="87.64"/>
    <n v="0"/>
    <n v="175.28"/>
    <m/>
    <m/>
    <x v="11"/>
  </r>
  <r>
    <s v="K7-10092"/>
    <x v="80"/>
    <x v="5"/>
    <x v="0"/>
    <x v="0"/>
    <x v="1"/>
    <x v="2"/>
    <x v="19"/>
    <s v="Ava Brooks"/>
    <n v="10"/>
    <n v="44.93"/>
    <n v="0.15"/>
    <n v="381.9"/>
    <m/>
    <m/>
    <x v="2"/>
  </r>
  <r>
    <s v="K7-10093"/>
    <x v="81"/>
    <x v="17"/>
    <x v="0"/>
    <x v="1"/>
    <x v="0"/>
    <x v="3"/>
    <x v="4"/>
    <s v="Jonah Wright"/>
    <n v="2"/>
    <n v="137.32"/>
    <n v="0"/>
    <n v="274.64"/>
    <m/>
    <m/>
    <x v="2"/>
  </r>
  <r>
    <s v="K7-10094"/>
    <x v="60"/>
    <x v="16"/>
    <x v="0"/>
    <x v="3"/>
    <x v="0"/>
    <x v="4"/>
    <x v="6"/>
    <s v="Priya Nair"/>
    <n v="8"/>
    <n v="56.54"/>
    <n v="0"/>
    <n v="452.32"/>
    <m/>
    <m/>
    <x v="10"/>
  </r>
  <r>
    <s v="K7-10095"/>
    <x v="82"/>
    <x v="13"/>
    <x v="0"/>
    <x v="2"/>
    <x v="0"/>
    <x v="4"/>
    <x v="14"/>
    <s v="Elena Vargas"/>
    <n v="1"/>
    <n v="73.430000000000007"/>
    <n v="0.1"/>
    <n v="66.09"/>
    <m/>
    <m/>
    <x v="6"/>
  </r>
  <r>
    <s v="K7-10096"/>
    <x v="83"/>
    <x v="19"/>
    <x v="1"/>
    <x v="0"/>
    <x v="1"/>
    <x v="3"/>
    <x v="10"/>
    <s v="Noor Haddad"/>
    <n v="13"/>
    <n v="120.77"/>
    <n v="0.15"/>
    <n v="1334.51"/>
    <m/>
    <m/>
    <x v="9"/>
  </r>
  <r>
    <s v="K7-10097"/>
    <x v="84"/>
    <x v="14"/>
    <x v="2"/>
    <x v="1"/>
    <x v="1"/>
    <x v="1"/>
    <x v="8"/>
    <s v="Noor Haddad"/>
    <n v="1"/>
    <n v="240.99"/>
    <n v="0"/>
    <n v="240.99"/>
    <m/>
    <m/>
    <x v="10"/>
  </r>
  <r>
    <s v="K7-10098"/>
    <x v="85"/>
    <x v="20"/>
    <x v="3"/>
    <x v="1"/>
    <x v="1"/>
    <x v="4"/>
    <x v="6"/>
    <s v="Noor Haddad"/>
    <n v="1"/>
    <n v="59.54"/>
    <n v="0.1"/>
    <n v="53.59"/>
    <m/>
    <m/>
    <x v="8"/>
  </r>
  <r>
    <s v="K7-10099"/>
    <x v="86"/>
    <x v="23"/>
    <x v="0"/>
    <x v="3"/>
    <x v="0"/>
    <x v="5"/>
    <x v="9"/>
    <s v="Elena Vargas"/>
    <n v="3"/>
    <n v="85.36"/>
    <n v="0.15"/>
    <n v="217.67"/>
    <m/>
    <m/>
    <x v="0"/>
  </r>
  <r>
    <s v="K7-10100"/>
    <x v="87"/>
    <x v="15"/>
    <x v="1"/>
    <x v="1"/>
    <x v="0"/>
    <x v="1"/>
    <x v="8"/>
    <s v="Noor Haddad"/>
    <n v="1"/>
    <n v="252.78"/>
    <n v="0"/>
    <n v="252.78"/>
    <m/>
    <m/>
    <x v="11"/>
  </r>
  <r>
    <s v="K7-10101"/>
    <x v="17"/>
    <x v="4"/>
    <x v="3"/>
    <x v="1"/>
    <x v="0"/>
    <x v="5"/>
    <x v="9"/>
    <s v="Priya Nair"/>
    <n v="1"/>
    <n v="88.44"/>
    <n v="0.15"/>
    <n v="75.17"/>
    <m/>
    <m/>
    <x v="8"/>
  </r>
  <r>
    <s v="K7-10102"/>
    <x v="88"/>
    <x v="26"/>
    <x v="2"/>
    <x v="0"/>
    <x v="1"/>
    <x v="2"/>
    <x v="5"/>
    <s v="Marcus Reed"/>
    <n v="3"/>
    <n v="35.979999999999997"/>
    <n v="0"/>
    <n v="107.94"/>
    <m/>
    <m/>
    <x v="6"/>
  </r>
  <r>
    <s v="K7-10103"/>
    <x v="89"/>
    <x v="4"/>
    <x v="3"/>
    <x v="0"/>
    <x v="1"/>
    <x v="0"/>
    <x v="0"/>
    <s v="Jonah Wright"/>
    <n v="5"/>
    <n v="52.54"/>
    <n v="0"/>
    <n v="262.7"/>
    <m/>
    <m/>
    <x v="5"/>
  </r>
  <r>
    <s v="K7-10104"/>
    <x v="15"/>
    <x v="13"/>
    <x v="0"/>
    <x v="0"/>
    <x v="0"/>
    <x v="0"/>
    <x v="21"/>
    <s v="Elena Vargas"/>
    <n v="2"/>
    <n v="44.81"/>
    <n v="0.05"/>
    <n v="85.14"/>
    <m/>
    <m/>
    <x v="9"/>
  </r>
  <r>
    <s v="K7-10105"/>
    <x v="90"/>
    <x v="3"/>
    <x v="0"/>
    <x v="3"/>
    <x v="0"/>
    <x v="2"/>
    <x v="2"/>
    <s v="Jonah Wright"/>
    <n v="2"/>
    <n v="26.09"/>
    <n v="0"/>
    <n v="52.18"/>
    <m/>
    <m/>
    <x v="3"/>
  </r>
  <r>
    <s v="K7-10106"/>
    <x v="91"/>
    <x v="5"/>
    <x v="0"/>
    <x v="3"/>
    <x v="0"/>
    <x v="4"/>
    <x v="6"/>
    <s v="Dylan Foster"/>
    <n v="10"/>
    <n v="55.43"/>
    <n v="0"/>
    <n v="554.29999999999995"/>
    <m/>
    <m/>
    <x v="4"/>
  </r>
  <r>
    <s v="K7-10107"/>
    <x v="92"/>
    <x v="16"/>
    <x v="0"/>
    <x v="2"/>
    <x v="1"/>
    <x v="0"/>
    <x v="0"/>
    <s v="Priya Nair"/>
    <n v="2"/>
    <n v="50.28"/>
    <n v="0"/>
    <n v="100.56"/>
    <m/>
    <m/>
    <x v="3"/>
  </r>
  <r>
    <s v="K7-10108"/>
    <x v="93"/>
    <x v="0"/>
    <x v="0"/>
    <x v="0"/>
    <x v="1"/>
    <x v="1"/>
    <x v="12"/>
    <s v="Grace Okafor"/>
    <n v="1"/>
    <n v="286.2"/>
    <n v="0.1"/>
    <n v="257.58"/>
    <m/>
    <m/>
    <x v="2"/>
  </r>
  <r>
    <s v="K7-10109"/>
    <x v="49"/>
    <x v="21"/>
    <x v="0"/>
    <x v="1"/>
    <x v="0"/>
    <x v="2"/>
    <x v="19"/>
    <s v="Priya Nair"/>
    <n v="1"/>
    <n v="47.3"/>
    <n v="0.2"/>
    <n v="37.840000000000003"/>
    <m/>
    <m/>
    <x v="4"/>
  </r>
  <r>
    <s v="K7-10110"/>
    <x v="94"/>
    <x v="17"/>
    <x v="0"/>
    <x v="3"/>
    <x v="1"/>
    <x v="4"/>
    <x v="14"/>
    <s v="Dylan Foster"/>
    <n v="11"/>
    <n v="76.069999999999993"/>
    <n v="0"/>
    <n v="836.77"/>
    <m/>
    <m/>
    <x v="6"/>
  </r>
  <r>
    <s v="K7-10111"/>
    <x v="95"/>
    <x v="7"/>
    <x v="2"/>
    <x v="3"/>
    <x v="0"/>
    <x v="5"/>
    <x v="9"/>
    <s v="Jonah Wright"/>
    <n v="2"/>
    <n v="83.97"/>
    <n v="0"/>
    <n v="167.94"/>
    <m/>
    <m/>
    <x v="3"/>
  </r>
  <r>
    <s v="K7-10112"/>
    <x v="96"/>
    <x v="20"/>
    <x v="3"/>
    <x v="0"/>
    <x v="1"/>
    <x v="1"/>
    <x v="12"/>
    <s v="Dylan Foster"/>
    <n v="4"/>
    <n v="278.98"/>
    <n v="0"/>
    <n v="1115.92"/>
    <m/>
    <m/>
    <x v="3"/>
  </r>
  <r>
    <s v="K7-10113"/>
    <x v="97"/>
    <x v="7"/>
    <x v="2"/>
    <x v="3"/>
    <x v="0"/>
    <x v="5"/>
    <x v="9"/>
    <s v="Elena Vargas"/>
    <n v="3"/>
    <n v="85.16"/>
    <n v="0"/>
    <n v="255.48"/>
    <m/>
    <m/>
    <x v="8"/>
  </r>
  <r>
    <s v="K7-10114"/>
    <x v="98"/>
    <x v="6"/>
    <x v="2"/>
    <x v="0"/>
    <x v="1"/>
    <x v="0"/>
    <x v="20"/>
    <s v="Grace Okafor"/>
    <n v="1"/>
    <n v="71.33"/>
    <n v="0"/>
    <n v="71.33"/>
    <m/>
    <m/>
    <x v="2"/>
  </r>
  <r>
    <s v="K7-10115"/>
    <x v="99"/>
    <x v="5"/>
    <x v="0"/>
    <x v="1"/>
    <x v="0"/>
    <x v="1"/>
    <x v="8"/>
    <s v="Grace Okafor"/>
    <n v="1"/>
    <n v="251.87"/>
    <n v="0.2"/>
    <n v="201.5"/>
    <m/>
    <m/>
    <x v="11"/>
  </r>
  <r>
    <s v="K7-10116"/>
    <x v="40"/>
    <x v="7"/>
    <x v="2"/>
    <x v="1"/>
    <x v="0"/>
    <x v="0"/>
    <x v="18"/>
    <s v="Grace Okafor"/>
    <n v="6"/>
    <n v="30.37"/>
    <n v="0"/>
    <n v="182.22"/>
    <m/>
    <m/>
    <x v="8"/>
  </r>
  <r>
    <s v="K7-10117"/>
    <x v="100"/>
    <x v="7"/>
    <x v="2"/>
    <x v="1"/>
    <x v="1"/>
    <x v="5"/>
    <x v="9"/>
    <s v="Ava Brooks"/>
    <n v="6"/>
    <n v="88.05"/>
    <n v="0"/>
    <n v="528.29999999999995"/>
    <m/>
    <m/>
    <x v="5"/>
  </r>
  <r>
    <s v="K7-10118"/>
    <x v="101"/>
    <x v="7"/>
    <x v="2"/>
    <x v="0"/>
    <x v="1"/>
    <x v="3"/>
    <x v="4"/>
    <s v="Noor Haddad"/>
    <n v="2"/>
    <n v="140.65"/>
    <n v="0"/>
    <n v="281.3"/>
    <m/>
    <m/>
    <x v="11"/>
  </r>
  <r>
    <s v="K7-10119"/>
    <x v="55"/>
    <x v="24"/>
    <x v="2"/>
    <x v="2"/>
    <x v="1"/>
    <x v="3"/>
    <x v="15"/>
    <s v="Dylan Foster"/>
    <n v="3"/>
    <n v="104.09"/>
    <n v="0.2"/>
    <n v="249.82"/>
    <m/>
    <m/>
    <x v="11"/>
  </r>
  <r>
    <s v="K7-10120"/>
    <x v="102"/>
    <x v="16"/>
    <x v="0"/>
    <x v="0"/>
    <x v="1"/>
    <x v="4"/>
    <x v="14"/>
    <s v="Elena Vargas"/>
    <n v="6"/>
    <n v="73.400000000000006"/>
    <n v="0"/>
    <n v="440.4"/>
    <m/>
    <m/>
    <x v="6"/>
  </r>
  <r>
    <s v="K7-10121"/>
    <x v="103"/>
    <x v="7"/>
    <x v="2"/>
    <x v="1"/>
    <x v="0"/>
    <x v="1"/>
    <x v="12"/>
    <s v="Jonah Wright"/>
    <n v="2"/>
    <n v="290.52999999999997"/>
    <n v="0.1"/>
    <n v="522.95000000000005"/>
    <m/>
    <m/>
    <x v="3"/>
  </r>
  <r>
    <s v="K7-10122"/>
    <x v="104"/>
    <x v="4"/>
    <x v="3"/>
    <x v="1"/>
    <x v="1"/>
    <x v="2"/>
    <x v="5"/>
    <s v="Noor Haddad"/>
    <n v="2"/>
    <n v="40.090000000000003"/>
    <n v="0"/>
    <n v="80.180000000000007"/>
    <m/>
    <m/>
    <x v="4"/>
  </r>
  <r>
    <s v="K7-10123"/>
    <x v="105"/>
    <x v="8"/>
    <x v="1"/>
    <x v="1"/>
    <x v="0"/>
    <x v="1"/>
    <x v="12"/>
    <s v="Jonah Wright"/>
    <n v="1"/>
    <n v="302.19"/>
    <n v="0"/>
    <n v="302.19"/>
    <m/>
    <m/>
    <x v="11"/>
  </r>
  <r>
    <s v="K7-10124"/>
    <x v="28"/>
    <x v="21"/>
    <x v="0"/>
    <x v="0"/>
    <x v="0"/>
    <x v="0"/>
    <x v="18"/>
    <s v="Ava Brooks"/>
    <n v="2"/>
    <n v="30.61"/>
    <n v="0.1"/>
    <n v="55.1"/>
    <m/>
    <m/>
    <x v="0"/>
  </r>
  <r>
    <s v="K7-10125"/>
    <x v="31"/>
    <x v="23"/>
    <x v="0"/>
    <x v="1"/>
    <x v="1"/>
    <x v="1"/>
    <x v="1"/>
    <s v="Marcus Reed"/>
    <n v="5"/>
    <n v="135.37"/>
    <n v="0.1"/>
    <n v="609.16999999999996"/>
    <m/>
    <m/>
    <x v="1"/>
  </r>
  <r>
    <s v="K7-10126"/>
    <x v="76"/>
    <x v="13"/>
    <x v="0"/>
    <x v="3"/>
    <x v="0"/>
    <x v="1"/>
    <x v="1"/>
    <s v="Dylan Foster"/>
    <n v="6"/>
    <n v="137.91999999999999"/>
    <n v="0.3"/>
    <n v="579.26"/>
    <m/>
    <m/>
    <x v="4"/>
  </r>
  <r>
    <s v="K7-10127"/>
    <x v="15"/>
    <x v="26"/>
    <x v="2"/>
    <x v="1"/>
    <x v="0"/>
    <x v="3"/>
    <x v="15"/>
    <s v="Grace Okafor"/>
    <n v="2"/>
    <n v="99.78"/>
    <n v="0"/>
    <n v="199.56"/>
    <m/>
    <m/>
    <x v="9"/>
  </r>
  <r>
    <s v="K7-10128"/>
    <x v="106"/>
    <x v="8"/>
    <x v="1"/>
    <x v="0"/>
    <x v="1"/>
    <x v="1"/>
    <x v="3"/>
    <s v="Dylan Foster"/>
    <n v="2"/>
    <n v="170.75"/>
    <n v="0"/>
    <n v="341.5"/>
    <m/>
    <m/>
    <x v="10"/>
  </r>
  <r>
    <s v="K7-10129"/>
    <x v="107"/>
    <x v="0"/>
    <x v="0"/>
    <x v="1"/>
    <x v="0"/>
    <x v="1"/>
    <x v="3"/>
    <s v="Marcus Reed"/>
    <n v="1"/>
    <n v="178.46"/>
    <n v="0.3"/>
    <n v="124.92"/>
    <m/>
    <m/>
    <x v="8"/>
  </r>
  <r>
    <s v="K7-10130"/>
    <x v="108"/>
    <x v="18"/>
    <x v="3"/>
    <x v="3"/>
    <x v="0"/>
    <x v="4"/>
    <x v="11"/>
    <s v="Grace Okafor"/>
    <n v="6"/>
    <n v="89.06"/>
    <n v="0.1"/>
    <n v="480.92"/>
    <m/>
    <m/>
    <x v="6"/>
  </r>
  <r>
    <s v="K7-10131"/>
    <x v="109"/>
    <x v="11"/>
    <x v="3"/>
    <x v="0"/>
    <x v="0"/>
    <x v="1"/>
    <x v="1"/>
    <s v="Marcus Reed"/>
    <n v="1"/>
    <n v="125.08"/>
    <n v="0"/>
    <n v="125.08"/>
    <m/>
    <m/>
    <x v="0"/>
  </r>
  <r>
    <s v="K7-10132"/>
    <x v="110"/>
    <x v="15"/>
    <x v="1"/>
    <x v="3"/>
    <x v="1"/>
    <x v="1"/>
    <x v="8"/>
    <s v="Priya Nair"/>
    <n v="1"/>
    <n v="229.19"/>
    <n v="0"/>
    <n v="229.19"/>
    <m/>
    <m/>
    <x v="1"/>
  </r>
  <r>
    <s v="K7-10133"/>
    <x v="111"/>
    <x v="7"/>
    <x v="2"/>
    <x v="0"/>
    <x v="0"/>
    <x v="4"/>
    <x v="14"/>
    <s v="Noor Haddad"/>
    <n v="3"/>
    <n v="80.86"/>
    <n v="0"/>
    <n v="242.58"/>
    <m/>
    <m/>
    <x v="11"/>
  </r>
  <r>
    <s v="K7-10134"/>
    <x v="28"/>
    <x v="20"/>
    <x v="3"/>
    <x v="0"/>
    <x v="1"/>
    <x v="0"/>
    <x v="20"/>
    <s v="Marcus Reed"/>
    <n v="1"/>
    <n v="69.13"/>
    <n v="0"/>
    <n v="69.13"/>
    <m/>
    <m/>
    <x v="0"/>
  </r>
  <r>
    <s v="K7-10135"/>
    <x v="15"/>
    <x v="16"/>
    <x v="0"/>
    <x v="0"/>
    <x v="1"/>
    <x v="1"/>
    <x v="12"/>
    <s v="Dylan Foster"/>
    <n v="4"/>
    <n v="281.83"/>
    <n v="0.05"/>
    <n v="1070.95"/>
    <m/>
    <m/>
    <x v="9"/>
  </r>
  <r>
    <s v="K7-10136"/>
    <x v="112"/>
    <x v="8"/>
    <x v="1"/>
    <x v="0"/>
    <x v="0"/>
    <x v="5"/>
    <x v="17"/>
    <s v="Priya Nair"/>
    <n v="3"/>
    <n v="205.81"/>
    <n v="0"/>
    <n v="617.42999999999995"/>
    <m/>
    <m/>
    <x v="2"/>
  </r>
  <r>
    <s v="K7-10137"/>
    <x v="113"/>
    <x v="0"/>
    <x v="0"/>
    <x v="1"/>
    <x v="0"/>
    <x v="2"/>
    <x v="2"/>
    <s v="Elena Vargas"/>
    <n v="2"/>
    <n v="24.69"/>
    <n v="0"/>
    <n v="49.38"/>
    <m/>
    <m/>
    <x v="8"/>
  </r>
  <r>
    <s v="K7-10138"/>
    <x v="27"/>
    <x v="5"/>
    <x v="0"/>
    <x v="2"/>
    <x v="0"/>
    <x v="5"/>
    <x v="7"/>
    <s v="Marcus Reed"/>
    <n v="1"/>
    <n v="156.43"/>
    <n v="0"/>
    <n v="156.43"/>
    <m/>
    <m/>
    <x v="2"/>
  </r>
  <r>
    <s v="K7-10139"/>
    <x v="114"/>
    <x v="3"/>
    <x v="0"/>
    <x v="0"/>
    <x v="1"/>
    <x v="4"/>
    <x v="6"/>
    <s v="Grace Okafor"/>
    <n v="1"/>
    <n v="56.7"/>
    <n v="0"/>
    <n v="56.7"/>
    <m/>
    <m/>
    <x v="8"/>
  </r>
  <r>
    <s v="K7-10140"/>
    <x v="115"/>
    <x v="15"/>
    <x v="1"/>
    <x v="1"/>
    <x v="0"/>
    <x v="3"/>
    <x v="15"/>
    <s v="Jonah Wright"/>
    <n v="3"/>
    <n v="95.74"/>
    <n v="0.15"/>
    <n v="244.14"/>
    <m/>
    <m/>
    <x v="4"/>
  </r>
  <r>
    <s v="K7-10141"/>
    <x v="116"/>
    <x v="20"/>
    <x v="3"/>
    <x v="0"/>
    <x v="0"/>
    <x v="3"/>
    <x v="4"/>
    <s v="Jonah Wright"/>
    <n v="1"/>
    <n v="126.58"/>
    <n v="0"/>
    <n v="126.58"/>
    <m/>
    <m/>
    <x v="9"/>
  </r>
  <r>
    <s v="K7-10142"/>
    <x v="29"/>
    <x v="11"/>
    <x v="3"/>
    <x v="0"/>
    <x v="1"/>
    <x v="4"/>
    <x v="6"/>
    <s v="Dylan Foster"/>
    <n v="5"/>
    <n v="59.24"/>
    <n v="0.05"/>
    <n v="281.39"/>
    <m/>
    <m/>
    <x v="11"/>
  </r>
  <r>
    <s v="K7-10143"/>
    <x v="47"/>
    <x v="4"/>
    <x v="3"/>
    <x v="0"/>
    <x v="1"/>
    <x v="4"/>
    <x v="11"/>
    <s v="Noor Haddad"/>
    <n v="2"/>
    <n v="81.19"/>
    <n v="0"/>
    <n v="162.38"/>
    <m/>
    <m/>
    <x v="2"/>
  </r>
  <r>
    <s v="K7-10144"/>
    <x v="117"/>
    <x v="11"/>
    <x v="3"/>
    <x v="3"/>
    <x v="0"/>
    <x v="4"/>
    <x v="14"/>
    <s v="Ava Brooks"/>
    <n v="2"/>
    <n v="75.23"/>
    <n v="0"/>
    <n v="150.46"/>
    <m/>
    <m/>
    <x v="1"/>
  </r>
  <r>
    <s v="K7-10145"/>
    <x v="118"/>
    <x v="7"/>
    <x v="2"/>
    <x v="2"/>
    <x v="0"/>
    <x v="4"/>
    <x v="14"/>
    <s v="Jonah Wright"/>
    <n v="4"/>
    <n v="70.81"/>
    <n v="0.05"/>
    <n v="269.08"/>
    <m/>
    <m/>
    <x v="5"/>
  </r>
  <r>
    <s v="K7-10146"/>
    <x v="119"/>
    <x v="5"/>
    <x v="0"/>
    <x v="2"/>
    <x v="1"/>
    <x v="0"/>
    <x v="18"/>
    <s v="Jonah Wright"/>
    <n v="1"/>
    <n v="33.979999999999997"/>
    <n v="0.1"/>
    <n v="30.58"/>
    <m/>
    <m/>
    <x v="9"/>
  </r>
  <r>
    <s v="K7-10147"/>
    <x v="74"/>
    <x v="28"/>
    <x v="0"/>
    <x v="1"/>
    <x v="1"/>
    <x v="1"/>
    <x v="8"/>
    <s v="Dylan Foster"/>
    <n v="2"/>
    <n v="220.99"/>
    <n v="0"/>
    <n v="441.98"/>
    <m/>
    <m/>
    <x v="5"/>
  </r>
  <r>
    <s v="K7-10148"/>
    <x v="120"/>
    <x v="10"/>
    <x v="3"/>
    <x v="2"/>
    <x v="0"/>
    <x v="1"/>
    <x v="12"/>
    <s v="Jonah Wright"/>
    <n v="4"/>
    <n v="278.97000000000003"/>
    <n v="0.05"/>
    <n v="1060.0899999999999"/>
    <m/>
    <m/>
    <x v="1"/>
  </r>
  <r>
    <s v="K7-10149"/>
    <x v="45"/>
    <x v="10"/>
    <x v="3"/>
    <x v="3"/>
    <x v="0"/>
    <x v="3"/>
    <x v="10"/>
    <s v="Elena Vargas"/>
    <n v="1"/>
    <n v="109.25"/>
    <n v="0"/>
    <n v="109.25"/>
    <m/>
    <m/>
    <x v="6"/>
  </r>
  <r>
    <s v="K7-10150"/>
    <x v="104"/>
    <x v="4"/>
    <x v="3"/>
    <x v="0"/>
    <x v="1"/>
    <x v="1"/>
    <x v="3"/>
    <s v="Marcus Reed"/>
    <n v="6"/>
    <n v="166.56"/>
    <n v="0"/>
    <n v="999.36"/>
    <m/>
    <m/>
    <x v="4"/>
  </r>
  <r>
    <s v="K7-10151"/>
    <x v="121"/>
    <x v="5"/>
    <x v="0"/>
    <x v="0"/>
    <x v="1"/>
    <x v="4"/>
    <x v="6"/>
    <s v="Grace Okafor"/>
    <n v="5"/>
    <n v="61.53"/>
    <n v="0.2"/>
    <n v="246.12"/>
    <m/>
    <m/>
    <x v="10"/>
  </r>
  <r>
    <s v="K7-10152"/>
    <x v="89"/>
    <x v="14"/>
    <x v="2"/>
    <x v="0"/>
    <x v="1"/>
    <x v="0"/>
    <x v="21"/>
    <s v="Elena Vargas"/>
    <n v="5"/>
    <n v="47.74"/>
    <n v="0.15"/>
    <n v="202.9"/>
    <m/>
    <m/>
    <x v="5"/>
  </r>
  <r>
    <s v="K7-10153"/>
    <x v="1"/>
    <x v="16"/>
    <x v="0"/>
    <x v="1"/>
    <x v="0"/>
    <x v="2"/>
    <x v="2"/>
    <s v="Dylan Foster"/>
    <n v="1"/>
    <n v="27.56"/>
    <n v="0.2"/>
    <n v="22.05"/>
    <m/>
    <m/>
    <x v="1"/>
  </r>
  <r>
    <s v="K7-10154"/>
    <x v="122"/>
    <x v="7"/>
    <x v="2"/>
    <x v="2"/>
    <x v="0"/>
    <x v="0"/>
    <x v="21"/>
    <s v="Dylan Foster"/>
    <n v="9"/>
    <n v="47.61"/>
    <n v="0"/>
    <n v="428.49"/>
    <m/>
    <m/>
    <x v="11"/>
  </r>
  <r>
    <s v="K7-10155"/>
    <x v="123"/>
    <x v="5"/>
    <x v="0"/>
    <x v="0"/>
    <x v="1"/>
    <x v="2"/>
    <x v="2"/>
    <s v="Grace Okafor"/>
    <n v="2"/>
    <n v="24.51"/>
    <n v="0"/>
    <n v="49.02"/>
    <m/>
    <m/>
    <x v="9"/>
  </r>
  <r>
    <s v="K7-10156"/>
    <x v="8"/>
    <x v="16"/>
    <x v="0"/>
    <x v="3"/>
    <x v="1"/>
    <x v="5"/>
    <x v="9"/>
    <s v="Priya Nair"/>
    <n v="1"/>
    <n v="82.46"/>
    <n v="0"/>
    <n v="82.46"/>
    <m/>
    <m/>
    <x v="6"/>
  </r>
  <r>
    <s v="K7-10157"/>
    <x v="124"/>
    <x v="12"/>
    <x v="3"/>
    <x v="0"/>
    <x v="0"/>
    <x v="4"/>
    <x v="6"/>
    <s v="Marcus Reed"/>
    <n v="2"/>
    <n v="60.2"/>
    <n v="0"/>
    <n v="120.4"/>
    <m/>
    <m/>
    <x v="10"/>
  </r>
  <r>
    <s v="K7-10158"/>
    <x v="125"/>
    <x v="13"/>
    <x v="0"/>
    <x v="0"/>
    <x v="0"/>
    <x v="4"/>
    <x v="14"/>
    <s v="Grace Okafor"/>
    <n v="1"/>
    <n v="72.36"/>
    <n v="0"/>
    <n v="72.36"/>
    <m/>
    <m/>
    <x v="6"/>
  </r>
  <r>
    <s v="K7-10159"/>
    <x v="38"/>
    <x v="16"/>
    <x v="0"/>
    <x v="1"/>
    <x v="1"/>
    <x v="3"/>
    <x v="4"/>
    <s v="Jonah Wright"/>
    <n v="1"/>
    <n v="125.55"/>
    <n v="0.05"/>
    <n v="119.27"/>
    <m/>
    <m/>
    <x v="3"/>
  </r>
  <r>
    <s v="K7-10160"/>
    <x v="126"/>
    <x v="25"/>
    <x v="3"/>
    <x v="1"/>
    <x v="0"/>
    <x v="1"/>
    <x v="12"/>
    <s v="Priya Nair"/>
    <n v="1"/>
    <n v="284.72000000000003"/>
    <n v="0"/>
    <n v="284.72000000000003"/>
    <m/>
    <m/>
    <x v="7"/>
  </r>
  <r>
    <s v="K7-10161"/>
    <x v="127"/>
    <x v="8"/>
    <x v="1"/>
    <x v="1"/>
    <x v="1"/>
    <x v="4"/>
    <x v="13"/>
    <s v="Marcus Reed"/>
    <n v="3"/>
    <n v="86.57"/>
    <n v="0"/>
    <n v="259.70999999999998"/>
    <m/>
    <m/>
    <x v="1"/>
  </r>
  <r>
    <s v="K7-10162"/>
    <x v="55"/>
    <x v="1"/>
    <x v="1"/>
    <x v="1"/>
    <x v="0"/>
    <x v="5"/>
    <x v="9"/>
    <s v="Noor Haddad"/>
    <n v="1"/>
    <n v="85.4"/>
    <n v="0.05"/>
    <n v="81.13"/>
    <m/>
    <m/>
    <x v="11"/>
  </r>
  <r>
    <s v="K7-10163"/>
    <x v="128"/>
    <x v="13"/>
    <x v="0"/>
    <x v="3"/>
    <x v="0"/>
    <x v="4"/>
    <x v="14"/>
    <s v="Priya Nair"/>
    <n v="3"/>
    <n v="70.540000000000006"/>
    <n v="0.05"/>
    <n v="201.04"/>
    <m/>
    <m/>
    <x v="7"/>
  </r>
  <r>
    <s v="K7-10164"/>
    <x v="129"/>
    <x v="10"/>
    <x v="3"/>
    <x v="1"/>
    <x v="1"/>
    <x v="3"/>
    <x v="15"/>
    <s v="Jonah Wright"/>
    <n v="3"/>
    <n v="96.05"/>
    <n v="0"/>
    <n v="288.14999999999998"/>
    <m/>
    <m/>
    <x v="10"/>
  </r>
  <r>
    <s v="K7-10165"/>
    <x v="98"/>
    <x v="5"/>
    <x v="0"/>
    <x v="3"/>
    <x v="0"/>
    <x v="5"/>
    <x v="9"/>
    <s v="Jonah Wright"/>
    <n v="2"/>
    <n v="82.57"/>
    <n v="0"/>
    <n v="165.14"/>
    <m/>
    <m/>
    <x v="2"/>
  </r>
  <r>
    <s v="K7-10166"/>
    <x v="36"/>
    <x v="5"/>
    <x v="0"/>
    <x v="0"/>
    <x v="0"/>
    <x v="1"/>
    <x v="3"/>
    <s v="Priya Nair"/>
    <n v="5"/>
    <n v="178.25"/>
    <n v="0"/>
    <n v="891.25"/>
    <m/>
    <m/>
    <x v="2"/>
  </r>
  <r>
    <s v="K7-10167"/>
    <x v="39"/>
    <x v="5"/>
    <x v="0"/>
    <x v="3"/>
    <x v="0"/>
    <x v="0"/>
    <x v="0"/>
    <s v="Jonah Wright"/>
    <n v="2"/>
    <n v="53.95"/>
    <n v="0"/>
    <n v="107.9"/>
    <m/>
    <m/>
    <x v="5"/>
  </r>
  <r>
    <s v="K7-10168"/>
    <x v="54"/>
    <x v="27"/>
    <x v="2"/>
    <x v="0"/>
    <x v="1"/>
    <x v="1"/>
    <x v="1"/>
    <s v="Jonah Wright"/>
    <n v="1"/>
    <n v="137.93"/>
    <n v="0"/>
    <n v="137.93"/>
    <m/>
    <m/>
    <x v="1"/>
  </r>
  <r>
    <s v="K7-10169"/>
    <x v="130"/>
    <x v="2"/>
    <x v="2"/>
    <x v="1"/>
    <x v="0"/>
    <x v="2"/>
    <x v="5"/>
    <s v="Priya Nair"/>
    <n v="4"/>
    <n v="36.049999999999997"/>
    <n v="0.05"/>
    <n v="136.99"/>
    <m/>
    <m/>
    <x v="9"/>
  </r>
  <r>
    <s v="K7-10170"/>
    <x v="131"/>
    <x v="0"/>
    <x v="0"/>
    <x v="0"/>
    <x v="0"/>
    <x v="5"/>
    <x v="7"/>
    <s v="Elena Vargas"/>
    <n v="1"/>
    <n v="166.75"/>
    <n v="0"/>
    <n v="166.75"/>
    <m/>
    <m/>
    <x v="7"/>
  </r>
  <r>
    <s v="K7-10171"/>
    <x v="132"/>
    <x v="8"/>
    <x v="1"/>
    <x v="1"/>
    <x v="1"/>
    <x v="0"/>
    <x v="21"/>
    <s v="Ava Brooks"/>
    <n v="1"/>
    <n v="44.43"/>
    <n v="0"/>
    <n v="44.43"/>
    <m/>
    <m/>
    <x v="7"/>
  </r>
  <r>
    <s v="K7-10172"/>
    <x v="95"/>
    <x v="20"/>
    <x v="3"/>
    <x v="1"/>
    <x v="1"/>
    <x v="1"/>
    <x v="8"/>
    <s v="Dylan Foster"/>
    <n v="1"/>
    <n v="226.31"/>
    <n v="0"/>
    <n v="226.31"/>
    <m/>
    <m/>
    <x v="3"/>
  </r>
  <r>
    <s v="K7-10173"/>
    <x v="133"/>
    <x v="3"/>
    <x v="0"/>
    <x v="0"/>
    <x v="0"/>
    <x v="4"/>
    <x v="14"/>
    <s v="Marcus Reed"/>
    <n v="2"/>
    <n v="73.55"/>
    <n v="0"/>
    <n v="147.1"/>
    <m/>
    <m/>
    <x v="1"/>
  </r>
  <r>
    <s v="K7-10174"/>
    <x v="134"/>
    <x v="23"/>
    <x v="0"/>
    <x v="0"/>
    <x v="0"/>
    <x v="4"/>
    <x v="11"/>
    <s v="Jonah Wright"/>
    <n v="2"/>
    <n v="79.44"/>
    <n v="0"/>
    <n v="158.88"/>
    <m/>
    <m/>
    <x v="1"/>
  </r>
  <r>
    <s v="K7-10175"/>
    <x v="49"/>
    <x v="0"/>
    <x v="0"/>
    <x v="2"/>
    <x v="1"/>
    <x v="2"/>
    <x v="16"/>
    <s v="Grace Okafor"/>
    <n v="10"/>
    <n v="61.49"/>
    <n v="0"/>
    <n v="614.9"/>
    <m/>
    <m/>
    <x v="4"/>
  </r>
  <r>
    <s v="K7-10176"/>
    <x v="135"/>
    <x v="17"/>
    <x v="0"/>
    <x v="0"/>
    <x v="1"/>
    <x v="0"/>
    <x v="18"/>
    <s v="Noor Haddad"/>
    <n v="8"/>
    <n v="32.28"/>
    <n v="0"/>
    <n v="258.24"/>
    <m/>
    <m/>
    <x v="4"/>
  </r>
  <r>
    <s v="K7-10177"/>
    <x v="136"/>
    <x v="13"/>
    <x v="0"/>
    <x v="2"/>
    <x v="1"/>
    <x v="4"/>
    <x v="14"/>
    <s v="Grace Okafor"/>
    <n v="5"/>
    <n v="78.86"/>
    <n v="0"/>
    <n v="394.3"/>
    <m/>
    <m/>
    <x v="0"/>
  </r>
  <r>
    <s v="K7-10178"/>
    <x v="137"/>
    <x v="28"/>
    <x v="0"/>
    <x v="0"/>
    <x v="0"/>
    <x v="1"/>
    <x v="12"/>
    <s v="Marcus Reed"/>
    <n v="3"/>
    <n v="308.88"/>
    <n v="0"/>
    <n v="926.64"/>
    <m/>
    <m/>
    <x v="10"/>
  </r>
  <r>
    <s v="K7-10179"/>
    <x v="138"/>
    <x v="1"/>
    <x v="1"/>
    <x v="0"/>
    <x v="0"/>
    <x v="5"/>
    <x v="17"/>
    <s v="Grace Okafor"/>
    <n v="2"/>
    <n v="211.19"/>
    <n v="0"/>
    <n v="422.38"/>
    <m/>
    <m/>
    <x v="1"/>
  </r>
  <r>
    <s v="K7-10180"/>
    <x v="14"/>
    <x v="3"/>
    <x v="0"/>
    <x v="2"/>
    <x v="0"/>
    <x v="0"/>
    <x v="21"/>
    <s v="Elena Vargas"/>
    <n v="1"/>
    <n v="43.89"/>
    <n v="0"/>
    <n v="43.89"/>
    <m/>
    <m/>
    <x v="5"/>
  </r>
  <r>
    <s v="K7-10181"/>
    <x v="20"/>
    <x v="4"/>
    <x v="3"/>
    <x v="2"/>
    <x v="0"/>
    <x v="4"/>
    <x v="6"/>
    <s v="Priya Nair"/>
    <n v="4"/>
    <n v="59.85"/>
    <n v="0"/>
    <n v="239.4"/>
    <m/>
    <m/>
    <x v="5"/>
  </r>
  <r>
    <s v="K7-10182"/>
    <x v="139"/>
    <x v="0"/>
    <x v="0"/>
    <x v="1"/>
    <x v="0"/>
    <x v="5"/>
    <x v="7"/>
    <s v="Grace Okafor"/>
    <n v="1"/>
    <n v="146.72999999999999"/>
    <n v="0.1"/>
    <n v="132.06"/>
    <m/>
    <m/>
    <x v="7"/>
  </r>
  <r>
    <s v="K7-10183"/>
    <x v="140"/>
    <x v="4"/>
    <x v="3"/>
    <x v="0"/>
    <x v="1"/>
    <x v="5"/>
    <x v="7"/>
    <s v="Marcus Reed"/>
    <n v="5"/>
    <n v="162.57"/>
    <n v="0"/>
    <n v="812.85"/>
    <m/>
    <m/>
    <x v="2"/>
  </r>
  <r>
    <s v="K7-10184"/>
    <x v="141"/>
    <x v="21"/>
    <x v="0"/>
    <x v="0"/>
    <x v="0"/>
    <x v="3"/>
    <x v="10"/>
    <s v="Grace Okafor"/>
    <n v="3"/>
    <n v="114.58"/>
    <n v="0"/>
    <n v="343.74"/>
    <m/>
    <m/>
    <x v="7"/>
  </r>
  <r>
    <s v="K7-10185"/>
    <x v="115"/>
    <x v="9"/>
    <x v="2"/>
    <x v="0"/>
    <x v="0"/>
    <x v="2"/>
    <x v="19"/>
    <s v="Dylan Foster"/>
    <n v="2"/>
    <n v="47.06"/>
    <n v="0.05"/>
    <n v="89.41"/>
    <m/>
    <m/>
    <x v="4"/>
  </r>
  <r>
    <s v="K7-10186"/>
    <x v="142"/>
    <x v="4"/>
    <x v="3"/>
    <x v="2"/>
    <x v="0"/>
    <x v="4"/>
    <x v="14"/>
    <s v="Priya Nair"/>
    <n v="1"/>
    <n v="73.97"/>
    <n v="0"/>
    <n v="73.97"/>
    <m/>
    <m/>
    <x v="9"/>
  </r>
  <r>
    <s v="K7-10187"/>
    <x v="88"/>
    <x v="0"/>
    <x v="0"/>
    <x v="3"/>
    <x v="0"/>
    <x v="0"/>
    <x v="0"/>
    <s v="Ava Brooks"/>
    <n v="2"/>
    <n v="57.98"/>
    <n v="0.15"/>
    <n v="98.57"/>
    <m/>
    <m/>
    <x v="6"/>
  </r>
  <r>
    <s v="K7-10188"/>
    <x v="143"/>
    <x v="5"/>
    <x v="0"/>
    <x v="2"/>
    <x v="0"/>
    <x v="4"/>
    <x v="11"/>
    <s v="Marcus Reed"/>
    <n v="1"/>
    <n v="84.98"/>
    <n v="0"/>
    <n v="84.98"/>
    <m/>
    <m/>
    <x v="10"/>
  </r>
  <r>
    <s v="K7-10189"/>
    <x v="144"/>
    <x v="0"/>
    <x v="0"/>
    <x v="0"/>
    <x v="0"/>
    <x v="3"/>
    <x v="10"/>
    <s v="Priya Nair"/>
    <n v="4"/>
    <n v="115.46"/>
    <n v="0.05"/>
    <n v="438.75"/>
    <m/>
    <m/>
    <x v="11"/>
  </r>
  <r>
    <s v="K7-10190"/>
    <x v="26"/>
    <x v="1"/>
    <x v="1"/>
    <x v="0"/>
    <x v="1"/>
    <x v="3"/>
    <x v="15"/>
    <s v="Dylan Foster"/>
    <n v="1"/>
    <n v="103.43"/>
    <n v="0.05"/>
    <n v="98.26"/>
    <m/>
    <m/>
    <x v="8"/>
  </r>
  <r>
    <s v="K7-10191"/>
    <x v="14"/>
    <x v="23"/>
    <x v="0"/>
    <x v="0"/>
    <x v="1"/>
    <x v="4"/>
    <x v="14"/>
    <s v="Noor Haddad"/>
    <n v="2"/>
    <n v="78.36"/>
    <n v="0"/>
    <n v="156.72"/>
    <m/>
    <m/>
    <x v="5"/>
  </r>
  <r>
    <s v="K7-10192"/>
    <x v="143"/>
    <x v="4"/>
    <x v="3"/>
    <x v="0"/>
    <x v="0"/>
    <x v="1"/>
    <x v="3"/>
    <s v="Priya Nair"/>
    <n v="1"/>
    <n v="165.07"/>
    <n v="0"/>
    <n v="165.07"/>
    <m/>
    <m/>
    <x v="10"/>
  </r>
  <r>
    <s v="K7-10193"/>
    <x v="131"/>
    <x v="8"/>
    <x v="1"/>
    <x v="1"/>
    <x v="1"/>
    <x v="3"/>
    <x v="15"/>
    <s v="Marcus Reed"/>
    <n v="3"/>
    <n v="98.6"/>
    <n v="0"/>
    <n v="295.8"/>
    <m/>
    <m/>
    <x v="7"/>
  </r>
  <r>
    <s v="K7-10194"/>
    <x v="145"/>
    <x v="19"/>
    <x v="1"/>
    <x v="3"/>
    <x v="0"/>
    <x v="2"/>
    <x v="16"/>
    <s v="Grace Okafor"/>
    <n v="1"/>
    <n v="65.62"/>
    <n v="0"/>
    <n v="65.62"/>
    <m/>
    <m/>
    <x v="3"/>
  </r>
  <r>
    <s v="K7-10195"/>
    <x v="146"/>
    <x v="15"/>
    <x v="1"/>
    <x v="0"/>
    <x v="0"/>
    <x v="4"/>
    <x v="13"/>
    <s v="Marcus Reed"/>
    <n v="1"/>
    <n v="94.1"/>
    <n v="0"/>
    <n v="94.1"/>
    <m/>
    <m/>
    <x v="6"/>
  </r>
  <r>
    <s v="K7-10196"/>
    <x v="131"/>
    <x v="13"/>
    <x v="0"/>
    <x v="1"/>
    <x v="1"/>
    <x v="4"/>
    <x v="13"/>
    <s v="Grace Okafor"/>
    <n v="1"/>
    <n v="89.45"/>
    <n v="0"/>
    <n v="89.45"/>
    <m/>
    <m/>
    <x v="7"/>
  </r>
  <r>
    <s v="K7-10197"/>
    <x v="147"/>
    <x v="7"/>
    <x v="2"/>
    <x v="0"/>
    <x v="1"/>
    <x v="5"/>
    <x v="9"/>
    <s v="Priya Nair"/>
    <n v="1"/>
    <n v="82.71"/>
    <n v="0"/>
    <n v="82.71"/>
    <m/>
    <m/>
    <x v="4"/>
  </r>
  <r>
    <s v="K7-10198"/>
    <x v="125"/>
    <x v="3"/>
    <x v="0"/>
    <x v="0"/>
    <x v="0"/>
    <x v="3"/>
    <x v="10"/>
    <s v="Marcus Reed"/>
    <n v="5"/>
    <n v="113.93"/>
    <n v="0"/>
    <n v="569.65"/>
    <m/>
    <m/>
    <x v="6"/>
  </r>
  <r>
    <s v="K7-10199"/>
    <x v="51"/>
    <x v="4"/>
    <x v="3"/>
    <x v="0"/>
    <x v="0"/>
    <x v="1"/>
    <x v="3"/>
    <s v="Priya Nair"/>
    <n v="3"/>
    <n v="162.58000000000001"/>
    <n v="0"/>
    <n v="487.74"/>
    <m/>
    <m/>
    <x v="3"/>
  </r>
  <r>
    <s v="K7-10200"/>
    <x v="148"/>
    <x v="1"/>
    <x v="1"/>
    <x v="0"/>
    <x v="1"/>
    <x v="1"/>
    <x v="3"/>
    <s v="Dylan Foster"/>
    <n v="3"/>
    <n v="179.3"/>
    <n v="0.1"/>
    <n v="484.11"/>
    <m/>
    <m/>
    <x v="0"/>
  </r>
  <r>
    <s v="K7-10201"/>
    <x v="149"/>
    <x v="12"/>
    <x v="3"/>
    <x v="3"/>
    <x v="0"/>
    <x v="2"/>
    <x v="16"/>
    <s v="Dylan Foster"/>
    <n v="1"/>
    <n v="64.17"/>
    <n v="0"/>
    <n v="64.17"/>
    <m/>
    <m/>
    <x v="2"/>
  </r>
  <r>
    <s v="K7-10202"/>
    <x v="64"/>
    <x v="3"/>
    <x v="0"/>
    <x v="0"/>
    <x v="0"/>
    <x v="5"/>
    <x v="7"/>
    <s v="Ava Brooks"/>
    <n v="8"/>
    <n v="153.12"/>
    <n v="0"/>
    <n v="1224.96"/>
    <m/>
    <m/>
    <x v="8"/>
  </r>
  <r>
    <s v="K7-10203"/>
    <x v="60"/>
    <x v="17"/>
    <x v="0"/>
    <x v="3"/>
    <x v="0"/>
    <x v="4"/>
    <x v="11"/>
    <s v="Jonah Wright"/>
    <n v="1"/>
    <n v="80.16"/>
    <n v="0"/>
    <n v="80.16"/>
    <m/>
    <m/>
    <x v="10"/>
  </r>
  <r>
    <s v="K7-10204"/>
    <x v="15"/>
    <x v="11"/>
    <x v="3"/>
    <x v="0"/>
    <x v="1"/>
    <x v="4"/>
    <x v="11"/>
    <s v="Jonah Wright"/>
    <n v="1"/>
    <n v="90.65"/>
    <n v="0"/>
    <n v="90.65"/>
    <m/>
    <m/>
    <x v="9"/>
  </r>
  <r>
    <s v="K7-10205"/>
    <x v="89"/>
    <x v="10"/>
    <x v="3"/>
    <x v="1"/>
    <x v="1"/>
    <x v="2"/>
    <x v="19"/>
    <s v="Dylan Foster"/>
    <n v="1"/>
    <n v="49.07"/>
    <n v="0.1"/>
    <n v="44.16"/>
    <m/>
    <m/>
    <x v="5"/>
  </r>
  <r>
    <s v="K7-10206"/>
    <x v="150"/>
    <x v="7"/>
    <x v="2"/>
    <x v="2"/>
    <x v="0"/>
    <x v="5"/>
    <x v="17"/>
    <s v="Grace Okafor"/>
    <n v="1"/>
    <n v="211.06"/>
    <n v="0"/>
    <n v="211.06"/>
    <m/>
    <m/>
    <x v="0"/>
  </r>
  <r>
    <s v="K7-10207"/>
    <x v="151"/>
    <x v="10"/>
    <x v="3"/>
    <x v="0"/>
    <x v="0"/>
    <x v="0"/>
    <x v="18"/>
    <s v="Noor Haddad"/>
    <n v="2"/>
    <n v="29.96"/>
    <n v="0.05"/>
    <n v="56.92"/>
    <m/>
    <m/>
    <x v="11"/>
  </r>
  <r>
    <s v="K7-10208"/>
    <x v="152"/>
    <x v="1"/>
    <x v="1"/>
    <x v="0"/>
    <x v="0"/>
    <x v="4"/>
    <x v="6"/>
    <s v="Ava Brooks"/>
    <n v="8"/>
    <n v="57.16"/>
    <n v="0"/>
    <n v="457.28"/>
    <m/>
    <m/>
    <x v="8"/>
  </r>
  <r>
    <s v="K7-10209"/>
    <x v="153"/>
    <x v="2"/>
    <x v="2"/>
    <x v="1"/>
    <x v="1"/>
    <x v="0"/>
    <x v="21"/>
    <s v="Noor Haddad"/>
    <n v="4"/>
    <n v="42.36"/>
    <n v="0"/>
    <n v="169.44"/>
    <m/>
    <m/>
    <x v="4"/>
  </r>
  <r>
    <s v="K7-10210"/>
    <x v="154"/>
    <x v="23"/>
    <x v="0"/>
    <x v="2"/>
    <x v="1"/>
    <x v="0"/>
    <x v="0"/>
    <s v="Priya Nair"/>
    <n v="1"/>
    <n v="57.26"/>
    <n v="0.15"/>
    <n v="48.67"/>
    <m/>
    <m/>
    <x v="2"/>
  </r>
  <r>
    <s v="K7-10211"/>
    <x v="155"/>
    <x v="26"/>
    <x v="2"/>
    <x v="0"/>
    <x v="1"/>
    <x v="0"/>
    <x v="18"/>
    <s v="Elena Vargas"/>
    <n v="3"/>
    <n v="30.39"/>
    <n v="0.15"/>
    <n v="77.489999999999995"/>
    <m/>
    <m/>
    <x v="10"/>
  </r>
  <r>
    <s v="K7-10212"/>
    <x v="156"/>
    <x v="15"/>
    <x v="1"/>
    <x v="0"/>
    <x v="0"/>
    <x v="1"/>
    <x v="12"/>
    <s v="Grace Okafor"/>
    <n v="1"/>
    <n v="272.39999999999998"/>
    <n v="0"/>
    <n v="272.39999999999998"/>
    <m/>
    <m/>
    <x v="7"/>
  </r>
  <r>
    <s v="K7-10213"/>
    <x v="157"/>
    <x v="13"/>
    <x v="0"/>
    <x v="1"/>
    <x v="0"/>
    <x v="5"/>
    <x v="17"/>
    <s v="Dylan Foster"/>
    <n v="3"/>
    <n v="209.96"/>
    <n v="0"/>
    <n v="629.88"/>
    <m/>
    <m/>
    <x v="6"/>
  </r>
  <r>
    <s v="K7-10214"/>
    <x v="87"/>
    <x v="12"/>
    <x v="3"/>
    <x v="3"/>
    <x v="1"/>
    <x v="2"/>
    <x v="2"/>
    <s v="Elena Vargas"/>
    <n v="2"/>
    <n v="26.6"/>
    <n v="0.3"/>
    <n v="37.24"/>
    <m/>
    <m/>
    <x v="11"/>
  </r>
  <r>
    <s v="K7-10215"/>
    <x v="158"/>
    <x v="20"/>
    <x v="3"/>
    <x v="0"/>
    <x v="1"/>
    <x v="1"/>
    <x v="8"/>
    <s v="Ava Brooks"/>
    <n v="2"/>
    <n v="227.11"/>
    <n v="0.1"/>
    <n v="408.8"/>
    <m/>
    <m/>
    <x v="8"/>
  </r>
  <r>
    <s v="K7-10216"/>
    <x v="159"/>
    <x v="0"/>
    <x v="0"/>
    <x v="0"/>
    <x v="1"/>
    <x v="4"/>
    <x v="6"/>
    <s v="Noor Haddad"/>
    <n v="1"/>
    <n v="55.18"/>
    <n v="0"/>
    <n v="55.18"/>
    <m/>
    <m/>
    <x v="10"/>
  </r>
  <r>
    <s v="K7-10217"/>
    <x v="95"/>
    <x v="15"/>
    <x v="1"/>
    <x v="1"/>
    <x v="0"/>
    <x v="2"/>
    <x v="5"/>
    <s v="Priya Nair"/>
    <n v="1"/>
    <n v="37.380000000000003"/>
    <n v="0"/>
    <n v="37.380000000000003"/>
    <m/>
    <m/>
    <x v="3"/>
  </r>
  <r>
    <s v="K7-10218"/>
    <x v="160"/>
    <x v="2"/>
    <x v="2"/>
    <x v="1"/>
    <x v="1"/>
    <x v="3"/>
    <x v="15"/>
    <s v="Jonah Wright"/>
    <n v="1"/>
    <n v="102.71"/>
    <n v="0"/>
    <n v="102.71"/>
    <m/>
    <m/>
    <x v="7"/>
  </r>
  <r>
    <s v="K7-10219"/>
    <x v="161"/>
    <x v="16"/>
    <x v="0"/>
    <x v="0"/>
    <x v="0"/>
    <x v="3"/>
    <x v="15"/>
    <s v="Ava Brooks"/>
    <n v="4"/>
    <n v="103.43"/>
    <n v="0"/>
    <n v="413.72"/>
    <m/>
    <m/>
    <x v="1"/>
  </r>
  <r>
    <s v="K7-10220"/>
    <x v="151"/>
    <x v="12"/>
    <x v="3"/>
    <x v="0"/>
    <x v="0"/>
    <x v="0"/>
    <x v="18"/>
    <s v="Noor Haddad"/>
    <n v="1"/>
    <n v="33.409999999999997"/>
    <n v="0"/>
    <n v="33.409999999999997"/>
    <m/>
    <m/>
    <x v="11"/>
  </r>
  <r>
    <s v="K7-10221"/>
    <x v="162"/>
    <x v="8"/>
    <x v="1"/>
    <x v="1"/>
    <x v="0"/>
    <x v="2"/>
    <x v="19"/>
    <s v="Ava Brooks"/>
    <n v="2"/>
    <n v="49.02"/>
    <n v="0"/>
    <n v="98.04"/>
    <m/>
    <m/>
    <x v="10"/>
  </r>
  <r>
    <s v="K7-10222"/>
    <x v="163"/>
    <x v="9"/>
    <x v="2"/>
    <x v="2"/>
    <x v="1"/>
    <x v="3"/>
    <x v="10"/>
    <s v="Dylan Foster"/>
    <n v="2"/>
    <n v="118.25"/>
    <n v="0.15"/>
    <n v="201.03"/>
    <m/>
    <m/>
    <x v="10"/>
  </r>
  <r>
    <s v="K7-10223"/>
    <x v="98"/>
    <x v="11"/>
    <x v="3"/>
    <x v="0"/>
    <x v="0"/>
    <x v="4"/>
    <x v="13"/>
    <s v="Ava Brooks"/>
    <n v="4"/>
    <n v="88.94"/>
    <n v="0.2"/>
    <n v="284.61"/>
    <m/>
    <m/>
    <x v="2"/>
  </r>
  <r>
    <s v="K7-10224"/>
    <x v="157"/>
    <x v="1"/>
    <x v="1"/>
    <x v="0"/>
    <x v="1"/>
    <x v="3"/>
    <x v="15"/>
    <s v="Ava Brooks"/>
    <n v="3"/>
    <n v="101.14"/>
    <n v="0.05"/>
    <n v="288.25"/>
    <m/>
    <m/>
    <x v="6"/>
  </r>
  <r>
    <s v="K7-10225"/>
    <x v="108"/>
    <x v="1"/>
    <x v="1"/>
    <x v="1"/>
    <x v="0"/>
    <x v="4"/>
    <x v="6"/>
    <s v="Priya Nair"/>
    <n v="11"/>
    <n v="56.08"/>
    <n v="0.2"/>
    <n v="493.5"/>
    <m/>
    <m/>
    <x v="6"/>
  </r>
  <r>
    <s v="K7-10226"/>
    <x v="164"/>
    <x v="5"/>
    <x v="0"/>
    <x v="1"/>
    <x v="0"/>
    <x v="0"/>
    <x v="20"/>
    <s v="Ava Brooks"/>
    <n v="5"/>
    <n v="69.67"/>
    <n v="0"/>
    <n v="348.35"/>
    <m/>
    <m/>
    <x v="9"/>
  </r>
  <r>
    <s v="K7-10227"/>
    <x v="116"/>
    <x v="9"/>
    <x v="2"/>
    <x v="3"/>
    <x v="1"/>
    <x v="4"/>
    <x v="11"/>
    <s v="Priya Nair"/>
    <n v="3"/>
    <n v="80.48"/>
    <n v="0"/>
    <n v="241.44"/>
    <m/>
    <m/>
    <x v="9"/>
  </r>
  <r>
    <s v="K7-10228"/>
    <x v="100"/>
    <x v="23"/>
    <x v="0"/>
    <x v="0"/>
    <x v="0"/>
    <x v="3"/>
    <x v="15"/>
    <s v="Priya Nair"/>
    <n v="4"/>
    <n v="97.9"/>
    <n v="0.2"/>
    <n v="313.27999999999997"/>
    <m/>
    <m/>
    <x v="5"/>
  </r>
  <r>
    <s v="K7-10229"/>
    <x v="165"/>
    <x v="13"/>
    <x v="0"/>
    <x v="2"/>
    <x v="0"/>
    <x v="4"/>
    <x v="14"/>
    <s v="Noor Haddad"/>
    <n v="2"/>
    <n v="78.739999999999995"/>
    <n v="0"/>
    <n v="157.47999999999999"/>
    <m/>
    <m/>
    <x v="1"/>
  </r>
  <r>
    <s v="K7-10230"/>
    <x v="159"/>
    <x v="20"/>
    <x v="3"/>
    <x v="0"/>
    <x v="0"/>
    <x v="1"/>
    <x v="3"/>
    <s v="Grace Okafor"/>
    <n v="2"/>
    <n v="158.12"/>
    <n v="0"/>
    <n v="316.24"/>
    <m/>
    <m/>
    <x v="10"/>
  </r>
  <r>
    <s v="K7-10231"/>
    <x v="166"/>
    <x v="0"/>
    <x v="0"/>
    <x v="0"/>
    <x v="1"/>
    <x v="5"/>
    <x v="7"/>
    <s v="Elena Vargas"/>
    <n v="3"/>
    <n v="160.27000000000001"/>
    <n v="0.05"/>
    <n v="456.77"/>
    <m/>
    <m/>
    <x v="8"/>
  </r>
  <r>
    <s v="K7-10232"/>
    <x v="48"/>
    <x v="15"/>
    <x v="1"/>
    <x v="3"/>
    <x v="1"/>
    <x v="4"/>
    <x v="13"/>
    <s v="Marcus Reed"/>
    <n v="1"/>
    <n v="88.9"/>
    <n v="0.1"/>
    <n v="80.010000000000005"/>
    <m/>
    <m/>
    <x v="7"/>
  </r>
  <r>
    <s v="K7-10233"/>
    <x v="160"/>
    <x v="7"/>
    <x v="2"/>
    <x v="2"/>
    <x v="1"/>
    <x v="0"/>
    <x v="20"/>
    <s v="Marcus Reed"/>
    <n v="1"/>
    <n v="66.66"/>
    <n v="0.1"/>
    <n v="59.99"/>
    <m/>
    <m/>
    <x v="7"/>
  </r>
  <r>
    <s v="K7-10234"/>
    <x v="94"/>
    <x v="1"/>
    <x v="1"/>
    <x v="1"/>
    <x v="1"/>
    <x v="3"/>
    <x v="10"/>
    <s v="Elena Vargas"/>
    <n v="2"/>
    <n v="121.55"/>
    <n v="0.05"/>
    <n v="230.94"/>
    <m/>
    <m/>
    <x v="6"/>
  </r>
  <r>
    <s v="K7-10235"/>
    <x v="167"/>
    <x v="5"/>
    <x v="0"/>
    <x v="3"/>
    <x v="1"/>
    <x v="5"/>
    <x v="17"/>
    <s v="Jonah Wright"/>
    <n v="5"/>
    <n v="229.51"/>
    <n v="0.3"/>
    <n v="803.28"/>
    <m/>
    <m/>
    <x v="6"/>
  </r>
  <r>
    <s v="K7-10236"/>
    <x v="65"/>
    <x v="1"/>
    <x v="1"/>
    <x v="1"/>
    <x v="0"/>
    <x v="1"/>
    <x v="12"/>
    <s v="Dylan Foster"/>
    <n v="3"/>
    <n v="276.04000000000002"/>
    <n v="0"/>
    <n v="828.12"/>
    <m/>
    <m/>
    <x v="4"/>
  </r>
  <r>
    <s v="K7-10237"/>
    <x v="130"/>
    <x v="0"/>
    <x v="0"/>
    <x v="3"/>
    <x v="0"/>
    <x v="5"/>
    <x v="9"/>
    <s v="Jonah Wright"/>
    <n v="7"/>
    <n v="87.72"/>
    <n v="0"/>
    <n v="614.04"/>
    <m/>
    <m/>
    <x v="9"/>
  </r>
  <r>
    <s v="K7-10238"/>
    <x v="81"/>
    <x v="23"/>
    <x v="0"/>
    <x v="1"/>
    <x v="0"/>
    <x v="1"/>
    <x v="1"/>
    <s v="Elena Vargas"/>
    <n v="2"/>
    <n v="123.93"/>
    <n v="0"/>
    <n v="247.86"/>
    <m/>
    <m/>
    <x v="2"/>
  </r>
  <r>
    <s v="K7-10239"/>
    <x v="168"/>
    <x v="0"/>
    <x v="0"/>
    <x v="1"/>
    <x v="0"/>
    <x v="0"/>
    <x v="20"/>
    <s v="Elena Vargas"/>
    <n v="1"/>
    <n v="70.38"/>
    <n v="0"/>
    <n v="70.38"/>
    <m/>
    <m/>
    <x v="9"/>
  </r>
  <r>
    <s v="K7-10240"/>
    <x v="169"/>
    <x v="0"/>
    <x v="0"/>
    <x v="1"/>
    <x v="1"/>
    <x v="4"/>
    <x v="14"/>
    <s v="Grace Okafor"/>
    <n v="1"/>
    <n v="76.739999999999995"/>
    <n v="0"/>
    <n v="76.739999999999995"/>
    <m/>
    <m/>
    <x v="6"/>
  </r>
  <r>
    <s v="K7-10241"/>
    <x v="130"/>
    <x v="20"/>
    <x v="3"/>
    <x v="2"/>
    <x v="1"/>
    <x v="1"/>
    <x v="8"/>
    <s v="Marcus Reed"/>
    <n v="3"/>
    <n v="242.07"/>
    <n v="0"/>
    <n v="726.21"/>
    <m/>
    <m/>
    <x v="9"/>
  </r>
  <r>
    <s v="K7-10242"/>
    <x v="170"/>
    <x v="3"/>
    <x v="0"/>
    <x v="2"/>
    <x v="0"/>
    <x v="1"/>
    <x v="12"/>
    <s v="Ava Brooks"/>
    <n v="1"/>
    <n v="301.14999999999998"/>
    <n v="0"/>
    <n v="301.14999999999998"/>
    <m/>
    <m/>
    <x v="0"/>
  </r>
  <r>
    <s v="K7-10243"/>
    <x v="130"/>
    <x v="22"/>
    <x v="0"/>
    <x v="0"/>
    <x v="1"/>
    <x v="5"/>
    <x v="7"/>
    <s v="Marcus Reed"/>
    <n v="1"/>
    <n v="150.72"/>
    <n v="0.15"/>
    <n v="128.11000000000001"/>
    <m/>
    <m/>
    <x v="9"/>
  </r>
  <r>
    <s v="K7-10244"/>
    <x v="171"/>
    <x v="20"/>
    <x v="3"/>
    <x v="1"/>
    <x v="0"/>
    <x v="4"/>
    <x v="14"/>
    <s v="Noor Haddad"/>
    <n v="1"/>
    <n v="75.069999999999993"/>
    <n v="0.2"/>
    <n v="60.06"/>
    <m/>
    <m/>
    <x v="9"/>
  </r>
  <r>
    <s v="K7-10245"/>
    <x v="87"/>
    <x v="0"/>
    <x v="0"/>
    <x v="1"/>
    <x v="1"/>
    <x v="1"/>
    <x v="12"/>
    <s v="Ava Brooks"/>
    <n v="12"/>
    <n v="283.04000000000002"/>
    <n v="0.15"/>
    <n v="2887.01"/>
    <m/>
    <m/>
    <x v="11"/>
  </r>
  <r>
    <s v="K7-10246"/>
    <x v="125"/>
    <x v="1"/>
    <x v="1"/>
    <x v="2"/>
    <x v="0"/>
    <x v="0"/>
    <x v="0"/>
    <s v="Elena Vargas"/>
    <n v="3"/>
    <n v="55.37"/>
    <n v="0"/>
    <n v="166.11"/>
    <m/>
    <m/>
    <x v="6"/>
  </r>
  <r>
    <s v="K7-10247"/>
    <x v="172"/>
    <x v="18"/>
    <x v="3"/>
    <x v="0"/>
    <x v="1"/>
    <x v="0"/>
    <x v="0"/>
    <s v="Priya Nair"/>
    <n v="1"/>
    <n v="54.19"/>
    <n v="0.3"/>
    <n v="37.93"/>
    <m/>
    <m/>
    <x v="8"/>
  </r>
  <r>
    <s v="K7-10248"/>
    <x v="173"/>
    <x v="8"/>
    <x v="1"/>
    <x v="3"/>
    <x v="1"/>
    <x v="1"/>
    <x v="12"/>
    <s v="Priya Nair"/>
    <n v="2"/>
    <n v="313.79000000000002"/>
    <n v="0"/>
    <n v="627.58000000000004"/>
    <m/>
    <m/>
    <x v="10"/>
  </r>
  <r>
    <s v="K7-10249"/>
    <x v="174"/>
    <x v="22"/>
    <x v="0"/>
    <x v="1"/>
    <x v="0"/>
    <x v="4"/>
    <x v="11"/>
    <s v="Jonah Wright"/>
    <n v="1"/>
    <n v="83.79"/>
    <n v="0"/>
    <n v="83.79"/>
    <m/>
    <m/>
    <x v="8"/>
  </r>
  <r>
    <s v="K7-10250"/>
    <x v="76"/>
    <x v="11"/>
    <x v="3"/>
    <x v="1"/>
    <x v="1"/>
    <x v="5"/>
    <x v="7"/>
    <s v="Grace Okafor"/>
    <n v="4"/>
    <n v="153.77000000000001"/>
    <n v="0.05"/>
    <n v="584.33000000000004"/>
    <m/>
    <m/>
    <x v="4"/>
  </r>
  <r>
    <s v="K7-10251"/>
    <x v="175"/>
    <x v="3"/>
    <x v="0"/>
    <x v="1"/>
    <x v="0"/>
    <x v="1"/>
    <x v="12"/>
    <s v="Dylan Foster"/>
    <n v="1"/>
    <n v="292.51"/>
    <n v="0"/>
    <n v="292.51"/>
    <m/>
    <m/>
    <x v="11"/>
  </r>
  <r>
    <s v="K7-10252"/>
    <x v="109"/>
    <x v="7"/>
    <x v="2"/>
    <x v="3"/>
    <x v="1"/>
    <x v="4"/>
    <x v="11"/>
    <s v="Priya Nair"/>
    <n v="2"/>
    <n v="89.91"/>
    <n v="0"/>
    <n v="179.82"/>
    <m/>
    <m/>
    <x v="0"/>
  </r>
  <r>
    <s v="K7-10253"/>
    <x v="5"/>
    <x v="19"/>
    <x v="1"/>
    <x v="0"/>
    <x v="1"/>
    <x v="1"/>
    <x v="3"/>
    <s v="Elena Vargas"/>
    <n v="4"/>
    <n v="171.36"/>
    <n v="0"/>
    <n v="685.44"/>
    <m/>
    <m/>
    <x v="3"/>
  </r>
  <r>
    <s v="K7-10254"/>
    <x v="176"/>
    <x v="17"/>
    <x v="0"/>
    <x v="1"/>
    <x v="0"/>
    <x v="3"/>
    <x v="10"/>
    <s v="Marcus Reed"/>
    <n v="5"/>
    <n v="121.25"/>
    <n v="0.05"/>
    <n v="575.94000000000005"/>
    <m/>
    <m/>
    <x v="5"/>
  </r>
  <r>
    <s v="K7-10255"/>
    <x v="93"/>
    <x v="14"/>
    <x v="2"/>
    <x v="1"/>
    <x v="0"/>
    <x v="3"/>
    <x v="15"/>
    <s v="Dylan Foster"/>
    <n v="5"/>
    <n v="105.68"/>
    <n v="0"/>
    <n v="528.4"/>
    <m/>
    <m/>
    <x v="2"/>
  </r>
  <r>
    <s v="K7-10256"/>
    <x v="177"/>
    <x v="28"/>
    <x v="0"/>
    <x v="0"/>
    <x v="0"/>
    <x v="0"/>
    <x v="21"/>
    <s v="Ava Brooks"/>
    <n v="5"/>
    <n v="47.55"/>
    <n v="0.15"/>
    <n v="202.09"/>
    <m/>
    <m/>
    <x v="6"/>
  </r>
  <r>
    <s v="K7-10257"/>
    <x v="178"/>
    <x v="10"/>
    <x v="3"/>
    <x v="0"/>
    <x v="1"/>
    <x v="5"/>
    <x v="7"/>
    <s v="Priya Nair"/>
    <n v="6"/>
    <n v="167.98"/>
    <n v="0"/>
    <n v="1007.88"/>
    <m/>
    <m/>
    <x v="2"/>
  </r>
  <r>
    <s v="K7-10258"/>
    <x v="179"/>
    <x v="14"/>
    <x v="2"/>
    <x v="0"/>
    <x v="1"/>
    <x v="3"/>
    <x v="4"/>
    <s v="Ava Brooks"/>
    <n v="2"/>
    <n v="126.09"/>
    <n v="0"/>
    <n v="252.18"/>
    <m/>
    <m/>
    <x v="5"/>
  </r>
  <r>
    <s v="K7-10259"/>
    <x v="180"/>
    <x v="2"/>
    <x v="2"/>
    <x v="1"/>
    <x v="1"/>
    <x v="1"/>
    <x v="12"/>
    <s v="Grace Okafor"/>
    <n v="4"/>
    <n v="317.98"/>
    <n v="0"/>
    <n v="1271.92"/>
    <m/>
    <m/>
    <x v="9"/>
  </r>
  <r>
    <s v="K7-10260"/>
    <x v="181"/>
    <x v="20"/>
    <x v="3"/>
    <x v="0"/>
    <x v="1"/>
    <x v="5"/>
    <x v="17"/>
    <s v="Elena Vargas"/>
    <n v="3"/>
    <n v="206.38"/>
    <n v="0"/>
    <n v="619.14"/>
    <m/>
    <m/>
    <x v="4"/>
  </r>
  <r>
    <s v="K7-10261"/>
    <x v="182"/>
    <x v="7"/>
    <x v="2"/>
    <x v="1"/>
    <x v="0"/>
    <x v="5"/>
    <x v="9"/>
    <s v="Grace Okafor"/>
    <n v="5"/>
    <n v="91.09"/>
    <n v="0.1"/>
    <n v="409.91"/>
    <m/>
    <m/>
    <x v="6"/>
  </r>
  <r>
    <s v="K7-10262"/>
    <x v="72"/>
    <x v="26"/>
    <x v="2"/>
    <x v="3"/>
    <x v="1"/>
    <x v="1"/>
    <x v="12"/>
    <s v="Jonah Wright"/>
    <n v="2"/>
    <n v="291.11"/>
    <n v="0"/>
    <n v="582.22"/>
    <m/>
    <m/>
    <x v="8"/>
  </r>
  <r>
    <s v="K7-10263"/>
    <x v="182"/>
    <x v="7"/>
    <x v="2"/>
    <x v="1"/>
    <x v="0"/>
    <x v="1"/>
    <x v="1"/>
    <s v="Elena Vargas"/>
    <n v="2"/>
    <n v="132.24"/>
    <n v="0"/>
    <n v="264.48"/>
    <m/>
    <m/>
    <x v="6"/>
  </r>
  <r>
    <s v="K7-10264"/>
    <x v="74"/>
    <x v="27"/>
    <x v="2"/>
    <x v="1"/>
    <x v="1"/>
    <x v="3"/>
    <x v="15"/>
    <s v="Grace Okafor"/>
    <n v="1"/>
    <n v="96.56"/>
    <n v="0.3"/>
    <n v="67.59"/>
    <m/>
    <m/>
    <x v="5"/>
  </r>
  <r>
    <s v="K7-10265"/>
    <x v="134"/>
    <x v="0"/>
    <x v="0"/>
    <x v="3"/>
    <x v="1"/>
    <x v="2"/>
    <x v="16"/>
    <s v="Elena Vargas"/>
    <n v="1"/>
    <n v="58.98"/>
    <n v="0.05"/>
    <n v="56.03"/>
    <m/>
    <m/>
    <x v="1"/>
  </r>
  <r>
    <s v="K7-10266"/>
    <x v="110"/>
    <x v="5"/>
    <x v="0"/>
    <x v="1"/>
    <x v="0"/>
    <x v="1"/>
    <x v="8"/>
    <s v="Jonah Wright"/>
    <n v="10"/>
    <n v="252.94"/>
    <n v="0"/>
    <n v="2529.4"/>
    <m/>
    <m/>
    <x v="1"/>
  </r>
  <r>
    <s v="K7-10267"/>
    <x v="32"/>
    <x v="5"/>
    <x v="0"/>
    <x v="0"/>
    <x v="0"/>
    <x v="0"/>
    <x v="18"/>
    <s v="Noor Haddad"/>
    <n v="1"/>
    <n v="32.96"/>
    <n v="0.15"/>
    <n v="28.02"/>
    <m/>
    <m/>
    <x v="9"/>
  </r>
  <r>
    <s v="K7-10268"/>
    <x v="183"/>
    <x v="5"/>
    <x v="0"/>
    <x v="1"/>
    <x v="0"/>
    <x v="5"/>
    <x v="17"/>
    <s v="Dylan Foster"/>
    <n v="5"/>
    <n v="230.38"/>
    <n v="0.15"/>
    <n v="979.12"/>
    <m/>
    <m/>
    <x v="4"/>
  </r>
  <r>
    <s v="K7-10269"/>
    <x v="184"/>
    <x v="1"/>
    <x v="1"/>
    <x v="1"/>
    <x v="0"/>
    <x v="0"/>
    <x v="21"/>
    <s v="Priya Nair"/>
    <n v="1"/>
    <n v="47.82"/>
    <n v="0"/>
    <n v="47.82"/>
    <m/>
    <m/>
    <x v="10"/>
  </r>
  <r>
    <s v="K7-10270"/>
    <x v="185"/>
    <x v="8"/>
    <x v="1"/>
    <x v="0"/>
    <x v="1"/>
    <x v="0"/>
    <x v="20"/>
    <s v="Noor Haddad"/>
    <n v="7"/>
    <n v="71.290000000000006"/>
    <n v="0.05"/>
    <n v="474.08"/>
    <m/>
    <m/>
    <x v="11"/>
  </r>
  <r>
    <s v="K7-10271"/>
    <x v="142"/>
    <x v="11"/>
    <x v="3"/>
    <x v="0"/>
    <x v="0"/>
    <x v="4"/>
    <x v="14"/>
    <s v="Ava Brooks"/>
    <n v="5"/>
    <n v="73.58"/>
    <n v="0"/>
    <n v="367.9"/>
    <m/>
    <m/>
    <x v="9"/>
  </r>
  <r>
    <s v="K7-10272"/>
    <x v="186"/>
    <x v="19"/>
    <x v="1"/>
    <x v="0"/>
    <x v="0"/>
    <x v="2"/>
    <x v="5"/>
    <s v="Noor Haddad"/>
    <n v="1"/>
    <n v="38.380000000000003"/>
    <n v="0"/>
    <n v="38.380000000000003"/>
    <m/>
    <m/>
    <x v="7"/>
  </r>
  <r>
    <s v="K7-10273"/>
    <x v="111"/>
    <x v="19"/>
    <x v="1"/>
    <x v="0"/>
    <x v="0"/>
    <x v="4"/>
    <x v="6"/>
    <s v="Jonah Wright"/>
    <n v="1"/>
    <n v="57.27"/>
    <n v="0"/>
    <n v="57.27"/>
    <m/>
    <m/>
    <x v="11"/>
  </r>
  <r>
    <s v="K7-10274"/>
    <x v="157"/>
    <x v="8"/>
    <x v="1"/>
    <x v="1"/>
    <x v="0"/>
    <x v="0"/>
    <x v="21"/>
    <s v="Marcus Reed"/>
    <n v="1"/>
    <n v="48.25"/>
    <n v="0.15"/>
    <n v="41.01"/>
    <m/>
    <m/>
    <x v="6"/>
  </r>
  <r>
    <s v="K7-10275"/>
    <x v="187"/>
    <x v="0"/>
    <x v="0"/>
    <x v="1"/>
    <x v="1"/>
    <x v="0"/>
    <x v="0"/>
    <s v="Elena Vargas"/>
    <n v="5"/>
    <n v="53.61"/>
    <n v="0.05"/>
    <n v="254.65"/>
    <m/>
    <m/>
    <x v="3"/>
  </r>
  <r>
    <s v="K7-10276"/>
    <x v="104"/>
    <x v="5"/>
    <x v="0"/>
    <x v="1"/>
    <x v="0"/>
    <x v="1"/>
    <x v="3"/>
    <s v="Dylan Foster"/>
    <n v="5"/>
    <n v="179.43"/>
    <n v="0"/>
    <n v="897.15"/>
    <m/>
    <m/>
    <x v="4"/>
  </r>
  <r>
    <s v="K7-10277"/>
    <x v="43"/>
    <x v="5"/>
    <x v="0"/>
    <x v="3"/>
    <x v="1"/>
    <x v="0"/>
    <x v="20"/>
    <s v="Priya Nair"/>
    <n v="2"/>
    <n v="67.599999999999994"/>
    <n v="0"/>
    <n v="135.19999999999999"/>
    <m/>
    <m/>
    <x v="5"/>
  </r>
  <r>
    <s v="K7-10278"/>
    <x v="105"/>
    <x v="16"/>
    <x v="0"/>
    <x v="0"/>
    <x v="1"/>
    <x v="3"/>
    <x v="10"/>
    <s v="Ava Brooks"/>
    <n v="5"/>
    <n v="110.07"/>
    <n v="0.3"/>
    <n v="385.24"/>
    <m/>
    <m/>
    <x v="11"/>
  </r>
  <r>
    <s v="K7-10279"/>
    <x v="6"/>
    <x v="7"/>
    <x v="2"/>
    <x v="0"/>
    <x v="1"/>
    <x v="5"/>
    <x v="7"/>
    <s v="Grace Okafor"/>
    <n v="5"/>
    <n v="155.22999999999999"/>
    <n v="0.05"/>
    <n v="737.34"/>
    <m/>
    <m/>
    <x v="4"/>
  </r>
  <r>
    <s v="K7-10280"/>
    <x v="3"/>
    <x v="19"/>
    <x v="1"/>
    <x v="3"/>
    <x v="0"/>
    <x v="4"/>
    <x v="13"/>
    <s v="Noor Haddad"/>
    <n v="4"/>
    <n v="88.32"/>
    <n v="0"/>
    <n v="353.28"/>
    <m/>
    <m/>
    <x v="1"/>
  </r>
  <r>
    <s v="K7-10281"/>
    <x v="188"/>
    <x v="1"/>
    <x v="1"/>
    <x v="0"/>
    <x v="0"/>
    <x v="1"/>
    <x v="12"/>
    <s v="Ava Brooks"/>
    <n v="6"/>
    <n v="308.66000000000003"/>
    <n v="0"/>
    <n v="1851.96"/>
    <m/>
    <m/>
    <x v="3"/>
  </r>
  <r>
    <s v="K7-10282"/>
    <x v="142"/>
    <x v="5"/>
    <x v="0"/>
    <x v="3"/>
    <x v="1"/>
    <x v="2"/>
    <x v="19"/>
    <s v="Priya Nair"/>
    <n v="1"/>
    <n v="51.05"/>
    <n v="0.05"/>
    <n v="48.5"/>
    <m/>
    <m/>
    <x v="9"/>
  </r>
  <r>
    <s v="K7-10283"/>
    <x v="189"/>
    <x v="5"/>
    <x v="0"/>
    <x v="1"/>
    <x v="0"/>
    <x v="4"/>
    <x v="13"/>
    <s v="Elena Vargas"/>
    <n v="2"/>
    <n v="98.54"/>
    <n v="0"/>
    <n v="197.08"/>
    <m/>
    <m/>
    <x v="11"/>
  </r>
  <r>
    <s v="K7-10284"/>
    <x v="190"/>
    <x v="25"/>
    <x v="3"/>
    <x v="1"/>
    <x v="1"/>
    <x v="3"/>
    <x v="10"/>
    <s v="Dylan Foster"/>
    <n v="9"/>
    <n v="122.24"/>
    <n v="0.05"/>
    <n v="1045.1500000000001"/>
    <m/>
    <m/>
    <x v="6"/>
  </r>
  <r>
    <s v="K7-10285"/>
    <x v="58"/>
    <x v="7"/>
    <x v="2"/>
    <x v="1"/>
    <x v="0"/>
    <x v="0"/>
    <x v="18"/>
    <s v="Grace Okafor"/>
    <n v="2"/>
    <n v="32.75"/>
    <n v="0.2"/>
    <n v="52.4"/>
    <m/>
    <m/>
    <x v="7"/>
  </r>
  <r>
    <s v="K7-10286"/>
    <x v="162"/>
    <x v="8"/>
    <x v="1"/>
    <x v="3"/>
    <x v="1"/>
    <x v="4"/>
    <x v="11"/>
    <s v="Elena Vargas"/>
    <n v="11"/>
    <n v="89.77"/>
    <n v="0.1"/>
    <n v="888.72"/>
    <m/>
    <m/>
    <x v="10"/>
  </r>
  <r>
    <s v="K7-10287"/>
    <x v="191"/>
    <x v="20"/>
    <x v="3"/>
    <x v="0"/>
    <x v="0"/>
    <x v="4"/>
    <x v="6"/>
    <s v="Ava Brooks"/>
    <n v="1"/>
    <n v="61.17"/>
    <n v="0"/>
    <n v="61.17"/>
    <m/>
    <m/>
    <x v="5"/>
  </r>
  <r>
    <s v="K7-10288"/>
    <x v="192"/>
    <x v="13"/>
    <x v="0"/>
    <x v="1"/>
    <x v="1"/>
    <x v="0"/>
    <x v="0"/>
    <s v="Priya Nair"/>
    <n v="5"/>
    <n v="50.82"/>
    <n v="0.05"/>
    <n v="241.39"/>
    <m/>
    <m/>
    <x v="9"/>
  </r>
  <r>
    <s v="K7-10289"/>
    <x v="193"/>
    <x v="25"/>
    <x v="3"/>
    <x v="0"/>
    <x v="0"/>
    <x v="1"/>
    <x v="8"/>
    <s v="Elena Vargas"/>
    <n v="1"/>
    <n v="252.3"/>
    <n v="0"/>
    <n v="252.3"/>
    <m/>
    <m/>
    <x v="9"/>
  </r>
  <r>
    <s v="K7-10290"/>
    <x v="137"/>
    <x v="7"/>
    <x v="2"/>
    <x v="1"/>
    <x v="0"/>
    <x v="5"/>
    <x v="9"/>
    <s v="Ava Brooks"/>
    <n v="5"/>
    <n v="85.92"/>
    <n v="0"/>
    <n v="429.6"/>
    <m/>
    <m/>
    <x v="10"/>
  </r>
  <r>
    <s v="K7-10291"/>
    <x v="194"/>
    <x v="7"/>
    <x v="2"/>
    <x v="0"/>
    <x v="1"/>
    <x v="5"/>
    <x v="17"/>
    <s v="Ava Brooks"/>
    <n v="4"/>
    <n v="231.38"/>
    <n v="0.05"/>
    <n v="879.24"/>
    <m/>
    <m/>
    <x v="11"/>
  </r>
  <r>
    <s v="K7-10292"/>
    <x v="195"/>
    <x v="25"/>
    <x v="3"/>
    <x v="0"/>
    <x v="0"/>
    <x v="0"/>
    <x v="0"/>
    <s v="Marcus Reed"/>
    <n v="3"/>
    <n v="53.39"/>
    <n v="0"/>
    <n v="160.16999999999999"/>
    <m/>
    <m/>
    <x v="3"/>
  </r>
  <r>
    <s v="K7-10293"/>
    <x v="196"/>
    <x v="5"/>
    <x v="0"/>
    <x v="1"/>
    <x v="1"/>
    <x v="3"/>
    <x v="10"/>
    <s v="Priya Nair"/>
    <n v="10"/>
    <n v="120.74"/>
    <n v="0"/>
    <n v="1207.4000000000001"/>
    <m/>
    <m/>
    <x v="0"/>
  </r>
  <r>
    <s v="K7-10294"/>
    <x v="197"/>
    <x v="13"/>
    <x v="0"/>
    <x v="2"/>
    <x v="0"/>
    <x v="4"/>
    <x v="14"/>
    <s v="Grace Okafor"/>
    <n v="1"/>
    <n v="80.680000000000007"/>
    <n v="0.05"/>
    <n v="76.650000000000006"/>
    <m/>
    <m/>
    <x v="7"/>
  </r>
  <r>
    <s v="K7-10295"/>
    <x v="93"/>
    <x v="0"/>
    <x v="0"/>
    <x v="2"/>
    <x v="1"/>
    <x v="3"/>
    <x v="10"/>
    <s v="Grace Okafor"/>
    <n v="3"/>
    <n v="123.18"/>
    <n v="0"/>
    <n v="369.54"/>
    <m/>
    <m/>
    <x v="2"/>
  </r>
  <r>
    <s v="K7-10296"/>
    <x v="3"/>
    <x v="5"/>
    <x v="0"/>
    <x v="1"/>
    <x v="0"/>
    <x v="4"/>
    <x v="13"/>
    <s v="Jonah Wright"/>
    <n v="1"/>
    <n v="88.46"/>
    <n v="0"/>
    <n v="88.46"/>
    <m/>
    <m/>
    <x v="1"/>
  </r>
  <r>
    <s v="K7-10297"/>
    <x v="198"/>
    <x v="25"/>
    <x v="3"/>
    <x v="0"/>
    <x v="0"/>
    <x v="0"/>
    <x v="18"/>
    <s v="Ava Brooks"/>
    <n v="2"/>
    <n v="30.26"/>
    <n v="0"/>
    <n v="60.52"/>
    <m/>
    <m/>
    <x v="2"/>
  </r>
  <r>
    <s v="K7-10298"/>
    <x v="140"/>
    <x v="3"/>
    <x v="0"/>
    <x v="1"/>
    <x v="1"/>
    <x v="5"/>
    <x v="7"/>
    <s v="Jonah Wright"/>
    <n v="4"/>
    <n v="152.85"/>
    <n v="0"/>
    <n v="611.4"/>
    <m/>
    <m/>
    <x v="2"/>
  </r>
  <r>
    <s v="K7-10299"/>
    <x v="59"/>
    <x v="14"/>
    <x v="2"/>
    <x v="1"/>
    <x v="0"/>
    <x v="4"/>
    <x v="14"/>
    <s v="Marcus Reed"/>
    <n v="9"/>
    <n v="75.63"/>
    <n v="0"/>
    <n v="680.67"/>
    <m/>
    <m/>
    <x v="11"/>
  </r>
  <r>
    <s v="K7-10300"/>
    <x v="161"/>
    <x v="16"/>
    <x v="0"/>
    <x v="1"/>
    <x v="0"/>
    <x v="4"/>
    <x v="13"/>
    <s v="Elena Vargas"/>
    <n v="8"/>
    <n v="93.49"/>
    <n v="0"/>
    <n v="747.92"/>
    <m/>
    <m/>
    <x v="1"/>
  </r>
  <r>
    <s v="K7-10301"/>
    <x v="116"/>
    <x v="7"/>
    <x v="2"/>
    <x v="0"/>
    <x v="0"/>
    <x v="4"/>
    <x v="14"/>
    <s v="Elena Vargas"/>
    <n v="1"/>
    <n v="78.760000000000005"/>
    <n v="0.05"/>
    <n v="74.819999999999993"/>
    <m/>
    <m/>
    <x v="9"/>
  </r>
  <r>
    <s v="K7-10302"/>
    <x v="25"/>
    <x v="10"/>
    <x v="3"/>
    <x v="2"/>
    <x v="1"/>
    <x v="4"/>
    <x v="6"/>
    <s v="Noor Haddad"/>
    <n v="8"/>
    <n v="57.19"/>
    <n v="0"/>
    <n v="457.52"/>
    <m/>
    <m/>
    <x v="4"/>
  </r>
  <r>
    <s v="K7-10303"/>
    <x v="199"/>
    <x v="21"/>
    <x v="0"/>
    <x v="1"/>
    <x v="0"/>
    <x v="4"/>
    <x v="14"/>
    <s v="Ava Brooks"/>
    <n v="5"/>
    <n v="75.290000000000006"/>
    <n v="0.1"/>
    <n v="338.81"/>
    <m/>
    <m/>
    <x v="1"/>
  </r>
  <r>
    <s v="K7-10304"/>
    <x v="200"/>
    <x v="0"/>
    <x v="0"/>
    <x v="0"/>
    <x v="1"/>
    <x v="1"/>
    <x v="3"/>
    <s v="Jonah Wright"/>
    <n v="7"/>
    <n v="177.05"/>
    <n v="0"/>
    <n v="1239.3499999999999"/>
    <m/>
    <m/>
    <x v="0"/>
  </r>
  <r>
    <s v="K7-10305"/>
    <x v="201"/>
    <x v="8"/>
    <x v="1"/>
    <x v="0"/>
    <x v="1"/>
    <x v="4"/>
    <x v="6"/>
    <s v="Ava Brooks"/>
    <n v="4"/>
    <n v="61.78"/>
    <n v="0"/>
    <n v="247.12"/>
    <m/>
    <m/>
    <x v="6"/>
  </r>
  <r>
    <s v="K7-10306"/>
    <x v="130"/>
    <x v="4"/>
    <x v="3"/>
    <x v="1"/>
    <x v="0"/>
    <x v="4"/>
    <x v="11"/>
    <s v="Priya Nair"/>
    <n v="1"/>
    <n v="86.43"/>
    <n v="0"/>
    <n v="86.43"/>
    <m/>
    <m/>
    <x v="9"/>
  </r>
  <r>
    <s v="K7-10307"/>
    <x v="185"/>
    <x v="1"/>
    <x v="1"/>
    <x v="0"/>
    <x v="1"/>
    <x v="4"/>
    <x v="14"/>
    <s v="Dylan Foster"/>
    <n v="5"/>
    <n v="74.3"/>
    <n v="0"/>
    <n v="371.5"/>
    <m/>
    <m/>
    <x v="11"/>
  </r>
  <r>
    <s v="K7-10308"/>
    <x v="12"/>
    <x v="13"/>
    <x v="0"/>
    <x v="1"/>
    <x v="0"/>
    <x v="5"/>
    <x v="7"/>
    <s v="Noor Haddad"/>
    <n v="2"/>
    <n v="155"/>
    <n v="0.05"/>
    <n v="294.5"/>
    <m/>
    <m/>
    <x v="0"/>
  </r>
  <r>
    <s v="K7-10309"/>
    <x v="68"/>
    <x v="1"/>
    <x v="1"/>
    <x v="1"/>
    <x v="0"/>
    <x v="0"/>
    <x v="21"/>
    <s v="Noor Haddad"/>
    <n v="3"/>
    <n v="44.42"/>
    <n v="0.1"/>
    <n v="119.93"/>
    <m/>
    <m/>
    <x v="3"/>
  </r>
  <r>
    <s v="K7-10310"/>
    <x v="93"/>
    <x v="5"/>
    <x v="0"/>
    <x v="2"/>
    <x v="1"/>
    <x v="0"/>
    <x v="21"/>
    <s v="Priya Nair"/>
    <n v="5"/>
    <n v="48.33"/>
    <n v="0"/>
    <n v="241.65"/>
    <m/>
    <m/>
    <x v="2"/>
  </r>
  <r>
    <s v="K7-10311"/>
    <x v="134"/>
    <x v="4"/>
    <x v="3"/>
    <x v="1"/>
    <x v="0"/>
    <x v="4"/>
    <x v="6"/>
    <s v="Priya Nair"/>
    <n v="6"/>
    <n v="58.13"/>
    <n v="0"/>
    <n v="348.78"/>
    <m/>
    <m/>
    <x v="1"/>
  </r>
  <r>
    <s v="K7-10312"/>
    <x v="132"/>
    <x v="21"/>
    <x v="0"/>
    <x v="1"/>
    <x v="0"/>
    <x v="2"/>
    <x v="2"/>
    <s v="Jonah Wright"/>
    <n v="1"/>
    <n v="24.53"/>
    <n v="0"/>
    <n v="24.53"/>
    <m/>
    <m/>
    <x v="7"/>
  </r>
  <r>
    <s v="K7-10313"/>
    <x v="3"/>
    <x v="24"/>
    <x v="2"/>
    <x v="1"/>
    <x v="0"/>
    <x v="0"/>
    <x v="20"/>
    <s v="Elena Vargas"/>
    <n v="5"/>
    <n v="67.02"/>
    <n v="0"/>
    <n v="335.1"/>
    <m/>
    <m/>
    <x v="1"/>
  </r>
  <r>
    <s v="K7-10314"/>
    <x v="202"/>
    <x v="25"/>
    <x v="3"/>
    <x v="0"/>
    <x v="0"/>
    <x v="4"/>
    <x v="14"/>
    <s v="Noor Haddad"/>
    <n v="8"/>
    <n v="72.19"/>
    <n v="0"/>
    <n v="577.52"/>
    <m/>
    <m/>
    <x v="1"/>
  </r>
  <r>
    <s v="K7-10315"/>
    <x v="203"/>
    <x v="20"/>
    <x v="3"/>
    <x v="0"/>
    <x v="1"/>
    <x v="3"/>
    <x v="15"/>
    <s v="Jonah Wright"/>
    <n v="5"/>
    <n v="99.85"/>
    <n v="0"/>
    <n v="499.25"/>
    <m/>
    <m/>
    <x v="0"/>
  </r>
  <r>
    <s v="K7-10316"/>
    <x v="79"/>
    <x v="7"/>
    <x v="2"/>
    <x v="0"/>
    <x v="1"/>
    <x v="5"/>
    <x v="9"/>
    <s v="Marcus Reed"/>
    <n v="7"/>
    <n v="88.21"/>
    <n v="0.05"/>
    <n v="586.6"/>
    <m/>
    <m/>
    <x v="11"/>
  </r>
  <r>
    <s v="K7-10317"/>
    <x v="204"/>
    <x v="28"/>
    <x v="0"/>
    <x v="3"/>
    <x v="0"/>
    <x v="1"/>
    <x v="8"/>
    <s v="Marcus Reed"/>
    <n v="6"/>
    <n v="254.34"/>
    <n v="0.2"/>
    <n v="1220.83"/>
    <m/>
    <m/>
    <x v="7"/>
  </r>
  <r>
    <s v="K7-10318"/>
    <x v="20"/>
    <x v="20"/>
    <x v="3"/>
    <x v="0"/>
    <x v="0"/>
    <x v="3"/>
    <x v="10"/>
    <s v="Elena Vargas"/>
    <n v="1"/>
    <n v="120.06"/>
    <n v="0"/>
    <n v="120.06"/>
    <m/>
    <m/>
    <x v="5"/>
  </r>
  <r>
    <s v="K7-10319"/>
    <x v="8"/>
    <x v="1"/>
    <x v="1"/>
    <x v="0"/>
    <x v="0"/>
    <x v="1"/>
    <x v="1"/>
    <s v="Ava Brooks"/>
    <n v="5"/>
    <n v="124.77"/>
    <n v="0"/>
    <n v="623.85"/>
    <m/>
    <m/>
    <x v="6"/>
  </r>
  <r>
    <s v="K7-10320"/>
    <x v="193"/>
    <x v="3"/>
    <x v="0"/>
    <x v="1"/>
    <x v="0"/>
    <x v="0"/>
    <x v="0"/>
    <s v="Marcus Reed"/>
    <n v="1"/>
    <n v="58.12"/>
    <n v="0.1"/>
    <n v="52.31"/>
    <m/>
    <m/>
    <x v="9"/>
  </r>
  <r>
    <s v="K7-10321"/>
    <x v="178"/>
    <x v="7"/>
    <x v="2"/>
    <x v="1"/>
    <x v="1"/>
    <x v="3"/>
    <x v="15"/>
    <s v="Marcus Reed"/>
    <n v="3"/>
    <n v="92.09"/>
    <n v="0"/>
    <n v="276.27"/>
    <m/>
    <m/>
    <x v="2"/>
  </r>
  <r>
    <s v="K7-10322"/>
    <x v="205"/>
    <x v="27"/>
    <x v="2"/>
    <x v="0"/>
    <x v="0"/>
    <x v="5"/>
    <x v="7"/>
    <s v="Dylan Foster"/>
    <n v="3"/>
    <n v="155.21"/>
    <n v="0"/>
    <n v="465.63"/>
    <m/>
    <m/>
    <x v="2"/>
  </r>
  <r>
    <s v="K7-10323"/>
    <x v="146"/>
    <x v="11"/>
    <x v="3"/>
    <x v="3"/>
    <x v="1"/>
    <x v="0"/>
    <x v="18"/>
    <s v="Marcus Reed"/>
    <n v="3"/>
    <n v="31.34"/>
    <n v="0"/>
    <n v="94.02"/>
    <m/>
    <m/>
    <x v="6"/>
  </r>
  <r>
    <s v="K7-10324"/>
    <x v="162"/>
    <x v="5"/>
    <x v="0"/>
    <x v="1"/>
    <x v="0"/>
    <x v="4"/>
    <x v="11"/>
    <s v="Grace Okafor"/>
    <n v="1"/>
    <n v="89.17"/>
    <n v="0"/>
    <n v="89.17"/>
    <m/>
    <m/>
    <x v="10"/>
  </r>
  <r>
    <s v="K7-10325"/>
    <x v="8"/>
    <x v="23"/>
    <x v="0"/>
    <x v="1"/>
    <x v="0"/>
    <x v="4"/>
    <x v="11"/>
    <s v="Dylan Foster"/>
    <n v="5"/>
    <n v="79.709999999999994"/>
    <n v="0"/>
    <n v="398.55"/>
    <m/>
    <m/>
    <x v="6"/>
  </r>
  <r>
    <s v="K7-10326"/>
    <x v="147"/>
    <x v="2"/>
    <x v="2"/>
    <x v="0"/>
    <x v="1"/>
    <x v="2"/>
    <x v="2"/>
    <s v="Priya Nair"/>
    <n v="4"/>
    <n v="24.17"/>
    <n v="0"/>
    <n v="96.68"/>
    <m/>
    <m/>
    <x v="4"/>
  </r>
  <r>
    <s v="K7-10327"/>
    <x v="162"/>
    <x v="12"/>
    <x v="3"/>
    <x v="0"/>
    <x v="0"/>
    <x v="3"/>
    <x v="15"/>
    <s v="Elena Vargas"/>
    <n v="5"/>
    <n v="92.92"/>
    <n v="0"/>
    <n v="464.6"/>
    <m/>
    <m/>
    <x v="10"/>
  </r>
  <r>
    <s v="K7-10328"/>
    <x v="206"/>
    <x v="15"/>
    <x v="1"/>
    <x v="3"/>
    <x v="0"/>
    <x v="0"/>
    <x v="21"/>
    <s v="Jonah Wright"/>
    <n v="13"/>
    <n v="45.11"/>
    <n v="0.1"/>
    <n v="527.79"/>
    <m/>
    <m/>
    <x v="0"/>
  </r>
  <r>
    <s v="K7-10329"/>
    <x v="207"/>
    <x v="22"/>
    <x v="0"/>
    <x v="3"/>
    <x v="1"/>
    <x v="5"/>
    <x v="17"/>
    <s v="Noor Haddad"/>
    <n v="4"/>
    <n v="230.34"/>
    <n v="0.15"/>
    <n v="783.16"/>
    <m/>
    <m/>
    <x v="1"/>
  </r>
  <r>
    <s v="K7-10330"/>
    <x v="88"/>
    <x v="0"/>
    <x v="0"/>
    <x v="0"/>
    <x v="1"/>
    <x v="5"/>
    <x v="17"/>
    <s v="Grace Okafor"/>
    <n v="16"/>
    <n v="230.46"/>
    <n v="0"/>
    <n v="3687.36"/>
    <m/>
    <m/>
    <x v="6"/>
  </r>
  <r>
    <s v="K7-10331"/>
    <x v="208"/>
    <x v="2"/>
    <x v="2"/>
    <x v="0"/>
    <x v="0"/>
    <x v="2"/>
    <x v="2"/>
    <s v="Elena Vargas"/>
    <n v="5"/>
    <n v="24.52"/>
    <n v="0.05"/>
    <n v="116.47"/>
    <m/>
    <m/>
    <x v="9"/>
  </r>
  <r>
    <s v="K7-10332"/>
    <x v="145"/>
    <x v="25"/>
    <x v="3"/>
    <x v="0"/>
    <x v="1"/>
    <x v="0"/>
    <x v="0"/>
    <s v="Ava Brooks"/>
    <n v="1"/>
    <n v="51.1"/>
    <n v="0.15"/>
    <n v="43.44"/>
    <m/>
    <m/>
    <x v="3"/>
  </r>
  <r>
    <s v="K7-10333"/>
    <x v="209"/>
    <x v="5"/>
    <x v="0"/>
    <x v="3"/>
    <x v="0"/>
    <x v="0"/>
    <x v="0"/>
    <s v="Grace Okafor"/>
    <n v="6"/>
    <n v="58.07"/>
    <n v="0.05"/>
    <n v="331"/>
    <m/>
    <m/>
    <x v="0"/>
  </r>
  <r>
    <s v="K7-10334"/>
    <x v="14"/>
    <x v="5"/>
    <x v="0"/>
    <x v="1"/>
    <x v="1"/>
    <x v="3"/>
    <x v="10"/>
    <s v="Jonah Wright"/>
    <n v="2"/>
    <n v="108.95"/>
    <n v="0.1"/>
    <n v="196.11"/>
    <m/>
    <m/>
    <x v="5"/>
  </r>
  <r>
    <s v="K7-10335"/>
    <x v="192"/>
    <x v="5"/>
    <x v="0"/>
    <x v="1"/>
    <x v="0"/>
    <x v="5"/>
    <x v="17"/>
    <s v="Jonah Wright"/>
    <n v="1"/>
    <n v="217.13"/>
    <n v="0"/>
    <n v="217.13"/>
    <m/>
    <m/>
    <x v="9"/>
  </r>
  <r>
    <s v="K7-10336"/>
    <x v="86"/>
    <x v="20"/>
    <x v="3"/>
    <x v="0"/>
    <x v="0"/>
    <x v="1"/>
    <x v="8"/>
    <s v="Dylan Foster"/>
    <n v="5"/>
    <n v="228.09"/>
    <n v="0.15"/>
    <n v="969.38"/>
    <m/>
    <m/>
    <x v="0"/>
  </r>
  <r>
    <s v="K7-10337"/>
    <x v="93"/>
    <x v="24"/>
    <x v="2"/>
    <x v="3"/>
    <x v="0"/>
    <x v="2"/>
    <x v="16"/>
    <s v="Noor Haddad"/>
    <n v="2"/>
    <n v="66.56"/>
    <n v="0.1"/>
    <n v="119.81"/>
    <m/>
    <m/>
    <x v="2"/>
  </r>
  <r>
    <s v="K7-10338"/>
    <x v="159"/>
    <x v="23"/>
    <x v="0"/>
    <x v="1"/>
    <x v="1"/>
    <x v="1"/>
    <x v="12"/>
    <s v="Marcus Reed"/>
    <n v="2"/>
    <n v="316.82"/>
    <n v="0"/>
    <n v="633.64"/>
    <m/>
    <m/>
    <x v="10"/>
  </r>
  <r>
    <s v="K7-10339"/>
    <x v="83"/>
    <x v="4"/>
    <x v="3"/>
    <x v="0"/>
    <x v="0"/>
    <x v="4"/>
    <x v="11"/>
    <s v="Dylan Foster"/>
    <n v="5"/>
    <n v="85.91"/>
    <n v="0"/>
    <n v="429.55"/>
    <m/>
    <m/>
    <x v="9"/>
  </r>
  <r>
    <s v="K7-10340"/>
    <x v="9"/>
    <x v="5"/>
    <x v="0"/>
    <x v="3"/>
    <x v="0"/>
    <x v="4"/>
    <x v="11"/>
    <s v="Ava Brooks"/>
    <n v="2"/>
    <n v="90.63"/>
    <n v="0"/>
    <n v="181.26"/>
    <m/>
    <m/>
    <x v="7"/>
  </r>
  <r>
    <s v="K7-10341"/>
    <x v="102"/>
    <x v="18"/>
    <x v="3"/>
    <x v="1"/>
    <x v="1"/>
    <x v="3"/>
    <x v="10"/>
    <s v="Priya Nair"/>
    <n v="2"/>
    <n v="112.89"/>
    <n v="0.1"/>
    <n v="203.2"/>
    <m/>
    <m/>
    <x v="6"/>
  </r>
  <r>
    <s v="K7-10342"/>
    <x v="210"/>
    <x v="0"/>
    <x v="0"/>
    <x v="2"/>
    <x v="0"/>
    <x v="4"/>
    <x v="11"/>
    <s v="Priya Nair"/>
    <n v="2"/>
    <n v="84.14"/>
    <n v="0.05"/>
    <n v="159.87"/>
    <m/>
    <m/>
    <x v="0"/>
  </r>
  <r>
    <s v="K7-10343"/>
    <x v="211"/>
    <x v="3"/>
    <x v="0"/>
    <x v="3"/>
    <x v="0"/>
    <x v="5"/>
    <x v="7"/>
    <s v="Elena Vargas"/>
    <n v="11"/>
    <n v="170.44"/>
    <n v="0"/>
    <n v="1874.84"/>
    <m/>
    <m/>
    <x v="3"/>
  </r>
  <r>
    <s v="K7-10344"/>
    <x v="212"/>
    <x v="11"/>
    <x v="3"/>
    <x v="2"/>
    <x v="0"/>
    <x v="3"/>
    <x v="15"/>
    <s v="Ava Brooks"/>
    <n v="2"/>
    <n v="97.53"/>
    <n v="0"/>
    <n v="195.06"/>
    <m/>
    <m/>
    <x v="10"/>
  </r>
  <r>
    <s v="K7-10345"/>
    <x v="31"/>
    <x v="25"/>
    <x v="3"/>
    <x v="0"/>
    <x v="0"/>
    <x v="5"/>
    <x v="9"/>
    <s v="Marcus Reed"/>
    <n v="5"/>
    <n v="94.19"/>
    <n v="0.2"/>
    <n v="376.76"/>
    <m/>
    <m/>
    <x v="1"/>
  </r>
  <r>
    <s v="K7-10346"/>
    <x v="213"/>
    <x v="1"/>
    <x v="1"/>
    <x v="2"/>
    <x v="0"/>
    <x v="2"/>
    <x v="19"/>
    <s v="Priya Nair"/>
    <n v="2"/>
    <n v="45.47"/>
    <n v="0.2"/>
    <n v="72.75"/>
    <m/>
    <m/>
    <x v="10"/>
  </r>
  <r>
    <s v="K7-10347"/>
    <x v="54"/>
    <x v="8"/>
    <x v="1"/>
    <x v="2"/>
    <x v="0"/>
    <x v="0"/>
    <x v="20"/>
    <s v="Ava Brooks"/>
    <n v="3"/>
    <n v="63.69"/>
    <n v="0"/>
    <n v="191.07"/>
    <m/>
    <m/>
    <x v="1"/>
  </r>
  <r>
    <s v="K7-10348"/>
    <x v="31"/>
    <x v="28"/>
    <x v="0"/>
    <x v="0"/>
    <x v="1"/>
    <x v="3"/>
    <x v="15"/>
    <s v="Jonah Wright"/>
    <n v="3"/>
    <n v="96.79"/>
    <n v="0.05"/>
    <n v="275.85000000000002"/>
    <m/>
    <m/>
    <x v="1"/>
  </r>
  <r>
    <s v="K7-10349"/>
    <x v="83"/>
    <x v="22"/>
    <x v="0"/>
    <x v="2"/>
    <x v="1"/>
    <x v="3"/>
    <x v="15"/>
    <s v="Marcus Reed"/>
    <n v="1"/>
    <n v="90.51"/>
    <n v="0"/>
    <n v="90.51"/>
    <m/>
    <m/>
    <x v="9"/>
  </r>
  <r>
    <s v="K7-10350"/>
    <x v="145"/>
    <x v="7"/>
    <x v="2"/>
    <x v="0"/>
    <x v="0"/>
    <x v="0"/>
    <x v="0"/>
    <s v="Elena Vargas"/>
    <n v="11"/>
    <n v="51.92"/>
    <n v="0"/>
    <n v="571.12"/>
    <m/>
    <m/>
    <x v="3"/>
  </r>
  <r>
    <s v="K7-10351"/>
    <x v="51"/>
    <x v="28"/>
    <x v="0"/>
    <x v="0"/>
    <x v="0"/>
    <x v="4"/>
    <x v="6"/>
    <s v="Jonah Wright"/>
    <n v="6"/>
    <n v="57.2"/>
    <n v="0"/>
    <n v="343.2"/>
    <m/>
    <m/>
    <x v="3"/>
  </r>
  <r>
    <s v="K7-10352"/>
    <x v="210"/>
    <x v="16"/>
    <x v="0"/>
    <x v="0"/>
    <x v="0"/>
    <x v="0"/>
    <x v="0"/>
    <s v="Elena Vargas"/>
    <n v="2"/>
    <n v="49.78"/>
    <n v="0"/>
    <n v="99.56"/>
    <m/>
    <m/>
    <x v="0"/>
  </r>
  <r>
    <s v="K7-10353"/>
    <x v="214"/>
    <x v="29"/>
    <x v="1"/>
    <x v="3"/>
    <x v="0"/>
    <x v="3"/>
    <x v="15"/>
    <s v="Marcus Reed"/>
    <n v="2"/>
    <n v="98.27"/>
    <n v="0.15"/>
    <n v="167.06"/>
    <m/>
    <m/>
    <x v="11"/>
  </r>
  <r>
    <s v="K7-10354"/>
    <x v="3"/>
    <x v="17"/>
    <x v="0"/>
    <x v="1"/>
    <x v="1"/>
    <x v="0"/>
    <x v="0"/>
    <s v="Marcus Reed"/>
    <n v="1"/>
    <n v="52.24"/>
    <n v="0"/>
    <n v="52.24"/>
    <m/>
    <m/>
    <x v="1"/>
  </r>
  <r>
    <s v="K7-10355"/>
    <x v="116"/>
    <x v="0"/>
    <x v="0"/>
    <x v="1"/>
    <x v="0"/>
    <x v="0"/>
    <x v="18"/>
    <s v="Noor Haddad"/>
    <n v="1"/>
    <n v="29.85"/>
    <n v="0.3"/>
    <n v="20.89"/>
    <m/>
    <m/>
    <x v="9"/>
  </r>
  <r>
    <s v="K7-10356"/>
    <x v="29"/>
    <x v="29"/>
    <x v="1"/>
    <x v="2"/>
    <x v="0"/>
    <x v="0"/>
    <x v="20"/>
    <s v="Jonah Wright"/>
    <n v="2"/>
    <n v="72.739999999999995"/>
    <n v="0"/>
    <n v="145.47999999999999"/>
    <m/>
    <m/>
    <x v="11"/>
  </r>
  <r>
    <s v="K7-10357"/>
    <x v="215"/>
    <x v="5"/>
    <x v="0"/>
    <x v="1"/>
    <x v="0"/>
    <x v="3"/>
    <x v="10"/>
    <s v="Grace Okafor"/>
    <n v="2"/>
    <n v="114.69"/>
    <n v="0.15"/>
    <n v="194.97"/>
    <m/>
    <m/>
    <x v="3"/>
  </r>
  <r>
    <s v="K7-10358"/>
    <x v="2"/>
    <x v="13"/>
    <x v="0"/>
    <x v="0"/>
    <x v="0"/>
    <x v="5"/>
    <x v="7"/>
    <s v="Elena Vargas"/>
    <n v="3"/>
    <n v="159.11000000000001"/>
    <n v="0"/>
    <n v="477.33"/>
    <m/>
    <m/>
    <x v="0"/>
  </r>
  <r>
    <s v="K7-10359"/>
    <x v="216"/>
    <x v="0"/>
    <x v="0"/>
    <x v="0"/>
    <x v="0"/>
    <x v="2"/>
    <x v="5"/>
    <s v="Jonah Wright"/>
    <n v="1"/>
    <n v="40.799999999999997"/>
    <n v="0"/>
    <n v="40.799999999999997"/>
    <m/>
    <m/>
    <x v="7"/>
  </r>
  <r>
    <s v="K7-10360"/>
    <x v="1"/>
    <x v="8"/>
    <x v="1"/>
    <x v="0"/>
    <x v="0"/>
    <x v="0"/>
    <x v="20"/>
    <s v="Elena Vargas"/>
    <n v="6"/>
    <n v="67.88"/>
    <n v="0"/>
    <n v="407.28"/>
    <m/>
    <m/>
    <x v="1"/>
  </r>
  <r>
    <s v="K7-10361"/>
    <x v="143"/>
    <x v="9"/>
    <x v="2"/>
    <x v="0"/>
    <x v="1"/>
    <x v="0"/>
    <x v="20"/>
    <s v="Elena Vargas"/>
    <n v="3"/>
    <n v="63.04"/>
    <n v="0"/>
    <n v="189.12"/>
    <m/>
    <m/>
    <x v="10"/>
  </r>
  <r>
    <s v="K7-10362"/>
    <x v="171"/>
    <x v="6"/>
    <x v="2"/>
    <x v="0"/>
    <x v="0"/>
    <x v="5"/>
    <x v="9"/>
    <s v="Priya Nair"/>
    <n v="2"/>
    <n v="95.28"/>
    <n v="0.05"/>
    <n v="181.03"/>
    <m/>
    <m/>
    <x v="9"/>
  </r>
  <r>
    <s v="K7-10363"/>
    <x v="217"/>
    <x v="24"/>
    <x v="2"/>
    <x v="1"/>
    <x v="0"/>
    <x v="4"/>
    <x v="11"/>
    <s v="Grace Okafor"/>
    <n v="1"/>
    <n v="89.37"/>
    <n v="0"/>
    <n v="89.37"/>
    <m/>
    <m/>
    <x v="10"/>
  </r>
  <r>
    <s v="K7-10364"/>
    <x v="218"/>
    <x v="9"/>
    <x v="2"/>
    <x v="1"/>
    <x v="1"/>
    <x v="4"/>
    <x v="14"/>
    <s v="Marcus Reed"/>
    <n v="8"/>
    <n v="74.37"/>
    <n v="0"/>
    <n v="594.96"/>
    <m/>
    <m/>
    <x v="4"/>
  </r>
  <r>
    <s v="K7-10365"/>
    <x v="6"/>
    <x v="15"/>
    <x v="1"/>
    <x v="3"/>
    <x v="1"/>
    <x v="2"/>
    <x v="19"/>
    <s v="Ava Brooks"/>
    <n v="3"/>
    <n v="45.14"/>
    <n v="0"/>
    <n v="135.41999999999999"/>
    <m/>
    <m/>
    <x v="4"/>
  </r>
  <r>
    <s v="K7-10366"/>
    <x v="219"/>
    <x v="0"/>
    <x v="0"/>
    <x v="2"/>
    <x v="0"/>
    <x v="5"/>
    <x v="7"/>
    <s v="Dylan Foster"/>
    <n v="1"/>
    <n v="165.37"/>
    <n v="0.15"/>
    <n v="140.56"/>
    <m/>
    <m/>
    <x v="11"/>
  </r>
  <r>
    <s v="K7-10367"/>
    <x v="220"/>
    <x v="10"/>
    <x v="3"/>
    <x v="1"/>
    <x v="0"/>
    <x v="3"/>
    <x v="10"/>
    <s v="Marcus Reed"/>
    <n v="3"/>
    <n v="112.52"/>
    <n v="0"/>
    <n v="337.56"/>
    <m/>
    <m/>
    <x v="4"/>
  </r>
  <r>
    <s v="K7-10368"/>
    <x v="5"/>
    <x v="19"/>
    <x v="1"/>
    <x v="2"/>
    <x v="1"/>
    <x v="0"/>
    <x v="20"/>
    <s v="Dylan Foster"/>
    <n v="1"/>
    <n v="69.459999999999994"/>
    <n v="0.1"/>
    <n v="62.51"/>
    <m/>
    <m/>
    <x v="3"/>
  </r>
  <r>
    <s v="K7-10369"/>
    <x v="90"/>
    <x v="16"/>
    <x v="0"/>
    <x v="0"/>
    <x v="1"/>
    <x v="2"/>
    <x v="16"/>
    <s v="Grace Okafor"/>
    <n v="2"/>
    <n v="61.64"/>
    <n v="0.05"/>
    <n v="117.12"/>
    <m/>
    <m/>
    <x v="3"/>
  </r>
  <r>
    <s v="K7-10370"/>
    <x v="221"/>
    <x v="17"/>
    <x v="0"/>
    <x v="0"/>
    <x v="0"/>
    <x v="0"/>
    <x v="20"/>
    <s v="Elena Vargas"/>
    <n v="1"/>
    <n v="65.400000000000006"/>
    <n v="0.1"/>
    <n v="58.86"/>
    <m/>
    <m/>
    <x v="6"/>
  </r>
  <r>
    <s v="K7-10371"/>
    <x v="22"/>
    <x v="1"/>
    <x v="1"/>
    <x v="0"/>
    <x v="1"/>
    <x v="4"/>
    <x v="13"/>
    <s v="Dylan Foster"/>
    <n v="2"/>
    <n v="89.66"/>
    <n v="0.05"/>
    <n v="170.35"/>
    <m/>
    <m/>
    <x v="3"/>
  </r>
  <r>
    <s v="K7-10372"/>
    <x v="43"/>
    <x v="0"/>
    <x v="0"/>
    <x v="0"/>
    <x v="0"/>
    <x v="2"/>
    <x v="5"/>
    <s v="Ava Brooks"/>
    <n v="4"/>
    <n v="35.78"/>
    <n v="0"/>
    <n v="143.12"/>
    <m/>
    <m/>
    <x v="5"/>
  </r>
  <r>
    <s v="K7-10373"/>
    <x v="222"/>
    <x v="1"/>
    <x v="1"/>
    <x v="0"/>
    <x v="1"/>
    <x v="2"/>
    <x v="19"/>
    <s v="Ava Brooks"/>
    <n v="5"/>
    <n v="47.27"/>
    <n v="0.05"/>
    <n v="224.53"/>
    <m/>
    <m/>
    <x v="5"/>
  </r>
  <r>
    <s v="K7-10374"/>
    <x v="223"/>
    <x v="11"/>
    <x v="3"/>
    <x v="2"/>
    <x v="1"/>
    <x v="5"/>
    <x v="9"/>
    <s v="Elena Vargas"/>
    <n v="6"/>
    <n v="86.66"/>
    <n v="0"/>
    <n v="519.96"/>
    <m/>
    <m/>
    <x v="1"/>
  </r>
  <r>
    <s v="K7-10375"/>
    <x v="80"/>
    <x v="4"/>
    <x v="3"/>
    <x v="3"/>
    <x v="1"/>
    <x v="5"/>
    <x v="17"/>
    <s v="Marcus Reed"/>
    <n v="10"/>
    <n v="201.28"/>
    <n v="0"/>
    <n v="2012.8"/>
    <m/>
    <m/>
    <x v="2"/>
  </r>
  <r>
    <s v="K7-10376"/>
    <x v="38"/>
    <x v="23"/>
    <x v="0"/>
    <x v="3"/>
    <x v="0"/>
    <x v="5"/>
    <x v="9"/>
    <s v="Elena Vargas"/>
    <n v="1"/>
    <n v="89.15"/>
    <n v="0.1"/>
    <n v="80.239999999999995"/>
    <m/>
    <m/>
    <x v="3"/>
  </r>
  <r>
    <s v="K7-10377"/>
    <x v="196"/>
    <x v="2"/>
    <x v="2"/>
    <x v="0"/>
    <x v="0"/>
    <x v="3"/>
    <x v="10"/>
    <s v="Grace Okafor"/>
    <n v="5"/>
    <n v="113.28"/>
    <n v="0"/>
    <n v="566.4"/>
    <m/>
    <m/>
    <x v="0"/>
  </r>
  <r>
    <s v="K7-10378"/>
    <x v="211"/>
    <x v="20"/>
    <x v="3"/>
    <x v="1"/>
    <x v="1"/>
    <x v="1"/>
    <x v="12"/>
    <s v="Priya Nair"/>
    <n v="1"/>
    <n v="305.56"/>
    <n v="0"/>
    <n v="305.56"/>
    <m/>
    <m/>
    <x v="3"/>
  </r>
  <r>
    <s v="K7-10379"/>
    <x v="224"/>
    <x v="16"/>
    <x v="0"/>
    <x v="1"/>
    <x v="1"/>
    <x v="0"/>
    <x v="0"/>
    <s v="Marcus Reed"/>
    <n v="2"/>
    <n v="52.51"/>
    <n v="0"/>
    <n v="105.02"/>
    <m/>
    <m/>
    <x v="0"/>
  </r>
  <r>
    <s v="K7-10380"/>
    <x v="225"/>
    <x v="5"/>
    <x v="0"/>
    <x v="0"/>
    <x v="0"/>
    <x v="3"/>
    <x v="15"/>
    <s v="Ava Brooks"/>
    <n v="11"/>
    <n v="105.79"/>
    <n v="0.15"/>
    <n v="989.14"/>
    <m/>
    <m/>
    <x v="7"/>
  </r>
  <r>
    <s v="K7-10381"/>
    <x v="226"/>
    <x v="1"/>
    <x v="1"/>
    <x v="0"/>
    <x v="0"/>
    <x v="1"/>
    <x v="8"/>
    <s v="Noor Haddad"/>
    <n v="6"/>
    <n v="241.52"/>
    <n v="0"/>
    <n v="1449.12"/>
    <m/>
    <m/>
    <x v="3"/>
  </r>
  <r>
    <s v="K7-10382"/>
    <x v="227"/>
    <x v="17"/>
    <x v="0"/>
    <x v="3"/>
    <x v="0"/>
    <x v="1"/>
    <x v="12"/>
    <s v="Noor Haddad"/>
    <n v="1"/>
    <n v="282.20999999999998"/>
    <n v="0.05"/>
    <n v="268.10000000000002"/>
    <m/>
    <m/>
    <x v="10"/>
  </r>
  <r>
    <s v="K7-10383"/>
    <x v="228"/>
    <x v="15"/>
    <x v="1"/>
    <x v="2"/>
    <x v="1"/>
    <x v="1"/>
    <x v="3"/>
    <s v="Grace Okafor"/>
    <n v="6"/>
    <n v="165.2"/>
    <n v="0"/>
    <n v="991.2"/>
    <m/>
    <m/>
    <x v="5"/>
  </r>
  <r>
    <s v="K7-10384"/>
    <x v="229"/>
    <x v="18"/>
    <x v="3"/>
    <x v="1"/>
    <x v="0"/>
    <x v="5"/>
    <x v="7"/>
    <s v="Elena Vargas"/>
    <n v="3"/>
    <n v="152.09"/>
    <n v="0.05"/>
    <n v="433.46"/>
    <m/>
    <m/>
    <x v="9"/>
  </r>
  <r>
    <s v="K7-10385"/>
    <x v="89"/>
    <x v="9"/>
    <x v="2"/>
    <x v="1"/>
    <x v="0"/>
    <x v="1"/>
    <x v="1"/>
    <s v="Dylan Foster"/>
    <n v="2"/>
    <n v="127.73"/>
    <n v="0.15"/>
    <n v="217.14"/>
    <m/>
    <m/>
    <x v="5"/>
  </r>
  <r>
    <s v="K7-10386"/>
    <x v="230"/>
    <x v="4"/>
    <x v="3"/>
    <x v="1"/>
    <x v="1"/>
    <x v="0"/>
    <x v="0"/>
    <s v="Ava Brooks"/>
    <n v="2"/>
    <n v="55.9"/>
    <n v="0"/>
    <n v="111.8"/>
    <m/>
    <m/>
    <x v="10"/>
  </r>
  <r>
    <s v="K7-10387"/>
    <x v="173"/>
    <x v="18"/>
    <x v="3"/>
    <x v="0"/>
    <x v="1"/>
    <x v="3"/>
    <x v="4"/>
    <s v="Ava Brooks"/>
    <n v="2"/>
    <n v="139.76"/>
    <n v="0.1"/>
    <n v="251.57"/>
    <m/>
    <m/>
    <x v="10"/>
  </r>
  <r>
    <s v="K7-10388"/>
    <x v="231"/>
    <x v="0"/>
    <x v="0"/>
    <x v="3"/>
    <x v="1"/>
    <x v="0"/>
    <x v="0"/>
    <s v="Jonah Wright"/>
    <n v="3"/>
    <n v="51.1"/>
    <n v="0.15"/>
    <n v="130.31"/>
    <m/>
    <m/>
    <x v="3"/>
  </r>
  <r>
    <s v="K7-10389"/>
    <x v="63"/>
    <x v="23"/>
    <x v="0"/>
    <x v="1"/>
    <x v="0"/>
    <x v="0"/>
    <x v="0"/>
    <s v="Dylan Foster"/>
    <n v="1"/>
    <n v="51.21"/>
    <n v="0.05"/>
    <n v="48.65"/>
    <m/>
    <m/>
    <x v="3"/>
  </r>
  <r>
    <s v="K7-10390"/>
    <x v="232"/>
    <x v="20"/>
    <x v="3"/>
    <x v="1"/>
    <x v="0"/>
    <x v="1"/>
    <x v="3"/>
    <s v="Jonah Wright"/>
    <n v="3"/>
    <n v="167.97"/>
    <n v="0"/>
    <n v="503.91"/>
    <m/>
    <m/>
    <x v="0"/>
  </r>
  <r>
    <s v="K7-10391"/>
    <x v="84"/>
    <x v="19"/>
    <x v="1"/>
    <x v="1"/>
    <x v="0"/>
    <x v="1"/>
    <x v="1"/>
    <s v="Elena Vargas"/>
    <n v="4"/>
    <n v="131.80000000000001"/>
    <n v="0.15"/>
    <n v="448.12"/>
    <m/>
    <m/>
    <x v="10"/>
  </r>
  <r>
    <s v="K7-10392"/>
    <x v="233"/>
    <x v="7"/>
    <x v="2"/>
    <x v="1"/>
    <x v="1"/>
    <x v="5"/>
    <x v="9"/>
    <s v="Noor Haddad"/>
    <n v="1"/>
    <n v="85.19"/>
    <n v="0.2"/>
    <n v="68.150000000000006"/>
    <m/>
    <m/>
    <x v="9"/>
  </r>
  <r>
    <s v="K7-10393"/>
    <x v="166"/>
    <x v="15"/>
    <x v="1"/>
    <x v="0"/>
    <x v="0"/>
    <x v="1"/>
    <x v="12"/>
    <s v="Dylan Foster"/>
    <n v="1"/>
    <n v="316.18"/>
    <n v="0"/>
    <n v="316.18"/>
    <m/>
    <m/>
    <x v="8"/>
  </r>
  <r>
    <s v="K7-10394"/>
    <x v="110"/>
    <x v="7"/>
    <x v="2"/>
    <x v="1"/>
    <x v="1"/>
    <x v="0"/>
    <x v="0"/>
    <s v="Marcus Reed"/>
    <n v="2"/>
    <n v="52.53"/>
    <n v="0"/>
    <n v="105.06"/>
    <m/>
    <m/>
    <x v="1"/>
  </r>
  <r>
    <s v="K7-10395"/>
    <x v="6"/>
    <x v="2"/>
    <x v="2"/>
    <x v="0"/>
    <x v="0"/>
    <x v="5"/>
    <x v="17"/>
    <s v="Ava Brooks"/>
    <n v="2"/>
    <n v="212.2"/>
    <n v="0.05"/>
    <n v="403.18"/>
    <m/>
    <m/>
    <x v="4"/>
  </r>
  <r>
    <s v="K7-10396"/>
    <x v="234"/>
    <x v="8"/>
    <x v="1"/>
    <x v="2"/>
    <x v="0"/>
    <x v="0"/>
    <x v="18"/>
    <s v="Elena Vargas"/>
    <n v="3"/>
    <n v="33.97"/>
    <n v="0"/>
    <n v="101.91"/>
    <m/>
    <m/>
    <x v="2"/>
  </r>
  <r>
    <s v="K7-10397"/>
    <x v="167"/>
    <x v="14"/>
    <x v="2"/>
    <x v="3"/>
    <x v="1"/>
    <x v="0"/>
    <x v="21"/>
    <s v="Priya Nair"/>
    <n v="6"/>
    <n v="47.43"/>
    <n v="0.05"/>
    <n v="270.35000000000002"/>
    <m/>
    <m/>
    <x v="6"/>
  </r>
  <r>
    <s v="K7-10398"/>
    <x v="235"/>
    <x v="9"/>
    <x v="2"/>
    <x v="0"/>
    <x v="0"/>
    <x v="1"/>
    <x v="8"/>
    <s v="Marcus Reed"/>
    <n v="1"/>
    <n v="245.79"/>
    <n v="0"/>
    <n v="245.79"/>
    <m/>
    <m/>
    <x v="11"/>
  </r>
  <r>
    <s v="K7-10399"/>
    <x v="93"/>
    <x v="15"/>
    <x v="1"/>
    <x v="1"/>
    <x v="1"/>
    <x v="4"/>
    <x v="6"/>
    <s v="Priya Nair"/>
    <n v="3"/>
    <n v="58.18"/>
    <n v="0"/>
    <n v="174.54"/>
    <m/>
    <m/>
    <x v="2"/>
  </r>
  <r>
    <s v="K7-10400"/>
    <x v="236"/>
    <x v="21"/>
    <x v="0"/>
    <x v="0"/>
    <x v="0"/>
    <x v="5"/>
    <x v="9"/>
    <s v="Noor Haddad"/>
    <n v="2"/>
    <n v="95.48"/>
    <n v="0.1"/>
    <n v="171.86"/>
    <m/>
    <m/>
    <x v="4"/>
  </r>
  <r>
    <s v="K7-10401"/>
    <x v="237"/>
    <x v="14"/>
    <x v="2"/>
    <x v="2"/>
    <x v="0"/>
    <x v="5"/>
    <x v="9"/>
    <s v="Marcus Reed"/>
    <n v="2"/>
    <n v="82.85"/>
    <n v="0"/>
    <n v="165.7"/>
    <m/>
    <m/>
    <x v="4"/>
  </r>
  <r>
    <s v="K7-10402"/>
    <x v="148"/>
    <x v="12"/>
    <x v="3"/>
    <x v="3"/>
    <x v="1"/>
    <x v="5"/>
    <x v="7"/>
    <s v="Marcus Reed"/>
    <n v="7"/>
    <n v="162.18"/>
    <n v="0"/>
    <n v="1135.26"/>
    <m/>
    <m/>
    <x v="0"/>
  </r>
  <r>
    <s v="K7-10403"/>
    <x v="32"/>
    <x v="3"/>
    <x v="0"/>
    <x v="1"/>
    <x v="0"/>
    <x v="2"/>
    <x v="5"/>
    <s v="Jonah Wright"/>
    <n v="1"/>
    <n v="35.49"/>
    <n v="0.15"/>
    <n v="30.17"/>
    <m/>
    <m/>
    <x v="9"/>
  </r>
  <r>
    <s v="K7-10404"/>
    <x v="217"/>
    <x v="23"/>
    <x v="0"/>
    <x v="1"/>
    <x v="0"/>
    <x v="5"/>
    <x v="17"/>
    <s v="Dylan Foster"/>
    <n v="1"/>
    <n v="203.33"/>
    <n v="0.05"/>
    <n v="193.16"/>
    <m/>
    <m/>
    <x v="10"/>
  </r>
  <r>
    <s v="K7-10405"/>
    <x v="238"/>
    <x v="20"/>
    <x v="3"/>
    <x v="1"/>
    <x v="0"/>
    <x v="3"/>
    <x v="15"/>
    <s v="Ava Brooks"/>
    <n v="3"/>
    <n v="95.73"/>
    <n v="0.05"/>
    <n v="272.83"/>
    <m/>
    <m/>
    <x v="3"/>
  </r>
  <r>
    <s v="K7-10406"/>
    <x v="201"/>
    <x v="22"/>
    <x v="0"/>
    <x v="0"/>
    <x v="0"/>
    <x v="5"/>
    <x v="9"/>
    <s v="Noor Haddad"/>
    <n v="4"/>
    <n v="86.96"/>
    <n v="0"/>
    <n v="347.84"/>
    <m/>
    <m/>
    <x v="6"/>
  </r>
  <r>
    <s v="K7-10407"/>
    <x v="106"/>
    <x v="0"/>
    <x v="0"/>
    <x v="0"/>
    <x v="1"/>
    <x v="1"/>
    <x v="1"/>
    <s v="Ava Brooks"/>
    <n v="3"/>
    <n v="126.1"/>
    <n v="0"/>
    <n v="378.3"/>
    <m/>
    <m/>
    <x v="10"/>
  </r>
  <r>
    <s v="K7-10408"/>
    <x v="18"/>
    <x v="1"/>
    <x v="1"/>
    <x v="2"/>
    <x v="0"/>
    <x v="0"/>
    <x v="20"/>
    <s v="Priya Nair"/>
    <n v="2"/>
    <n v="67.77"/>
    <n v="0"/>
    <n v="135.54"/>
    <m/>
    <m/>
    <x v="10"/>
  </r>
  <r>
    <s v="K7-10409"/>
    <x v="239"/>
    <x v="8"/>
    <x v="1"/>
    <x v="0"/>
    <x v="0"/>
    <x v="1"/>
    <x v="3"/>
    <s v="Dylan Foster"/>
    <n v="6"/>
    <n v="171.06"/>
    <n v="0"/>
    <n v="1026.3599999999999"/>
    <m/>
    <m/>
    <x v="2"/>
  </r>
  <r>
    <s v="K7-10410"/>
    <x v="240"/>
    <x v="26"/>
    <x v="2"/>
    <x v="0"/>
    <x v="1"/>
    <x v="3"/>
    <x v="15"/>
    <s v="Grace Okafor"/>
    <n v="1"/>
    <n v="90.46"/>
    <n v="0"/>
    <n v="90.46"/>
    <m/>
    <m/>
    <x v="10"/>
  </r>
  <r>
    <s v="K7-10411"/>
    <x v="65"/>
    <x v="16"/>
    <x v="0"/>
    <x v="0"/>
    <x v="1"/>
    <x v="2"/>
    <x v="16"/>
    <s v="Elena Vargas"/>
    <n v="2"/>
    <n v="57.51"/>
    <n v="0.1"/>
    <n v="103.52"/>
    <m/>
    <m/>
    <x v="4"/>
  </r>
  <r>
    <s v="K7-10412"/>
    <x v="241"/>
    <x v="0"/>
    <x v="0"/>
    <x v="3"/>
    <x v="1"/>
    <x v="4"/>
    <x v="14"/>
    <s v="Grace Okafor"/>
    <n v="5"/>
    <n v="78.489999999999995"/>
    <n v="0.15"/>
    <n v="333.58"/>
    <m/>
    <m/>
    <x v="4"/>
  </r>
  <r>
    <s v="K7-10413"/>
    <x v="242"/>
    <x v="20"/>
    <x v="3"/>
    <x v="3"/>
    <x v="0"/>
    <x v="4"/>
    <x v="14"/>
    <s v="Priya Nair"/>
    <n v="2"/>
    <n v="70.67"/>
    <n v="0"/>
    <n v="141.34"/>
    <m/>
    <m/>
    <x v="3"/>
  </r>
  <r>
    <s v="K7-10414"/>
    <x v="178"/>
    <x v="7"/>
    <x v="2"/>
    <x v="3"/>
    <x v="1"/>
    <x v="4"/>
    <x v="13"/>
    <s v="Noor Haddad"/>
    <n v="1"/>
    <n v="93.3"/>
    <n v="0.1"/>
    <n v="83.97"/>
    <m/>
    <m/>
    <x v="2"/>
  </r>
  <r>
    <s v="K7-10415"/>
    <x v="243"/>
    <x v="10"/>
    <x v="3"/>
    <x v="3"/>
    <x v="0"/>
    <x v="0"/>
    <x v="18"/>
    <s v="Noor Haddad"/>
    <n v="1"/>
    <n v="34.21"/>
    <n v="0"/>
    <n v="34.21"/>
    <m/>
    <m/>
    <x v="10"/>
  </r>
  <r>
    <s v="K7-10416"/>
    <x v="80"/>
    <x v="28"/>
    <x v="0"/>
    <x v="0"/>
    <x v="1"/>
    <x v="3"/>
    <x v="4"/>
    <s v="Jonah Wright"/>
    <n v="4"/>
    <n v="142.81"/>
    <n v="0"/>
    <n v="571.24"/>
    <m/>
    <m/>
    <x v="2"/>
  </r>
  <r>
    <s v="K7-10417"/>
    <x v="185"/>
    <x v="1"/>
    <x v="1"/>
    <x v="1"/>
    <x v="0"/>
    <x v="4"/>
    <x v="6"/>
    <s v="Dylan Foster"/>
    <n v="1"/>
    <n v="56.09"/>
    <n v="0.2"/>
    <n v="44.87"/>
    <m/>
    <m/>
    <x v="11"/>
  </r>
  <r>
    <s v="K7-10418"/>
    <x v="244"/>
    <x v="16"/>
    <x v="0"/>
    <x v="1"/>
    <x v="1"/>
    <x v="4"/>
    <x v="14"/>
    <s v="Priya Nair"/>
    <n v="14"/>
    <n v="80.92"/>
    <n v="0"/>
    <n v="1132.8800000000001"/>
    <m/>
    <m/>
    <x v="4"/>
  </r>
  <r>
    <s v="K7-10419"/>
    <x v="245"/>
    <x v="7"/>
    <x v="2"/>
    <x v="1"/>
    <x v="1"/>
    <x v="0"/>
    <x v="20"/>
    <s v="Noor Haddad"/>
    <n v="4"/>
    <n v="71.87"/>
    <n v="0"/>
    <n v="287.48"/>
    <m/>
    <m/>
    <x v="1"/>
  </r>
  <r>
    <s v="K7-10420"/>
    <x v="94"/>
    <x v="0"/>
    <x v="0"/>
    <x v="0"/>
    <x v="0"/>
    <x v="5"/>
    <x v="17"/>
    <s v="Elena Vargas"/>
    <n v="2"/>
    <n v="232.09"/>
    <n v="0"/>
    <n v="464.18"/>
    <m/>
    <m/>
    <x v="6"/>
  </r>
  <r>
    <s v="K7-10421"/>
    <x v="107"/>
    <x v="5"/>
    <x v="0"/>
    <x v="3"/>
    <x v="0"/>
    <x v="3"/>
    <x v="15"/>
    <s v="Ava Brooks"/>
    <n v="2"/>
    <n v="103.55"/>
    <n v="0.2"/>
    <n v="165.68"/>
    <m/>
    <m/>
    <x v="8"/>
  </r>
  <r>
    <s v="K7-10422"/>
    <x v="46"/>
    <x v="21"/>
    <x v="0"/>
    <x v="1"/>
    <x v="0"/>
    <x v="5"/>
    <x v="7"/>
    <s v="Dylan Foster"/>
    <n v="3"/>
    <n v="155.05000000000001"/>
    <n v="0"/>
    <n v="465.15"/>
    <m/>
    <m/>
    <x v="4"/>
  </r>
  <r>
    <s v="K7-10423"/>
    <x v="246"/>
    <x v="26"/>
    <x v="2"/>
    <x v="0"/>
    <x v="0"/>
    <x v="3"/>
    <x v="4"/>
    <s v="Dylan Foster"/>
    <n v="1"/>
    <n v="135.55000000000001"/>
    <n v="0.15"/>
    <n v="115.22"/>
    <m/>
    <m/>
    <x v="1"/>
  </r>
  <r>
    <s v="K7-10424"/>
    <x v="95"/>
    <x v="21"/>
    <x v="0"/>
    <x v="3"/>
    <x v="1"/>
    <x v="5"/>
    <x v="7"/>
    <s v="Dylan Foster"/>
    <n v="1"/>
    <n v="170.13"/>
    <n v="0.05"/>
    <n v="161.62"/>
    <m/>
    <m/>
    <x v="3"/>
  </r>
  <r>
    <s v="K7-10425"/>
    <x v="2"/>
    <x v="0"/>
    <x v="0"/>
    <x v="0"/>
    <x v="0"/>
    <x v="5"/>
    <x v="9"/>
    <s v="Ava Brooks"/>
    <n v="1"/>
    <n v="83.6"/>
    <n v="0.1"/>
    <n v="75.239999999999995"/>
    <m/>
    <m/>
    <x v="0"/>
  </r>
  <r>
    <s v="K7-10426"/>
    <x v="247"/>
    <x v="1"/>
    <x v="1"/>
    <x v="0"/>
    <x v="1"/>
    <x v="1"/>
    <x v="1"/>
    <s v="Noor Haddad"/>
    <n v="3"/>
    <n v="120.28"/>
    <n v="0"/>
    <n v="360.84"/>
    <m/>
    <m/>
    <x v="2"/>
  </r>
  <r>
    <s v="K7-10427"/>
    <x v="46"/>
    <x v="2"/>
    <x v="2"/>
    <x v="0"/>
    <x v="0"/>
    <x v="1"/>
    <x v="3"/>
    <s v="Elena Vargas"/>
    <n v="1"/>
    <n v="155.41999999999999"/>
    <n v="0"/>
    <n v="155.41999999999999"/>
    <m/>
    <m/>
    <x v="4"/>
  </r>
  <r>
    <s v="K7-10428"/>
    <x v="59"/>
    <x v="19"/>
    <x v="1"/>
    <x v="1"/>
    <x v="0"/>
    <x v="0"/>
    <x v="20"/>
    <s v="Noor Haddad"/>
    <n v="1"/>
    <n v="67.94"/>
    <n v="0"/>
    <n v="67.94"/>
    <m/>
    <m/>
    <x v="11"/>
  </r>
  <r>
    <s v="K7-10429"/>
    <x v="53"/>
    <x v="5"/>
    <x v="0"/>
    <x v="0"/>
    <x v="0"/>
    <x v="4"/>
    <x v="11"/>
    <s v="Ava Brooks"/>
    <n v="2"/>
    <n v="86.45"/>
    <n v="0"/>
    <n v="172.9"/>
    <m/>
    <m/>
    <x v="0"/>
  </r>
  <r>
    <s v="K7-10430"/>
    <x v="248"/>
    <x v="0"/>
    <x v="0"/>
    <x v="1"/>
    <x v="0"/>
    <x v="5"/>
    <x v="17"/>
    <s v="Elena Vargas"/>
    <n v="10"/>
    <n v="215.2"/>
    <n v="0"/>
    <n v="2152"/>
    <m/>
    <m/>
    <x v="1"/>
  </r>
  <r>
    <s v="K7-10431"/>
    <x v="249"/>
    <x v="20"/>
    <x v="3"/>
    <x v="0"/>
    <x v="1"/>
    <x v="0"/>
    <x v="21"/>
    <s v="Noor Haddad"/>
    <n v="4"/>
    <n v="46.39"/>
    <n v="0"/>
    <n v="185.56"/>
    <m/>
    <m/>
    <x v="7"/>
  </r>
  <r>
    <s v="K7-10432"/>
    <x v="94"/>
    <x v="0"/>
    <x v="0"/>
    <x v="0"/>
    <x v="0"/>
    <x v="3"/>
    <x v="10"/>
    <s v="Marcus Reed"/>
    <n v="6"/>
    <n v="113.13"/>
    <n v="0"/>
    <n v="678.78"/>
    <m/>
    <m/>
    <x v="6"/>
  </r>
  <r>
    <s v="K7-10433"/>
    <x v="221"/>
    <x v="1"/>
    <x v="1"/>
    <x v="0"/>
    <x v="1"/>
    <x v="0"/>
    <x v="18"/>
    <s v="Ava Brooks"/>
    <n v="3"/>
    <n v="30.54"/>
    <n v="0.15"/>
    <n v="77.88"/>
    <m/>
    <m/>
    <x v="6"/>
  </r>
  <r>
    <s v="K7-10434"/>
    <x v="86"/>
    <x v="1"/>
    <x v="1"/>
    <x v="1"/>
    <x v="0"/>
    <x v="2"/>
    <x v="2"/>
    <s v="Noor Haddad"/>
    <n v="2"/>
    <n v="26.15"/>
    <n v="0"/>
    <n v="52.3"/>
    <m/>
    <m/>
    <x v="0"/>
  </r>
  <r>
    <s v="K7-10435"/>
    <x v="185"/>
    <x v="0"/>
    <x v="0"/>
    <x v="3"/>
    <x v="0"/>
    <x v="0"/>
    <x v="21"/>
    <s v="Elena Vargas"/>
    <n v="7"/>
    <n v="48.92"/>
    <n v="0"/>
    <n v="342.44"/>
    <m/>
    <m/>
    <x v="11"/>
  </r>
  <r>
    <s v="K7-10436"/>
    <x v="250"/>
    <x v="0"/>
    <x v="0"/>
    <x v="0"/>
    <x v="0"/>
    <x v="3"/>
    <x v="4"/>
    <s v="Ava Brooks"/>
    <n v="1"/>
    <n v="139.21"/>
    <n v="0.05"/>
    <n v="132.25"/>
    <m/>
    <m/>
    <x v="11"/>
  </r>
  <r>
    <s v="K7-10437"/>
    <x v="93"/>
    <x v="3"/>
    <x v="0"/>
    <x v="0"/>
    <x v="0"/>
    <x v="5"/>
    <x v="9"/>
    <s v="Ava Brooks"/>
    <n v="2"/>
    <n v="82.68"/>
    <n v="0"/>
    <n v="165.36"/>
    <m/>
    <m/>
    <x v="2"/>
  </r>
  <r>
    <s v="K7-10438"/>
    <x v="33"/>
    <x v="25"/>
    <x v="3"/>
    <x v="0"/>
    <x v="1"/>
    <x v="1"/>
    <x v="1"/>
    <s v="Elena Vargas"/>
    <n v="1"/>
    <n v="122.97"/>
    <n v="0.15"/>
    <n v="104.52"/>
    <m/>
    <m/>
    <x v="9"/>
  </r>
  <r>
    <s v="K7-10439"/>
    <x v="130"/>
    <x v="1"/>
    <x v="1"/>
    <x v="1"/>
    <x v="1"/>
    <x v="1"/>
    <x v="1"/>
    <s v="Elena Vargas"/>
    <n v="3"/>
    <n v="123.35"/>
    <n v="0"/>
    <n v="370.05"/>
    <m/>
    <m/>
    <x v="9"/>
  </r>
  <r>
    <s v="K7-10440"/>
    <x v="194"/>
    <x v="7"/>
    <x v="2"/>
    <x v="1"/>
    <x v="0"/>
    <x v="1"/>
    <x v="3"/>
    <s v="Elena Vargas"/>
    <n v="1"/>
    <n v="165.12"/>
    <n v="0"/>
    <n v="165.12"/>
    <m/>
    <m/>
    <x v="11"/>
  </r>
  <r>
    <s v="K7-10441"/>
    <x v="251"/>
    <x v="11"/>
    <x v="3"/>
    <x v="0"/>
    <x v="0"/>
    <x v="1"/>
    <x v="12"/>
    <s v="Ava Brooks"/>
    <n v="5"/>
    <n v="281.23"/>
    <n v="0"/>
    <n v="1406.15"/>
    <m/>
    <m/>
    <x v="1"/>
  </r>
  <r>
    <s v="K7-10442"/>
    <x v="1"/>
    <x v="13"/>
    <x v="0"/>
    <x v="2"/>
    <x v="0"/>
    <x v="5"/>
    <x v="9"/>
    <s v="Ava Brooks"/>
    <n v="8"/>
    <n v="83.3"/>
    <n v="0"/>
    <n v="666.4"/>
    <m/>
    <m/>
    <x v="1"/>
  </r>
  <r>
    <s v="K7-10443"/>
    <x v="53"/>
    <x v="7"/>
    <x v="2"/>
    <x v="2"/>
    <x v="1"/>
    <x v="4"/>
    <x v="13"/>
    <s v="Ava Brooks"/>
    <n v="7"/>
    <n v="97.08"/>
    <n v="0"/>
    <n v="679.56"/>
    <m/>
    <m/>
    <x v="0"/>
  </r>
  <r>
    <s v="K7-10444"/>
    <x v="252"/>
    <x v="3"/>
    <x v="0"/>
    <x v="0"/>
    <x v="0"/>
    <x v="3"/>
    <x v="4"/>
    <s v="Dylan Foster"/>
    <n v="1"/>
    <n v="127.54"/>
    <n v="0"/>
    <n v="127.54"/>
    <m/>
    <m/>
    <x v="5"/>
  </r>
  <r>
    <s v="K7-10445"/>
    <x v="253"/>
    <x v="10"/>
    <x v="3"/>
    <x v="3"/>
    <x v="1"/>
    <x v="4"/>
    <x v="14"/>
    <s v="Jonah Wright"/>
    <n v="4"/>
    <n v="72.67"/>
    <n v="0"/>
    <n v="290.68"/>
    <m/>
    <m/>
    <x v="11"/>
  </r>
  <r>
    <s v="K7-10446"/>
    <x v="254"/>
    <x v="0"/>
    <x v="0"/>
    <x v="2"/>
    <x v="1"/>
    <x v="0"/>
    <x v="18"/>
    <s v="Grace Okafor"/>
    <n v="8"/>
    <n v="29.46"/>
    <n v="0"/>
    <n v="235.68"/>
    <m/>
    <m/>
    <x v="8"/>
  </r>
  <r>
    <s v="K7-10447"/>
    <x v="26"/>
    <x v="11"/>
    <x v="3"/>
    <x v="0"/>
    <x v="0"/>
    <x v="0"/>
    <x v="18"/>
    <s v="Ava Brooks"/>
    <n v="1"/>
    <n v="30.69"/>
    <n v="0"/>
    <n v="30.69"/>
    <m/>
    <m/>
    <x v="8"/>
  </r>
  <r>
    <s v="K7-10448"/>
    <x v="116"/>
    <x v="15"/>
    <x v="1"/>
    <x v="1"/>
    <x v="0"/>
    <x v="1"/>
    <x v="8"/>
    <s v="Dylan Foster"/>
    <n v="1"/>
    <n v="257.32"/>
    <n v="0"/>
    <n v="257.32"/>
    <m/>
    <m/>
    <x v="9"/>
  </r>
  <r>
    <s v="K7-10449"/>
    <x v="101"/>
    <x v="20"/>
    <x v="3"/>
    <x v="0"/>
    <x v="1"/>
    <x v="4"/>
    <x v="11"/>
    <s v="Priya Nair"/>
    <n v="4"/>
    <n v="80.5"/>
    <n v="0.05"/>
    <n v="305.89999999999998"/>
    <m/>
    <m/>
    <x v="11"/>
  </r>
  <r>
    <s v="K7-10450"/>
    <x v="95"/>
    <x v="11"/>
    <x v="3"/>
    <x v="1"/>
    <x v="0"/>
    <x v="4"/>
    <x v="11"/>
    <s v="Marcus Reed"/>
    <n v="2"/>
    <n v="78.13"/>
    <n v="0"/>
    <n v="156.26"/>
    <m/>
    <m/>
    <x v="3"/>
  </r>
  <r>
    <s v="K7-10451"/>
    <x v="50"/>
    <x v="5"/>
    <x v="0"/>
    <x v="1"/>
    <x v="1"/>
    <x v="2"/>
    <x v="16"/>
    <s v="Ava Brooks"/>
    <n v="2"/>
    <n v="61.18"/>
    <n v="0"/>
    <n v="122.36"/>
    <m/>
    <m/>
    <x v="11"/>
  </r>
  <r>
    <s v="K7-10452"/>
    <x v="77"/>
    <x v="20"/>
    <x v="3"/>
    <x v="0"/>
    <x v="1"/>
    <x v="0"/>
    <x v="21"/>
    <s v="Grace Okafor"/>
    <n v="1"/>
    <n v="44.75"/>
    <n v="0"/>
    <n v="44.75"/>
    <m/>
    <m/>
    <x v="9"/>
  </r>
  <r>
    <s v="K7-10453"/>
    <x v="255"/>
    <x v="1"/>
    <x v="1"/>
    <x v="0"/>
    <x v="1"/>
    <x v="5"/>
    <x v="7"/>
    <s v="Jonah Wright"/>
    <n v="2"/>
    <n v="152.28"/>
    <n v="0"/>
    <n v="304.56"/>
    <m/>
    <m/>
    <x v="5"/>
  </r>
  <r>
    <s v="K7-10454"/>
    <x v="105"/>
    <x v="25"/>
    <x v="3"/>
    <x v="3"/>
    <x v="0"/>
    <x v="0"/>
    <x v="21"/>
    <s v="Marcus Reed"/>
    <n v="5"/>
    <n v="43.82"/>
    <n v="0.05"/>
    <n v="208.14"/>
    <m/>
    <m/>
    <x v="11"/>
  </r>
  <r>
    <s v="K7-10455"/>
    <x v="26"/>
    <x v="23"/>
    <x v="0"/>
    <x v="3"/>
    <x v="1"/>
    <x v="1"/>
    <x v="3"/>
    <s v="Priya Nair"/>
    <n v="6"/>
    <n v="168.57"/>
    <n v="0"/>
    <n v="1011.42"/>
    <m/>
    <m/>
    <x v="8"/>
  </r>
  <r>
    <s v="K7-10456"/>
    <x v="125"/>
    <x v="17"/>
    <x v="0"/>
    <x v="0"/>
    <x v="0"/>
    <x v="5"/>
    <x v="9"/>
    <s v="Ava Brooks"/>
    <n v="6"/>
    <n v="91.11"/>
    <n v="0.15"/>
    <n v="464.66"/>
    <m/>
    <m/>
    <x v="6"/>
  </r>
  <r>
    <s v="K7-10457"/>
    <x v="256"/>
    <x v="5"/>
    <x v="0"/>
    <x v="3"/>
    <x v="0"/>
    <x v="5"/>
    <x v="9"/>
    <s v="Jonah Wright"/>
    <n v="1"/>
    <n v="89.91"/>
    <n v="0"/>
    <n v="89.91"/>
    <m/>
    <m/>
    <x v="2"/>
  </r>
  <r>
    <s v="K7-10458"/>
    <x v="229"/>
    <x v="16"/>
    <x v="0"/>
    <x v="3"/>
    <x v="1"/>
    <x v="0"/>
    <x v="21"/>
    <s v="Marcus Reed"/>
    <n v="1"/>
    <n v="43.85"/>
    <n v="0.15"/>
    <n v="37.270000000000003"/>
    <m/>
    <m/>
    <x v="9"/>
  </r>
  <r>
    <s v="K7-10459"/>
    <x v="257"/>
    <x v="2"/>
    <x v="2"/>
    <x v="2"/>
    <x v="1"/>
    <x v="5"/>
    <x v="17"/>
    <s v="Grace Okafor"/>
    <n v="1"/>
    <n v="203.08"/>
    <n v="0"/>
    <n v="203.08"/>
    <m/>
    <m/>
    <x v="0"/>
  </r>
  <r>
    <s v="K7-10460"/>
    <x v="9"/>
    <x v="9"/>
    <x v="2"/>
    <x v="1"/>
    <x v="0"/>
    <x v="2"/>
    <x v="2"/>
    <s v="Priya Nair"/>
    <n v="1"/>
    <n v="27.23"/>
    <n v="0"/>
    <n v="27.23"/>
    <m/>
    <m/>
    <x v="7"/>
  </r>
  <r>
    <s v="K7-10461"/>
    <x v="66"/>
    <x v="7"/>
    <x v="2"/>
    <x v="0"/>
    <x v="0"/>
    <x v="5"/>
    <x v="7"/>
    <s v="Marcus Reed"/>
    <n v="9"/>
    <n v="161.08000000000001"/>
    <n v="0.15"/>
    <n v="1232.26"/>
    <m/>
    <m/>
    <x v="9"/>
  </r>
  <r>
    <s v="K7-10462"/>
    <x v="79"/>
    <x v="3"/>
    <x v="0"/>
    <x v="1"/>
    <x v="0"/>
    <x v="3"/>
    <x v="10"/>
    <s v="Grace Okafor"/>
    <n v="4"/>
    <n v="114.07"/>
    <n v="0"/>
    <n v="456.28"/>
    <m/>
    <m/>
    <x v="11"/>
  </r>
  <r>
    <s v="K7-10463"/>
    <x v="36"/>
    <x v="8"/>
    <x v="1"/>
    <x v="0"/>
    <x v="0"/>
    <x v="1"/>
    <x v="3"/>
    <s v="Elena Vargas"/>
    <n v="1"/>
    <n v="160.56"/>
    <n v="0"/>
    <n v="160.56"/>
    <m/>
    <m/>
    <x v="2"/>
  </r>
  <r>
    <s v="K7-10464"/>
    <x v="171"/>
    <x v="7"/>
    <x v="2"/>
    <x v="1"/>
    <x v="0"/>
    <x v="5"/>
    <x v="7"/>
    <s v="Dylan Foster"/>
    <n v="7"/>
    <n v="146.33000000000001"/>
    <n v="0.1"/>
    <n v="921.88"/>
    <m/>
    <m/>
    <x v="9"/>
  </r>
  <r>
    <s v="K7-10465"/>
    <x v="258"/>
    <x v="24"/>
    <x v="2"/>
    <x v="3"/>
    <x v="0"/>
    <x v="0"/>
    <x v="0"/>
    <s v="Dylan Foster"/>
    <n v="6"/>
    <n v="56.93"/>
    <n v="0.2"/>
    <n v="273.26"/>
    <m/>
    <m/>
    <x v="7"/>
  </r>
  <r>
    <s v="K7-10466"/>
    <x v="259"/>
    <x v="7"/>
    <x v="2"/>
    <x v="0"/>
    <x v="0"/>
    <x v="5"/>
    <x v="17"/>
    <s v="Marcus Reed"/>
    <n v="3"/>
    <n v="207.37"/>
    <n v="0.2"/>
    <n v="497.69"/>
    <m/>
    <m/>
    <x v="9"/>
  </r>
  <r>
    <s v="K7-10467"/>
    <x v="91"/>
    <x v="3"/>
    <x v="0"/>
    <x v="0"/>
    <x v="0"/>
    <x v="4"/>
    <x v="6"/>
    <s v="Marcus Reed"/>
    <n v="2"/>
    <n v="54.35"/>
    <n v="0"/>
    <n v="108.7"/>
    <m/>
    <m/>
    <x v="4"/>
  </r>
  <r>
    <s v="K7-10468"/>
    <x v="253"/>
    <x v="5"/>
    <x v="0"/>
    <x v="1"/>
    <x v="0"/>
    <x v="5"/>
    <x v="7"/>
    <s v="Jonah Wright"/>
    <n v="2"/>
    <n v="152.06"/>
    <n v="0.2"/>
    <n v="243.3"/>
    <m/>
    <m/>
    <x v="11"/>
  </r>
  <r>
    <s v="K7-10469"/>
    <x v="28"/>
    <x v="7"/>
    <x v="2"/>
    <x v="1"/>
    <x v="0"/>
    <x v="5"/>
    <x v="17"/>
    <s v="Jonah Wright"/>
    <n v="2"/>
    <n v="207.63"/>
    <n v="0.2"/>
    <n v="332.21"/>
    <m/>
    <m/>
    <x v="0"/>
  </r>
  <r>
    <s v="K7-10470"/>
    <x v="240"/>
    <x v="5"/>
    <x v="0"/>
    <x v="0"/>
    <x v="0"/>
    <x v="4"/>
    <x v="13"/>
    <s v="Dylan Foster"/>
    <n v="1"/>
    <n v="95.45"/>
    <n v="0"/>
    <n v="95.45"/>
    <m/>
    <m/>
    <x v="10"/>
  </r>
  <r>
    <s v="K7-10471"/>
    <x v="67"/>
    <x v="0"/>
    <x v="0"/>
    <x v="0"/>
    <x v="0"/>
    <x v="4"/>
    <x v="14"/>
    <s v="Noor Haddad"/>
    <n v="6"/>
    <n v="81.56"/>
    <n v="0.2"/>
    <n v="391.49"/>
    <m/>
    <m/>
    <x v="2"/>
  </r>
  <r>
    <s v="K7-10472"/>
    <x v="260"/>
    <x v="14"/>
    <x v="2"/>
    <x v="0"/>
    <x v="1"/>
    <x v="4"/>
    <x v="14"/>
    <s v="Jonah Wright"/>
    <n v="2"/>
    <n v="81.599999999999994"/>
    <n v="0"/>
    <n v="163.19999999999999"/>
    <m/>
    <m/>
    <x v="4"/>
  </r>
  <r>
    <s v="K7-10473"/>
    <x v="42"/>
    <x v="18"/>
    <x v="3"/>
    <x v="2"/>
    <x v="0"/>
    <x v="0"/>
    <x v="20"/>
    <s v="Priya Nair"/>
    <n v="7"/>
    <n v="66.44"/>
    <n v="0"/>
    <n v="465.08"/>
    <m/>
    <m/>
    <x v="9"/>
  </r>
  <r>
    <s v="K7-10474"/>
    <x v="259"/>
    <x v="20"/>
    <x v="3"/>
    <x v="0"/>
    <x v="1"/>
    <x v="0"/>
    <x v="21"/>
    <s v="Dylan Foster"/>
    <n v="7"/>
    <n v="42.49"/>
    <n v="0"/>
    <n v="297.43"/>
    <m/>
    <m/>
    <x v="9"/>
  </r>
  <r>
    <s v="K7-10475"/>
    <x v="261"/>
    <x v="2"/>
    <x v="2"/>
    <x v="3"/>
    <x v="0"/>
    <x v="2"/>
    <x v="2"/>
    <s v="Jonah Wright"/>
    <n v="1"/>
    <n v="27.61"/>
    <n v="0.3"/>
    <n v="19.329999999999998"/>
    <m/>
    <m/>
    <x v="11"/>
  </r>
  <r>
    <s v="K7-10476"/>
    <x v="262"/>
    <x v="5"/>
    <x v="0"/>
    <x v="1"/>
    <x v="1"/>
    <x v="0"/>
    <x v="21"/>
    <s v="Elena Vargas"/>
    <n v="8"/>
    <n v="47.7"/>
    <n v="0"/>
    <n v="381.6"/>
    <m/>
    <m/>
    <x v="8"/>
  </r>
  <r>
    <s v="K7-10477"/>
    <x v="45"/>
    <x v="7"/>
    <x v="2"/>
    <x v="1"/>
    <x v="0"/>
    <x v="1"/>
    <x v="1"/>
    <s v="Elena Vargas"/>
    <n v="1"/>
    <n v="132.97999999999999"/>
    <n v="0.05"/>
    <n v="126.33"/>
    <m/>
    <m/>
    <x v="6"/>
  </r>
  <r>
    <s v="K7-10478"/>
    <x v="33"/>
    <x v="8"/>
    <x v="1"/>
    <x v="0"/>
    <x v="1"/>
    <x v="1"/>
    <x v="12"/>
    <s v="Ava Brooks"/>
    <n v="1"/>
    <n v="311.92"/>
    <n v="0"/>
    <n v="311.92"/>
    <m/>
    <m/>
    <x v="9"/>
  </r>
  <r>
    <s v="K7-10479"/>
    <x v="256"/>
    <x v="8"/>
    <x v="1"/>
    <x v="1"/>
    <x v="0"/>
    <x v="0"/>
    <x v="21"/>
    <s v="Dylan Foster"/>
    <n v="4"/>
    <n v="45.29"/>
    <n v="0"/>
    <n v="181.16"/>
    <m/>
    <m/>
    <x v="2"/>
  </r>
  <r>
    <s v="K7-10480"/>
    <x v="226"/>
    <x v="2"/>
    <x v="2"/>
    <x v="1"/>
    <x v="1"/>
    <x v="0"/>
    <x v="20"/>
    <s v="Ava Brooks"/>
    <n v="4"/>
    <n v="63.14"/>
    <n v="0"/>
    <n v="252.56"/>
    <m/>
    <m/>
    <x v="3"/>
  </r>
  <r>
    <s v="K7-10481"/>
    <x v="152"/>
    <x v="2"/>
    <x v="2"/>
    <x v="2"/>
    <x v="1"/>
    <x v="3"/>
    <x v="15"/>
    <s v="Noor Haddad"/>
    <n v="1"/>
    <n v="96.62"/>
    <n v="0"/>
    <n v="96.62"/>
    <m/>
    <m/>
    <x v="8"/>
  </r>
  <r>
    <s v="K7-10482"/>
    <x v="235"/>
    <x v="5"/>
    <x v="0"/>
    <x v="2"/>
    <x v="0"/>
    <x v="4"/>
    <x v="14"/>
    <s v="Priya Nair"/>
    <n v="7"/>
    <n v="79.430000000000007"/>
    <n v="0"/>
    <n v="556.01"/>
    <m/>
    <m/>
    <x v="11"/>
  </r>
  <r>
    <s v="K7-10483"/>
    <x v="15"/>
    <x v="19"/>
    <x v="1"/>
    <x v="3"/>
    <x v="0"/>
    <x v="0"/>
    <x v="21"/>
    <s v="Priya Nair"/>
    <n v="1"/>
    <n v="43.3"/>
    <n v="0.05"/>
    <n v="41.13"/>
    <m/>
    <m/>
    <x v="9"/>
  </r>
  <r>
    <s v="K7-10484"/>
    <x v="119"/>
    <x v="7"/>
    <x v="2"/>
    <x v="3"/>
    <x v="0"/>
    <x v="0"/>
    <x v="21"/>
    <s v="Noor Haddad"/>
    <n v="1"/>
    <n v="44.73"/>
    <n v="0"/>
    <n v="44.73"/>
    <m/>
    <m/>
    <x v="9"/>
  </r>
  <r>
    <s v="K7-10485"/>
    <x v="263"/>
    <x v="20"/>
    <x v="3"/>
    <x v="0"/>
    <x v="1"/>
    <x v="0"/>
    <x v="0"/>
    <s v="Noor Haddad"/>
    <n v="3"/>
    <n v="51.8"/>
    <n v="0"/>
    <n v="155.4"/>
    <m/>
    <m/>
    <x v="4"/>
  </r>
  <r>
    <s v="K7-10486"/>
    <x v="28"/>
    <x v="16"/>
    <x v="0"/>
    <x v="0"/>
    <x v="0"/>
    <x v="2"/>
    <x v="16"/>
    <s v="Dylan Foster"/>
    <n v="1"/>
    <n v="60.4"/>
    <n v="0.05"/>
    <n v="57.38"/>
    <m/>
    <m/>
    <x v="0"/>
  </r>
  <r>
    <s v="K7-10487"/>
    <x v="173"/>
    <x v="5"/>
    <x v="0"/>
    <x v="3"/>
    <x v="0"/>
    <x v="4"/>
    <x v="14"/>
    <s v="Priya Nair"/>
    <n v="2"/>
    <n v="81.48"/>
    <n v="0.1"/>
    <n v="146.66"/>
    <m/>
    <m/>
    <x v="10"/>
  </r>
  <r>
    <s v="K7-10488"/>
    <x v="233"/>
    <x v="11"/>
    <x v="3"/>
    <x v="2"/>
    <x v="0"/>
    <x v="3"/>
    <x v="4"/>
    <s v="Dylan Foster"/>
    <n v="1"/>
    <n v="139.66"/>
    <n v="0.1"/>
    <n v="125.69"/>
    <m/>
    <m/>
    <x v="9"/>
  </r>
  <r>
    <s v="K7-10489"/>
    <x v="63"/>
    <x v="3"/>
    <x v="0"/>
    <x v="0"/>
    <x v="0"/>
    <x v="0"/>
    <x v="18"/>
    <s v="Dylan Foster"/>
    <n v="1"/>
    <n v="33.97"/>
    <n v="0"/>
    <n v="33.97"/>
    <m/>
    <m/>
    <x v="3"/>
  </r>
  <r>
    <s v="K7-10490"/>
    <x v="126"/>
    <x v="8"/>
    <x v="1"/>
    <x v="1"/>
    <x v="0"/>
    <x v="0"/>
    <x v="20"/>
    <s v="Dylan Foster"/>
    <n v="3"/>
    <n v="66.47"/>
    <n v="0"/>
    <n v="199.41"/>
    <m/>
    <m/>
    <x v="7"/>
  </r>
  <r>
    <s v="K7-10491"/>
    <x v="264"/>
    <x v="9"/>
    <x v="2"/>
    <x v="0"/>
    <x v="1"/>
    <x v="3"/>
    <x v="4"/>
    <s v="Noor Haddad"/>
    <n v="4"/>
    <n v="141.99"/>
    <n v="0"/>
    <n v="567.96"/>
    <m/>
    <m/>
    <x v="5"/>
  </r>
  <r>
    <s v="K7-10492"/>
    <x v="96"/>
    <x v="5"/>
    <x v="0"/>
    <x v="1"/>
    <x v="1"/>
    <x v="0"/>
    <x v="21"/>
    <s v="Grace Okafor"/>
    <n v="1"/>
    <n v="44.74"/>
    <n v="0.1"/>
    <n v="40.270000000000003"/>
    <m/>
    <m/>
    <x v="3"/>
  </r>
  <r>
    <s v="K7-10493"/>
    <x v="111"/>
    <x v="8"/>
    <x v="1"/>
    <x v="3"/>
    <x v="1"/>
    <x v="4"/>
    <x v="11"/>
    <s v="Grace Okafor"/>
    <n v="12"/>
    <n v="90.39"/>
    <n v="0"/>
    <n v="1084.68"/>
    <m/>
    <m/>
    <x v="11"/>
  </r>
  <r>
    <s v="K7-10494"/>
    <x v="231"/>
    <x v="11"/>
    <x v="3"/>
    <x v="1"/>
    <x v="0"/>
    <x v="1"/>
    <x v="3"/>
    <s v="Dylan Foster"/>
    <n v="2"/>
    <n v="178.52"/>
    <n v="0.2"/>
    <n v="285.63"/>
    <m/>
    <m/>
    <x v="3"/>
  </r>
  <r>
    <s v="K7-10495"/>
    <x v="265"/>
    <x v="7"/>
    <x v="2"/>
    <x v="1"/>
    <x v="0"/>
    <x v="0"/>
    <x v="20"/>
    <s v="Priya Nair"/>
    <n v="3"/>
    <n v="69.069999999999993"/>
    <n v="0.05"/>
    <n v="196.85"/>
    <m/>
    <m/>
    <x v="9"/>
  </r>
  <r>
    <s v="K7-10496"/>
    <x v="107"/>
    <x v="0"/>
    <x v="0"/>
    <x v="0"/>
    <x v="0"/>
    <x v="3"/>
    <x v="15"/>
    <s v="Elena Vargas"/>
    <n v="3"/>
    <n v="100.45"/>
    <n v="0"/>
    <n v="301.35000000000002"/>
    <m/>
    <m/>
    <x v="8"/>
  </r>
  <r>
    <s v="K7-10497"/>
    <x v="158"/>
    <x v="24"/>
    <x v="2"/>
    <x v="0"/>
    <x v="1"/>
    <x v="2"/>
    <x v="5"/>
    <s v="Jonah Wright"/>
    <n v="1"/>
    <n v="38.08"/>
    <n v="0.1"/>
    <n v="34.270000000000003"/>
    <m/>
    <m/>
    <x v="8"/>
  </r>
  <r>
    <s v="K7-10498"/>
    <x v="179"/>
    <x v="19"/>
    <x v="1"/>
    <x v="1"/>
    <x v="0"/>
    <x v="1"/>
    <x v="3"/>
    <s v="Priya Nair"/>
    <n v="2"/>
    <n v="160.49"/>
    <n v="0"/>
    <n v="320.98"/>
    <m/>
    <m/>
    <x v="5"/>
  </r>
  <r>
    <s v="K7-10499"/>
    <x v="155"/>
    <x v="7"/>
    <x v="2"/>
    <x v="0"/>
    <x v="0"/>
    <x v="0"/>
    <x v="0"/>
    <s v="Noor Haddad"/>
    <n v="3"/>
    <n v="56.11"/>
    <n v="0"/>
    <n v="168.33"/>
    <m/>
    <m/>
    <x v="10"/>
  </r>
  <r>
    <s v="K7-10500"/>
    <x v="155"/>
    <x v="6"/>
    <x v="2"/>
    <x v="3"/>
    <x v="1"/>
    <x v="2"/>
    <x v="16"/>
    <s v="Ava Brooks"/>
    <n v="3"/>
    <n v="60.37"/>
    <n v="0.2"/>
    <n v="144.88999999999999"/>
    <m/>
    <m/>
    <x v="10"/>
  </r>
  <r>
    <s v="K7-10501"/>
    <x v="250"/>
    <x v="25"/>
    <x v="3"/>
    <x v="3"/>
    <x v="0"/>
    <x v="0"/>
    <x v="18"/>
    <s v="Grace Okafor"/>
    <n v="1"/>
    <n v="34.47"/>
    <n v="0.1"/>
    <n v="31.02"/>
    <m/>
    <m/>
    <x v="11"/>
  </r>
  <r>
    <s v="K7-10502"/>
    <x v="45"/>
    <x v="25"/>
    <x v="3"/>
    <x v="3"/>
    <x v="0"/>
    <x v="3"/>
    <x v="4"/>
    <s v="Grace Okafor"/>
    <n v="11"/>
    <n v="128.12"/>
    <n v="0.1"/>
    <n v="1268.3900000000001"/>
    <m/>
    <m/>
    <x v="6"/>
  </r>
  <r>
    <s v="K7-10503"/>
    <x v="266"/>
    <x v="7"/>
    <x v="2"/>
    <x v="2"/>
    <x v="0"/>
    <x v="5"/>
    <x v="9"/>
    <s v="Marcus Reed"/>
    <n v="1"/>
    <n v="85.11"/>
    <n v="0"/>
    <n v="85.11"/>
    <m/>
    <m/>
    <x v="1"/>
  </r>
  <r>
    <s v="K7-10504"/>
    <x v="25"/>
    <x v="7"/>
    <x v="2"/>
    <x v="3"/>
    <x v="1"/>
    <x v="3"/>
    <x v="15"/>
    <s v="Noor Haddad"/>
    <n v="2"/>
    <n v="99.12"/>
    <n v="0"/>
    <n v="198.24"/>
    <m/>
    <m/>
    <x v="4"/>
  </r>
  <r>
    <s v="K7-10505"/>
    <x v="267"/>
    <x v="7"/>
    <x v="2"/>
    <x v="3"/>
    <x v="1"/>
    <x v="5"/>
    <x v="7"/>
    <s v="Grace Okafor"/>
    <n v="8"/>
    <n v="153.63"/>
    <n v="0"/>
    <n v="1229.04"/>
    <m/>
    <m/>
    <x v="7"/>
  </r>
  <r>
    <s v="K7-10506"/>
    <x v="58"/>
    <x v="15"/>
    <x v="1"/>
    <x v="0"/>
    <x v="0"/>
    <x v="3"/>
    <x v="15"/>
    <s v="Dylan Foster"/>
    <n v="1"/>
    <n v="103.67"/>
    <n v="0.3"/>
    <n v="72.569999999999993"/>
    <m/>
    <m/>
    <x v="7"/>
  </r>
  <r>
    <s v="K7-10507"/>
    <x v="268"/>
    <x v="4"/>
    <x v="3"/>
    <x v="2"/>
    <x v="1"/>
    <x v="4"/>
    <x v="13"/>
    <s v="Grace Okafor"/>
    <n v="2"/>
    <n v="89.46"/>
    <n v="0"/>
    <n v="178.92"/>
    <m/>
    <m/>
    <x v="1"/>
  </r>
  <r>
    <s v="K7-10508"/>
    <x v="199"/>
    <x v="21"/>
    <x v="0"/>
    <x v="0"/>
    <x v="0"/>
    <x v="0"/>
    <x v="21"/>
    <s v="Ava Brooks"/>
    <n v="8"/>
    <n v="45.45"/>
    <n v="0"/>
    <n v="363.6"/>
    <m/>
    <m/>
    <x v="1"/>
  </r>
  <r>
    <s v="K7-10509"/>
    <x v="188"/>
    <x v="12"/>
    <x v="3"/>
    <x v="1"/>
    <x v="0"/>
    <x v="3"/>
    <x v="15"/>
    <s v="Ava Brooks"/>
    <n v="2"/>
    <n v="103.81"/>
    <n v="0"/>
    <n v="207.62"/>
    <m/>
    <m/>
    <x v="3"/>
  </r>
  <r>
    <s v="K7-10510"/>
    <x v="93"/>
    <x v="7"/>
    <x v="2"/>
    <x v="1"/>
    <x v="1"/>
    <x v="4"/>
    <x v="11"/>
    <s v="Noor Haddad"/>
    <n v="2"/>
    <n v="87.93"/>
    <n v="0.1"/>
    <n v="158.27000000000001"/>
    <m/>
    <m/>
    <x v="2"/>
  </r>
  <r>
    <s v="K7-10511"/>
    <x v="211"/>
    <x v="11"/>
    <x v="3"/>
    <x v="0"/>
    <x v="1"/>
    <x v="0"/>
    <x v="18"/>
    <s v="Dylan Foster"/>
    <n v="1"/>
    <n v="34.18"/>
    <n v="0"/>
    <n v="34.18"/>
    <m/>
    <m/>
    <x v="3"/>
  </r>
  <r>
    <s v="K7-10512"/>
    <x v="178"/>
    <x v="4"/>
    <x v="3"/>
    <x v="1"/>
    <x v="1"/>
    <x v="1"/>
    <x v="1"/>
    <s v="Marcus Reed"/>
    <n v="10"/>
    <n v="131.32"/>
    <n v="0"/>
    <n v="1313.2"/>
    <m/>
    <m/>
    <x v="2"/>
  </r>
  <r>
    <s v="K7-10513"/>
    <x v="174"/>
    <x v="7"/>
    <x v="2"/>
    <x v="0"/>
    <x v="0"/>
    <x v="4"/>
    <x v="13"/>
    <s v="Dylan Foster"/>
    <n v="1"/>
    <n v="94.55"/>
    <n v="0"/>
    <n v="94.55"/>
    <m/>
    <m/>
    <x v="8"/>
  </r>
  <r>
    <s v="K7-10514"/>
    <x v="203"/>
    <x v="20"/>
    <x v="3"/>
    <x v="1"/>
    <x v="1"/>
    <x v="1"/>
    <x v="8"/>
    <s v="Jonah Wright"/>
    <n v="5"/>
    <n v="220.93"/>
    <n v="0.05"/>
    <n v="1049.42"/>
    <m/>
    <m/>
    <x v="0"/>
  </r>
  <r>
    <s v="K7-10515"/>
    <x v="76"/>
    <x v="7"/>
    <x v="2"/>
    <x v="1"/>
    <x v="1"/>
    <x v="3"/>
    <x v="4"/>
    <s v="Noor Haddad"/>
    <n v="1"/>
    <n v="136.88"/>
    <n v="0"/>
    <n v="136.88"/>
    <m/>
    <m/>
    <x v="4"/>
  </r>
  <r>
    <s v="K7-10516"/>
    <x v="267"/>
    <x v="16"/>
    <x v="0"/>
    <x v="2"/>
    <x v="0"/>
    <x v="4"/>
    <x v="6"/>
    <s v="Grace Okafor"/>
    <n v="1"/>
    <n v="59.19"/>
    <n v="0"/>
    <n v="59.19"/>
    <m/>
    <m/>
    <x v="7"/>
  </r>
  <r>
    <s v="K7-10517"/>
    <x v="43"/>
    <x v="1"/>
    <x v="1"/>
    <x v="1"/>
    <x v="0"/>
    <x v="5"/>
    <x v="17"/>
    <s v="Dylan Foster"/>
    <n v="13"/>
    <n v="216.56"/>
    <n v="0.2"/>
    <n v="2252.2199999999998"/>
    <m/>
    <m/>
    <x v="5"/>
  </r>
  <r>
    <s v="K7-10518"/>
    <x v="55"/>
    <x v="16"/>
    <x v="0"/>
    <x v="3"/>
    <x v="0"/>
    <x v="1"/>
    <x v="8"/>
    <s v="Marcus Reed"/>
    <n v="4"/>
    <n v="238.97"/>
    <n v="0"/>
    <n v="955.88"/>
    <m/>
    <m/>
    <x v="11"/>
  </r>
  <r>
    <s v="K7-10519"/>
    <x v="233"/>
    <x v="21"/>
    <x v="0"/>
    <x v="0"/>
    <x v="1"/>
    <x v="2"/>
    <x v="2"/>
    <s v="Jonah Wright"/>
    <n v="1"/>
    <n v="24.08"/>
    <n v="0"/>
    <n v="24.08"/>
    <m/>
    <m/>
    <x v="9"/>
  </r>
  <r>
    <s v="K7-10520"/>
    <x v="205"/>
    <x v="10"/>
    <x v="3"/>
    <x v="3"/>
    <x v="1"/>
    <x v="2"/>
    <x v="2"/>
    <s v="Elena Vargas"/>
    <n v="3"/>
    <n v="25.91"/>
    <n v="0.1"/>
    <n v="69.959999999999994"/>
    <m/>
    <m/>
    <x v="2"/>
  </r>
  <r>
    <s v="K7-10521"/>
    <x v="223"/>
    <x v="7"/>
    <x v="2"/>
    <x v="0"/>
    <x v="1"/>
    <x v="1"/>
    <x v="8"/>
    <s v="Jonah Wright"/>
    <n v="3"/>
    <n v="250.02"/>
    <n v="0"/>
    <n v="750.06"/>
    <m/>
    <m/>
    <x v="1"/>
  </r>
  <r>
    <s v="K7-10522"/>
    <x v="255"/>
    <x v="10"/>
    <x v="3"/>
    <x v="1"/>
    <x v="0"/>
    <x v="3"/>
    <x v="15"/>
    <s v="Elena Vargas"/>
    <n v="8"/>
    <n v="103.88"/>
    <n v="0.05"/>
    <n v="789.49"/>
    <m/>
    <m/>
    <x v="5"/>
  </r>
  <r>
    <s v="K7-10523"/>
    <x v="227"/>
    <x v="20"/>
    <x v="3"/>
    <x v="1"/>
    <x v="0"/>
    <x v="5"/>
    <x v="9"/>
    <s v="Grace Okafor"/>
    <n v="6"/>
    <n v="84.53"/>
    <n v="0.05"/>
    <n v="481.82"/>
    <m/>
    <m/>
    <x v="10"/>
  </r>
  <r>
    <s v="K7-10524"/>
    <x v="175"/>
    <x v="4"/>
    <x v="3"/>
    <x v="1"/>
    <x v="0"/>
    <x v="0"/>
    <x v="21"/>
    <s v="Ava Brooks"/>
    <n v="1"/>
    <n v="43.64"/>
    <n v="0.2"/>
    <n v="34.909999999999997"/>
    <m/>
    <m/>
    <x v="11"/>
  </r>
  <r>
    <s v="K7-10525"/>
    <x v="123"/>
    <x v="15"/>
    <x v="1"/>
    <x v="0"/>
    <x v="0"/>
    <x v="5"/>
    <x v="17"/>
    <s v="Dylan Foster"/>
    <n v="1"/>
    <n v="205.97"/>
    <n v="0"/>
    <n v="205.97"/>
    <m/>
    <m/>
    <x v="9"/>
  </r>
  <r>
    <s v="K7-10526"/>
    <x v="269"/>
    <x v="5"/>
    <x v="0"/>
    <x v="0"/>
    <x v="1"/>
    <x v="1"/>
    <x v="8"/>
    <s v="Marcus Reed"/>
    <n v="2"/>
    <n v="236.11"/>
    <n v="0"/>
    <n v="472.22"/>
    <m/>
    <m/>
    <x v="6"/>
  </r>
  <r>
    <s v="K7-10527"/>
    <x v="270"/>
    <x v="0"/>
    <x v="0"/>
    <x v="1"/>
    <x v="1"/>
    <x v="5"/>
    <x v="9"/>
    <s v="Grace Okafor"/>
    <n v="6"/>
    <n v="89.96"/>
    <n v="0"/>
    <n v="539.76"/>
    <m/>
    <m/>
    <x v="8"/>
  </r>
  <r>
    <s v="K7-10528"/>
    <x v="168"/>
    <x v="25"/>
    <x v="3"/>
    <x v="1"/>
    <x v="0"/>
    <x v="0"/>
    <x v="20"/>
    <s v="Dylan Foster"/>
    <n v="4"/>
    <n v="67.84"/>
    <n v="0"/>
    <n v="271.36"/>
    <m/>
    <m/>
    <x v="9"/>
  </r>
  <r>
    <s v="K7-10529"/>
    <x v="15"/>
    <x v="0"/>
    <x v="0"/>
    <x v="3"/>
    <x v="1"/>
    <x v="4"/>
    <x v="6"/>
    <s v="Noor Haddad"/>
    <n v="1"/>
    <n v="54.62"/>
    <n v="0.15"/>
    <n v="46.43"/>
    <m/>
    <m/>
    <x v="9"/>
  </r>
  <r>
    <s v="K7-10530"/>
    <x v="181"/>
    <x v="28"/>
    <x v="0"/>
    <x v="1"/>
    <x v="0"/>
    <x v="1"/>
    <x v="12"/>
    <s v="Priya Nair"/>
    <n v="2"/>
    <n v="291.33999999999997"/>
    <n v="0.3"/>
    <n v="407.88"/>
    <m/>
    <m/>
    <x v="4"/>
  </r>
  <r>
    <s v="K7-10531"/>
    <x v="271"/>
    <x v="0"/>
    <x v="0"/>
    <x v="0"/>
    <x v="1"/>
    <x v="4"/>
    <x v="11"/>
    <s v="Elena Vargas"/>
    <n v="2"/>
    <n v="88.65"/>
    <n v="0.1"/>
    <n v="159.57"/>
    <m/>
    <m/>
    <x v="2"/>
  </r>
  <r>
    <s v="K7-10532"/>
    <x v="272"/>
    <x v="7"/>
    <x v="2"/>
    <x v="0"/>
    <x v="0"/>
    <x v="3"/>
    <x v="4"/>
    <s v="Ava Brooks"/>
    <n v="2"/>
    <n v="127.7"/>
    <n v="0"/>
    <n v="255.4"/>
    <m/>
    <m/>
    <x v="10"/>
  </r>
  <r>
    <s v="K7-10533"/>
    <x v="156"/>
    <x v="10"/>
    <x v="3"/>
    <x v="2"/>
    <x v="1"/>
    <x v="4"/>
    <x v="13"/>
    <s v="Noor Haddad"/>
    <n v="2"/>
    <n v="96.43"/>
    <n v="0"/>
    <n v="192.86"/>
    <m/>
    <m/>
    <x v="7"/>
  </r>
  <r>
    <s v="K7-10534"/>
    <x v="273"/>
    <x v="8"/>
    <x v="1"/>
    <x v="3"/>
    <x v="0"/>
    <x v="5"/>
    <x v="9"/>
    <s v="Noor Haddad"/>
    <n v="2"/>
    <n v="83.69"/>
    <n v="0"/>
    <n v="167.38"/>
    <m/>
    <m/>
    <x v="10"/>
  </r>
  <r>
    <s v="K7-10535"/>
    <x v="274"/>
    <x v="7"/>
    <x v="2"/>
    <x v="1"/>
    <x v="0"/>
    <x v="0"/>
    <x v="21"/>
    <s v="Dylan Foster"/>
    <n v="2"/>
    <n v="42.66"/>
    <n v="0.15"/>
    <n v="72.52"/>
    <m/>
    <m/>
    <x v="7"/>
  </r>
  <r>
    <s v="K7-10536"/>
    <x v="108"/>
    <x v="7"/>
    <x v="2"/>
    <x v="1"/>
    <x v="0"/>
    <x v="0"/>
    <x v="18"/>
    <s v="Dylan Foster"/>
    <n v="3"/>
    <n v="30.73"/>
    <n v="0.2"/>
    <n v="73.75"/>
    <m/>
    <m/>
    <x v="6"/>
  </r>
  <r>
    <s v="K7-10537"/>
    <x v="217"/>
    <x v="10"/>
    <x v="3"/>
    <x v="0"/>
    <x v="0"/>
    <x v="0"/>
    <x v="0"/>
    <s v="Ava Brooks"/>
    <n v="3"/>
    <n v="51.52"/>
    <n v="0"/>
    <n v="154.56"/>
    <m/>
    <m/>
    <x v="10"/>
  </r>
  <r>
    <s v="K7-10538"/>
    <x v="30"/>
    <x v="19"/>
    <x v="1"/>
    <x v="0"/>
    <x v="0"/>
    <x v="5"/>
    <x v="7"/>
    <s v="Priya Nair"/>
    <n v="6"/>
    <n v="159.22999999999999"/>
    <n v="0"/>
    <n v="955.38"/>
    <m/>
    <m/>
    <x v="3"/>
  </r>
  <r>
    <s v="K7-10539"/>
    <x v="222"/>
    <x v="19"/>
    <x v="1"/>
    <x v="0"/>
    <x v="1"/>
    <x v="5"/>
    <x v="7"/>
    <s v="Elena Vargas"/>
    <n v="1"/>
    <n v="152.22"/>
    <n v="0"/>
    <n v="152.22"/>
    <m/>
    <m/>
    <x v="5"/>
  </r>
  <r>
    <s v="K7-10540"/>
    <x v="237"/>
    <x v="15"/>
    <x v="1"/>
    <x v="1"/>
    <x v="0"/>
    <x v="2"/>
    <x v="16"/>
    <s v="Grace Okafor"/>
    <n v="3"/>
    <n v="61.36"/>
    <n v="0.2"/>
    <n v="147.26"/>
    <m/>
    <m/>
    <x v="4"/>
  </r>
  <r>
    <s v="K7-10541"/>
    <x v="275"/>
    <x v="1"/>
    <x v="1"/>
    <x v="1"/>
    <x v="0"/>
    <x v="1"/>
    <x v="1"/>
    <s v="Grace Okafor"/>
    <n v="1"/>
    <n v="131.34"/>
    <n v="0"/>
    <n v="131.34"/>
    <m/>
    <m/>
    <x v="5"/>
  </r>
  <r>
    <s v="K7-10542"/>
    <x v="52"/>
    <x v="9"/>
    <x v="2"/>
    <x v="1"/>
    <x v="1"/>
    <x v="2"/>
    <x v="5"/>
    <s v="Ava Brooks"/>
    <n v="1"/>
    <n v="40.46"/>
    <n v="0.05"/>
    <n v="38.44"/>
    <m/>
    <m/>
    <x v="8"/>
  </r>
  <r>
    <s v="K7-10543"/>
    <x v="252"/>
    <x v="3"/>
    <x v="0"/>
    <x v="0"/>
    <x v="1"/>
    <x v="4"/>
    <x v="13"/>
    <s v="Marcus Reed"/>
    <n v="6"/>
    <n v="90.35"/>
    <n v="0"/>
    <n v="542.1"/>
    <m/>
    <m/>
    <x v="5"/>
  </r>
  <r>
    <s v="K7-10544"/>
    <x v="103"/>
    <x v="1"/>
    <x v="1"/>
    <x v="1"/>
    <x v="1"/>
    <x v="3"/>
    <x v="15"/>
    <s v="Grace Okafor"/>
    <n v="4"/>
    <n v="91.13"/>
    <n v="0"/>
    <n v="364.52"/>
    <m/>
    <m/>
    <x v="3"/>
  </r>
  <r>
    <s v="K7-10545"/>
    <x v="92"/>
    <x v="1"/>
    <x v="1"/>
    <x v="2"/>
    <x v="1"/>
    <x v="4"/>
    <x v="13"/>
    <s v="Jonah Wright"/>
    <n v="5"/>
    <n v="97.61"/>
    <n v="0.05"/>
    <n v="463.65"/>
    <m/>
    <m/>
    <x v="3"/>
  </r>
  <r>
    <s v="K7-10546"/>
    <x v="138"/>
    <x v="21"/>
    <x v="0"/>
    <x v="3"/>
    <x v="0"/>
    <x v="2"/>
    <x v="5"/>
    <s v="Ava Brooks"/>
    <n v="3"/>
    <n v="36.840000000000003"/>
    <n v="0"/>
    <n v="110.52"/>
    <m/>
    <m/>
    <x v="1"/>
  </r>
  <r>
    <s v="K7-10547"/>
    <x v="105"/>
    <x v="15"/>
    <x v="1"/>
    <x v="0"/>
    <x v="0"/>
    <x v="1"/>
    <x v="3"/>
    <s v="Grace Okafor"/>
    <n v="1"/>
    <n v="165.58"/>
    <n v="0"/>
    <n v="165.58"/>
    <m/>
    <m/>
    <x v="11"/>
  </r>
  <r>
    <s v="K7-10548"/>
    <x v="116"/>
    <x v="0"/>
    <x v="0"/>
    <x v="1"/>
    <x v="0"/>
    <x v="1"/>
    <x v="8"/>
    <s v="Marcus Reed"/>
    <n v="3"/>
    <n v="251.3"/>
    <n v="0.05"/>
    <n v="716.21"/>
    <m/>
    <m/>
    <x v="9"/>
  </r>
  <r>
    <s v="K7-10549"/>
    <x v="140"/>
    <x v="8"/>
    <x v="1"/>
    <x v="2"/>
    <x v="1"/>
    <x v="4"/>
    <x v="13"/>
    <s v="Marcus Reed"/>
    <n v="2"/>
    <n v="89.7"/>
    <n v="0"/>
    <n v="179.4"/>
    <m/>
    <m/>
    <x v="2"/>
  </r>
  <r>
    <s v="K7-10550"/>
    <x v="47"/>
    <x v="5"/>
    <x v="0"/>
    <x v="2"/>
    <x v="0"/>
    <x v="1"/>
    <x v="3"/>
    <s v="Dylan Foster"/>
    <n v="3"/>
    <n v="161.30000000000001"/>
    <n v="0.2"/>
    <n v="387.12"/>
    <m/>
    <m/>
    <x v="2"/>
  </r>
  <r>
    <s v="K7-10551"/>
    <x v="276"/>
    <x v="7"/>
    <x v="2"/>
    <x v="3"/>
    <x v="0"/>
    <x v="4"/>
    <x v="14"/>
    <s v="Ava Brooks"/>
    <n v="9"/>
    <n v="70.06"/>
    <n v="0.15"/>
    <n v="535.96"/>
    <m/>
    <m/>
    <x v="6"/>
  </r>
  <r>
    <s v="K7-10552"/>
    <x v="215"/>
    <x v="7"/>
    <x v="2"/>
    <x v="0"/>
    <x v="0"/>
    <x v="4"/>
    <x v="14"/>
    <s v="Ava Brooks"/>
    <n v="1"/>
    <n v="81.08"/>
    <n v="0.15"/>
    <n v="68.92"/>
    <m/>
    <m/>
    <x v="3"/>
  </r>
  <r>
    <s v="K7-10553"/>
    <x v="145"/>
    <x v="4"/>
    <x v="3"/>
    <x v="1"/>
    <x v="1"/>
    <x v="3"/>
    <x v="10"/>
    <s v="Jonah Wright"/>
    <n v="8"/>
    <n v="122.7"/>
    <n v="0.2"/>
    <n v="785.28"/>
    <m/>
    <m/>
    <x v="3"/>
  </r>
  <r>
    <s v="K7-10554"/>
    <x v="156"/>
    <x v="6"/>
    <x v="2"/>
    <x v="1"/>
    <x v="1"/>
    <x v="0"/>
    <x v="18"/>
    <s v="Dylan Foster"/>
    <n v="2"/>
    <n v="34.47"/>
    <n v="0"/>
    <n v="68.94"/>
    <m/>
    <m/>
    <x v="7"/>
  </r>
  <r>
    <s v="K7-10555"/>
    <x v="242"/>
    <x v="0"/>
    <x v="0"/>
    <x v="0"/>
    <x v="1"/>
    <x v="4"/>
    <x v="6"/>
    <s v="Elena Vargas"/>
    <n v="11"/>
    <n v="53.84"/>
    <n v="0.05"/>
    <n v="562.63"/>
    <m/>
    <m/>
    <x v="3"/>
  </r>
  <r>
    <s v="K7-10556"/>
    <x v="221"/>
    <x v="13"/>
    <x v="0"/>
    <x v="1"/>
    <x v="0"/>
    <x v="3"/>
    <x v="4"/>
    <s v="Jonah Wright"/>
    <n v="2"/>
    <n v="142.12"/>
    <n v="0"/>
    <n v="284.24"/>
    <m/>
    <m/>
    <x v="6"/>
  </r>
  <r>
    <s v="K7-10557"/>
    <x v="242"/>
    <x v="24"/>
    <x v="2"/>
    <x v="2"/>
    <x v="1"/>
    <x v="1"/>
    <x v="3"/>
    <s v="Marcus Reed"/>
    <n v="8"/>
    <n v="177.49"/>
    <n v="0"/>
    <n v="1419.92"/>
    <m/>
    <m/>
    <x v="3"/>
  </r>
  <r>
    <s v="K7-10558"/>
    <x v="174"/>
    <x v="16"/>
    <x v="0"/>
    <x v="1"/>
    <x v="0"/>
    <x v="2"/>
    <x v="2"/>
    <s v="Ava Brooks"/>
    <n v="1"/>
    <n v="24.13"/>
    <n v="0"/>
    <n v="24.13"/>
    <m/>
    <m/>
    <x v="8"/>
  </r>
  <r>
    <s v="K7-10559"/>
    <x v="264"/>
    <x v="3"/>
    <x v="0"/>
    <x v="3"/>
    <x v="0"/>
    <x v="0"/>
    <x v="18"/>
    <s v="Dylan Foster"/>
    <n v="1"/>
    <n v="29.72"/>
    <n v="0"/>
    <n v="29.72"/>
    <m/>
    <m/>
    <x v="5"/>
  </r>
  <r>
    <s v="K7-10560"/>
    <x v="191"/>
    <x v="4"/>
    <x v="3"/>
    <x v="0"/>
    <x v="1"/>
    <x v="5"/>
    <x v="17"/>
    <s v="Priya Nair"/>
    <n v="2"/>
    <n v="229.37"/>
    <n v="0"/>
    <n v="458.74"/>
    <m/>
    <m/>
    <x v="5"/>
  </r>
  <r>
    <s v="K7-10561"/>
    <x v="172"/>
    <x v="1"/>
    <x v="1"/>
    <x v="0"/>
    <x v="1"/>
    <x v="5"/>
    <x v="9"/>
    <s v="Elena Vargas"/>
    <n v="2"/>
    <n v="94.02"/>
    <n v="0.05"/>
    <n v="178.64"/>
    <m/>
    <m/>
    <x v="8"/>
  </r>
  <r>
    <s v="K7-10562"/>
    <x v="198"/>
    <x v="0"/>
    <x v="0"/>
    <x v="0"/>
    <x v="0"/>
    <x v="0"/>
    <x v="0"/>
    <s v="Ava Brooks"/>
    <n v="6"/>
    <n v="52.68"/>
    <n v="0.05"/>
    <n v="300.27999999999997"/>
    <m/>
    <m/>
    <x v="2"/>
  </r>
  <r>
    <s v="K7-10563"/>
    <x v="131"/>
    <x v="11"/>
    <x v="3"/>
    <x v="0"/>
    <x v="1"/>
    <x v="5"/>
    <x v="9"/>
    <s v="Jonah Wright"/>
    <n v="1"/>
    <n v="91.22"/>
    <n v="0"/>
    <n v="91.22"/>
    <m/>
    <m/>
    <x v="7"/>
  </r>
  <r>
    <s v="K7-10564"/>
    <x v="200"/>
    <x v="10"/>
    <x v="3"/>
    <x v="1"/>
    <x v="0"/>
    <x v="4"/>
    <x v="6"/>
    <s v="Ava Brooks"/>
    <n v="1"/>
    <n v="57.32"/>
    <n v="0"/>
    <n v="57.32"/>
    <m/>
    <m/>
    <x v="0"/>
  </r>
  <r>
    <s v="K7-10565"/>
    <x v="113"/>
    <x v="0"/>
    <x v="0"/>
    <x v="0"/>
    <x v="1"/>
    <x v="5"/>
    <x v="17"/>
    <s v="Noor Haddad"/>
    <n v="1"/>
    <n v="217.08"/>
    <n v="0"/>
    <n v="217.08"/>
    <m/>
    <m/>
    <x v="8"/>
  </r>
  <r>
    <s v="K7-10566"/>
    <x v="21"/>
    <x v="1"/>
    <x v="1"/>
    <x v="1"/>
    <x v="0"/>
    <x v="5"/>
    <x v="17"/>
    <s v="Grace Okafor"/>
    <n v="1"/>
    <n v="211.93"/>
    <n v="0"/>
    <n v="211.93"/>
    <m/>
    <m/>
    <x v="9"/>
  </r>
  <r>
    <s v="K7-10567"/>
    <x v="231"/>
    <x v="8"/>
    <x v="1"/>
    <x v="0"/>
    <x v="1"/>
    <x v="3"/>
    <x v="10"/>
    <s v="Marcus Reed"/>
    <n v="2"/>
    <n v="113.63"/>
    <n v="0"/>
    <n v="227.26"/>
    <m/>
    <m/>
    <x v="3"/>
  </r>
  <r>
    <s v="K7-10568"/>
    <x v="198"/>
    <x v="13"/>
    <x v="0"/>
    <x v="2"/>
    <x v="1"/>
    <x v="2"/>
    <x v="2"/>
    <s v="Jonah Wright"/>
    <n v="10"/>
    <n v="24.41"/>
    <n v="0"/>
    <n v="244.1"/>
    <m/>
    <m/>
    <x v="2"/>
  </r>
  <r>
    <s v="K7-10569"/>
    <x v="277"/>
    <x v="11"/>
    <x v="3"/>
    <x v="1"/>
    <x v="0"/>
    <x v="5"/>
    <x v="17"/>
    <s v="Elena Vargas"/>
    <n v="1"/>
    <n v="209.56"/>
    <n v="0"/>
    <n v="209.56"/>
    <m/>
    <m/>
    <x v="11"/>
  </r>
  <r>
    <s v="K7-10570"/>
    <x v="82"/>
    <x v="25"/>
    <x v="3"/>
    <x v="0"/>
    <x v="1"/>
    <x v="1"/>
    <x v="8"/>
    <s v="Elena Vargas"/>
    <n v="2"/>
    <n v="233.94"/>
    <n v="0.1"/>
    <n v="421.09"/>
    <m/>
    <m/>
    <x v="6"/>
  </r>
  <r>
    <s v="K7-10571"/>
    <x v="117"/>
    <x v="26"/>
    <x v="2"/>
    <x v="0"/>
    <x v="0"/>
    <x v="0"/>
    <x v="20"/>
    <s v="Dylan Foster"/>
    <n v="4"/>
    <n v="65.86"/>
    <n v="0.2"/>
    <n v="210.75"/>
    <m/>
    <m/>
    <x v="1"/>
  </r>
  <r>
    <s v="K7-10572"/>
    <x v="25"/>
    <x v="20"/>
    <x v="3"/>
    <x v="1"/>
    <x v="1"/>
    <x v="0"/>
    <x v="20"/>
    <s v="Jonah Wright"/>
    <n v="4"/>
    <n v="64.8"/>
    <n v="0"/>
    <n v="259.2"/>
    <m/>
    <m/>
    <x v="4"/>
  </r>
  <r>
    <s v="K7-10573"/>
    <x v="9"/>
    <x v="28"/>
    <x v="0"/>
    <x v="1"/>
    <x v="0"/>
    <x v="1"/>
    <x v="12"/>
    <s v="Ava Brooks"/>
    <n v="3"/>
    <n v="295.58999999999997"/>
    <n v="0"/>
    <n v="886.77"/>
    <m/>
    <m/>
    <x v="7"/>
  </r>
  <r>
    <s v="K7-10574"/>
    <x v="99"/>
    <x v="12"/>
    <x v="3"/>
    <x v="1"/>
    <x v="1"/>
    <x v="5"/>
    <x v="7"/>
    <s v="Priya Nair"/>
    <n v="1"/>
    <n v="150.16999999999999"/>
    <n v="0.3"/>
    <n v="105.12"/>
    <m/>
    <m/>
    <x v="11"/>
  </r>
  <r>
    <s v="K7-10575"/>
    <x v="78"/>
    <x v="25"/>
    <x v="3"/>
    <x v="1"/>
    <x v="0"/>
    <x v="1"/>
    <x v="1"/>
    <s v="Priya Nair"/>
    <n v="5"/>
    <n v="129.53"/>
    <n v="0.15"/>
    <n v="550.5"/>
    <m/>
    <m/>
    <x v="2"/>
  </r>
  <r>
    <s v="K7-10576"/>
    <x v="178"/>
    <x v="24"/>
    <x v="2"/>
    <x v="1"/>
    <x v="1"/>
    <x v="1"/>
    <x v="8"/>
    <s v="Ava Brooks"/>
    <n v="10"/>
    <n v="220.1"/>
    <n v="0.15"/>
    <n v="1870.85"/>
    <m/>
    <m/>
    <x v="2"/>
  </r>
  <r>
    <s v="K7-10577"/>
    <x v="55"/>
    <x v="8"/>
    <x v="1"/>
    <x v="0"/>
    <x v="0"/>
    <x v="0"/>
    <x v="21"/>
    <s v="Marcus Reed"/>
    <n v="1"/>
    <n v="47.32"/>
    <n v="0"/>
    <n v="47.32"/>
    <m/>
    <m/>
    <x v="11"/>
  </r>
  <r>
    <s v="K7-10578"/>
    <x v="169"/>
    <x v="16"/>
    <x v="0"/>
    <x v="2"/>
    <x v="0"/>
    <x v="1"/>
    <x v="1"/>
    <s v="Grace Okafor"/>
    <n v="1"/>
    <n v="127.74"/>
    <n v="0"/>
    <n v="127.74"/>
    <m/>
    <m/>
    <x v="6"/>
  </r>
  <r>
    <s v="K7-10579"/>
    <x v="244"/>
    <x v="20"/>
    <x v="3"/>
    <x v="0"/>
    <x v="1"/>
    <x v="0"/>
    <x v="20"/>
    <s v="Marcus Reed"/>
    <n v="3"/>
    <n v="66.349999999999994"/>
    <n v="0.2"/>
    <n v="159.24"/>
    <m/>
    <m/>
    <x v="4"/>
  </r>
  <r>
    <s v="K7-10580"/>
    <x v="278"/>
    <x v="15"/>
    <x v="1"/>
    <x v="2"/>
    <x v="0"/>
    <x v="1"/>
    <x v="3"/>
    <s v="Elena Vargas"/>
    <n v="1"/>
    <n v="163.86"/>
    <n v="0"/>
    <n v="163.86"/>
    <m/>
    <m/>
    <x v="3"/>
  </r>
  <r>
    <s v="K7-10581"/>
    <x v="148"/>
    <x v="20"/>
    <x v="3"/>
    <x v="3"/>
    <x v="0"/>
    <x v="5"/>
    <x v="9"/>
    <s v="Ava Brooks"/>
    <n v="1"/>
    <n v="86.54"/>
    <n v="0.1"/>
    <n v="77.89"/>
    <m/>
    <m/>
    <x v="0"/>
  </r>
  <r>
    <s v="K7-10582"/>
    <x v="10"/>
    <x v="7"/>
    <x v="2"/>
    <x v="3"/>
    <x v="0"/>
    <x v="0"/>
    <x v="21"/>
    <s v="Noor Haddad"/>
    <n v="8"/>
    <n v="44.2"/>
    <n v="0"/>
    <n v="353.6"/>
    <m/>
    <m/>
    <x v="5"/>
  </r>
  <r>
    <s v="K7-10583"/>
    <x v="252"/>
    <x v="1"/>
    <x v="1"/>
    <x v="2"/>
    <x v="0"/>
    <x v="4"/>
    <x v="13"/>
    <s v="Priya Nair"/>
    <n v="2"/>
    <n v="93.03"/>
    <n v="0"/>
    <n v="186.06"/>
    <m/>
    <m/>
    <x v="5"/>
  </r>
  <r>
    <s v="K7-10584"/>
    <x v="39"/>
    <x v="0"/>
    <x v="0"/>
    <x v="0"/>
    <x v="0"/>
    <x v="1"/>
    <x v="12"/>
    <s v="Marcus Reed"/>
    <n v="4"/>
    <n v="280.67"/>
    <n v="0.1"/>
    <n v="1010.41"/>
    <m/>
    <m/>
    <x v="5"/>
  </r>
  <r>
    <s v="K7-10585"/>
    <x v="92"/>
    <x v="28"/>
    <x v="0"/>
    <x v="1"/>
    <x v="1"/>
    <x v="0"/>
    <x v="20"/>
    <s v="Elena Vargas"/>
    <n v="1"/>
    <n v="68.83"/>
    <n v="0"/>
    <n v="68.83"/>
    <m/>
    <m/>
    <x v="3"/>
  </r>
  <r>
    <s v="K7-10586"/>
    <x v="279"/>
    <x v="21"/>
    <x v="0"/>
    <x v="3"/>
    <x v="0"/>
    <x v="3"/>
    <x v="15"/>
    <s v="Jonah Wright"/>
    <n v="5"/>
    <n v="97.13"/>
    <n v="0.15"/>
    <n v="412.8"/>
    <m/>
    <m/>
    <x v="5"/>
  </r>
  <r>
    <s v="K7-10587"/>
    <x v="280"/>
    <x v="21"/>
    <x v="0"/>
    <x v="0"/>
    <x v="0"/>
    <x v="0"/>
    <x v="20"/>
    <s v="Dylan Foster"/>
    <n v="2"/>
    <n v="66.290000000000006"/>
    <n v="0.15"/>
    <n v="112.69"/>
    <m/>
    <m/>
    <x v="4"/>
  </r>
  <r>
    <s v="K7-10588"/>
    <x v="119"/>
    <x v="1"/>
    <x v="1"/>
    <x v="0"/>
    <x v="1"/>
    <x v="0"/>
    <x v="0"/>
    <s v="Jonah Wright"/>
    <n v="4"/>
    <n v="55.82"/>
    <n v="0.3"/>
    <n v="156.30000000000001"/>
    <m/>
    <m/>
    <x v="9"/>
  </r>
  <r>
    <s v="K7-10589"/>
    <x v="267"/>
    <x v="0"/>
    <x v="0"/>
    <x v="0"/>
    <x v="1"/>
    <x v="0"/>
    <x v="20"/>
    <s v="Noor Haddad"/>
    <n v="11"/>
    <n v="64.77"/>
    <n v="0.2"/>
    <n v="569.98"/>
    <m/>
    <m/>
    <x v="7"/>
  </r>
  <r>
    <s v="K7-10590"/>
    <x v="111"/>
    <x v="17"/>
    <x v="0"/>
    <x v="1"/>
    <x v="1"/>
    <x v="1"/>
    <x v="3"/>
    <s v="Noor Haddad"/>
    <n v="1"/>
    <n v="181.36"/>
    <n v="0"/>
    <n v="181.36"/>
    <m/>
    <m/>
    <x v="11"/>
  </r>
  <r>
    <s v="K7-10591"/>
    <x v="193"/>
    <x v="14"/>
    <x v="2"/>
    <x v="0"/>
    <x v="1"/>
    <x v="0"/>
    <x v="21"/>
    <s v="Elena Vargas"/>
    <n v="1"/>
    <n v="48.71"/>
    <n v="0"/>
    <n v="48.71"/>
    <m/>
    <m/>
    <x v="9"/>
  </r>
  <r>
    <s v="K7-10592"/>
    <x v="49"/>
    <x v="26"/>
    <x v="2"/>
    <x v="0"/>
    <x v="0"/>
    <x v="1"/>
    <x v="12"/>
    <s v="Marcus Reed"/>
    <n v="4"/>
    <n v="299.58999999999997"/>
    <n v="0"/>
    <n v="1198.3599999999999"/>
    <m/>
    <m/>
    <x v="4"/>
  </r>
  <r>
    <s v="K7-10593"/>
    <x v="13"/>
    <x v="16"/>
    <x v="0"/>
    <x v="0"/>
    <x v="0"/>
    <x v="2"/>
    <x v="19"/>
    <s v="Marcus Reed"/>
    <n v="1"/>
    <n v="46.77"/>
    <n v="0"/>
    <n v="46.77"/>
    <m/>
    <m/>
    <x v="4"/>
  </r>
  <r>
    <s v="K7-10594"/>
    <x v="152"/>
    <x v="15"/>
    <x v="1"/>
    <x v="0"/>
    <x v="0"/>
    <x v="1"/>
    <x v="1"/>
    <s v="Grace Okafor"/>
    <n v="1"/>
    <n v="136.63999999999999"/>
    <n v="0.1"/>
    <n v="122.98"/>
    <m/>
    <m/>
    <x v="8"/>
  </r>
  <r>
    <s v="K7-10595"/>
    <x v="110"/>
    <x v="3"/>
    <x v="0"/>
    <x v="1"/>
    <x v="1"/>
    <x v="0"/>
    <x v="21"/>
    <s v="Elena Vargas"/>
    <n v="4"/>
    <n v="49.66"/>
    <n v="0"/>
    <n v="198.64"/>
    <m/>
    <m/>
    <x v="1"/>
  </r>
  <r>
    <s v="K7-10596"/>
    <x v="112"/>
    <x v="20"/>
    <x v="3"/>
    <x v="0"/>
    <x v="0"/>
    <x v="4"/>
    <x v="6"/>
    <s v="Ava Brooks"/>
    <n v="14"/>
    <n v="54.33"/>
    <n v="0.1"/>
    <n v="684.56"/>
    <m/>
    <m/>
    <x v="2"/>
  </r>
  <r>
    <s v="K7-10597"/>
    <x v="69"/>
    <x v="2"/>
    <x v="2"/>
    <x v="2"/>
    <x v="0"/>
    <x v="1"/>
    <x v="3"/>
    <s v="Marcus Reed"/>
    <n v="3"/>
    <n v="161.44999999999999"/>
    <n v="0"/>
    <n v="484.35"/>
    <m/>
    <m/>
    <x v="1"/>
  </r>
  <r>
    <s v="K7-10598"/>
    <x v="189"/>
    <x v="16"/>
    <x v="0"/>
    <x v="1"/>
    <x v="0"/>
    <x v="5"/>
    <x v="7"/>
    <s v="Ava Brooks"/>
    <n v="1"/>
    <n v="154.13999999999999"/>
    <n v="0"/>
    <n v="154.13999999999999"/>
    <m/>
    <m/>
    <x v="11"/>
  </r>
  <r>
    <s v="K7-10599"/>
    <x v="249"/>
    <x v="20"/>
    <x v="3"/>
    <x v="2"/>
    <x v="0"/>
    <x v="3"/>
    <x v="10"/>
    <s v="Jonah Wright"/>
    <n v="4"/>
    <n v="126.54"/>
    <n v="0.05"/>
    <n v="480.85"/>
    <m/>
    <m/>
    <x v="7"/>
  </r>
  <r>
    <s v="K7-10600"/>
    <x v="281"/>
    <x v="15"/>
    <x v="1"/>
    <x v="0"/>
    <x v="1"/>
    <x v="0"/>
    <x v="0"/>
    <s v="Elena Vargas"/>
    <n v="1"/>
    <n v="52.32"/>
    <n v="0.15"/>
    <n v="44.47"/>
    <m/>
    <m/>
    <x v="7"/>
  </r>
  <r>
    <s v="K7-10601"/>
    <x v="77"/>
    <x v="5"/>
    <x v="0"/>
    <x v="1"/>
    <x v="1"/>
    <x v="2"/>
    <x v="2"/>
    <s v="Grace Okafor"/>
    <n v="2"/>
    <n v="27.42"/>
    <n v="0"/>
    <n v="54.84"/>
    <m/>
    <m/>
    <x v="9"/>
  </r>
  <r>
    <s v="K7-10602"/>
    <x v="75"/>
    <x v="4"/>
    <x v="3"/>
    <x v="0"/>
    <x v="0"/>
    <x v="1"/>
    <x v="3"/>
    <s v="Elena Vargas"/>
    <n v="1"/>
    <n v="164.63"/>
    <n v="0"/>
    <n v="164.63"/>
    <m/>
    <m/>
    <x v="8"/>
  </r>
  <r>
    <s v="K7-10603"/>
    <x v="157"/>
    <x v="0"/>
    <x v="0"/>
    <x v="1"/>
    <x v="0"/>
    <x v="3"/>
    <x v="15"/>
    <s v="Priya Nair"/>
    <n v="2"/>
    <n v="96.56"/>
    <n v="0.05"/>
    <n v="183.46"/>
    <m/>
    <m/>
    <x v="6"/>
  </r>
  <r>
    <s v="K7-10604"/>
    <x v="282"/>
    <x v="27"/>
    <x v="2"/>
    <x v="1"/>
    <x v="1"/>
    <x v="1"/>
    <x v="3"/>
    <s v="Priya Nair"/>
    <n v="4"/>
    <n v="156.34"/>
    <n v="0"/>
    <n v="625.36"/>
    <m/>
    <m/>
    <x v="2"/>
  </r>
  <r>
    <s v="K7-10605"/>
    <x v="63"/>
    <x v="7"/>
    <x v="2"/>
    <x v="3"/>
    <x v="0"/>
    <x v="5"/>
    <x v="7"/>
    <s v="Noor Haddad"/>
    <n v="6"/>
    <n v="154.85"/>
    <n v="0.2"/>
    <n v="743.28"/>
    <m/>
    <m/>
    <x v="3"/>
  </r>
  <r>
    <s v="K7-10606"/>
    <x v="31"/>
    <x v="1"/>
    <x v="1"/>
    <x v="0"/>
    <x v="1"/>
    <x v="0"/>
    <x v="0"/>
    <s v="Priya Nair"/>
    <n v="6"/>
    <n v="57.6"/>
    <n v="0.15"/>
    <n v="293.76"/>
    <m/>
    <m/>
    <x v="1"/>
  </r>
  <r>
    <s v="K7-10607"/>
    <x v="282"/>
    <x v="0"/>
    <x v="0"/>
    <x v="3"/>
    <x v="0"/>
    <x v="3"/>
    <x v="4"/>
    <s v="Elena Vargas"/>
    <n v="1"/>
    <n v="141.4"/>
    <n v="0"/>
    <n v="141.4"/>
    <m/>
    <m/>
    <x v="2"/>
  </r>
  <r>
    <s v="K7-10608"/>
    <x v="129"/>
    <x v="9"/>
    <x v="2"/>
    <x v="0"/>
    <x v="0"/>
    <x v="0"/>
    <x v="18"/>
    <s v="Marcus Reed"/>
    <n v="8"/>
    <n v="33.33"/>
    <n v="0.1"/>
    <n v="239.98"/>
    <m/>
    <m/>
    <x v="10"/>
  </r>
  <r>
    <s v="K7-10609"/>
    <x v="283"/>
    <x v="0"/>
    <x v="0"/>
    <x v="0"/>
    <x v="0"/>
    <x v="4"/>
    <x v="6"/>
    <s v="Noor Haddad"/>
    <n v="13"/>
    <n v="56.99"/>
    <n v="0"/>
    <n v="740.87"/>
    <m/>
    <m/>
    <x v="0"/>
  </r>
  <r>
    <s v="K7-10610"/>
    <x v="37"/>
    <x v="2"/>
    <x v="2"/>
    <x v="0"/>
    <x v="0"/>
    <x v="0"/>
    <x v="18"/>
    <s v="Jonah Wright"/>
    <n v="8"/>
    <n v="32.270000000000003"/>
    <n v="0.05"/>
    <n v="245.25"/>
    <m/>
    <m/>
    <x v="10"/>
  </r>
  <r>
    <s v="K7-10611"/>
    <x v="284"/>
    <x v="3"/>
    <x v="0"/>
    <x v="0"/>
    <x v="1"/>
    <x v="0"/>
    <x v="0"/>
    <s v="Priya Nair"/>
    <n v="6"/>
    <n v="55.59"/>
    <n v="0"/>
    <n v="333.54"/>
    <m/>
    <m/>
    <x v="1"/>
  </r>
  <r>
    <s v="K7-10612"/>
    <x v="166"/>
    <x v="20"/>
    <x v="3"/>
    <x v="2"/>
    <x v="1"/>
    <x v="0"/>
    <x v="21"/>
    <s v="Marcus Reed"/>
    <n v="1"/>
    <n v="47.08"/>
    <n v="0.05"/>
    <n v="44.73"/>
    <m/>
    <m/>
    <x v="8"/>
  </r>
  <r>
    <s v="K7-10613"/>
    <x v="285"/>
    <x v="15"/>
    <x v="1"/>
    <x v="1"/>
    <x v="1"/>
    <x v="1"/>
    <x v="1"/>
    <s v="Noor Haddad"/>
    <n v="2"/>
    <n v="133.28"/>
    <n v="0"/>
    <n v="266.56"/>
    <m/>
    <m/>
    <x v="5"/>
  </r>
  <r>
    <s v="K7-10614"/>
    <x v="225"/>
    <x v="2"/>
    <x v="2"/>
    <x v="0"/>
    <x v="0"/>
    <x v="3"/>
    <x v="15"/>
    <s v="Ava Brooks"/>
    <n v="2"/>
    <n v="90.25"/>
    <n v="0"/>
    <n v="180.5"/>
    <m/>
    <m/>
    <x v="7"/>
  </r>
  <r>
    <s v="K7-10615"/>
    <x v="239"/>
    <x v="17"/>
    <x v="0"/>
    <x v="0"/>
    <x v="1"/>
    <x v="4"/>
    <x v="14"/>
    <s v="Elena Vargas"/>
    <n v="5"/>
    <n v="80.38"/>
    <n v="0"/>
    <n v="401.9"/>
    <m/>
    <m/>
    <x v="2"/>
  </r>
  <r>
    <s v="K7-10616"/>
    <x v="36"/>
    <x v="1"/>
    <x v="1"/>
    <x v="1"/>
    <x v="1"/>
    <x v="3"/>
    <x v="10"/>
    <s v="Grace Okafor"/>
    <n v="5"/>
    <n v="112.85"/>
    <n v="0.1"/>
    <n v="507.82"/>
    <m/>
    <m/>
    <x v="2"/>
  </r>
  <r>
    <s v="K7-10617"/>
    <x v="286"/>
    <x v="0"/>
    <x v="0"/>
    <x v="1"/>
    <x v="1"/>
    <x v="1"/>
    <x v="12"/>
    <s v="Dylan Foster"/>
    <n v="4"/>
    <n v="282.51"/>
    <n v="0.1"/>
    <n v="1017.04"/>
    <m/>
    <m/>
    <x v="5"/>
  </r>
  <r>
    <s v="K7-10618"/>
    <x v="74"/>
    <x v="5"/>
    <x v="0"/>
    <x v="3"/>
    <x v="1"/>
    <x v="3"/>
    <x v="15"/>
    <s v="Noor Haddad"/>
    <n v="5"/>
    <n v="100.34"/>
    <n v="0"/>
    <n v="501.7"/>
    <m/>
    <m/>
    <x v="5"/>
  </r>
  <r>
    <s v="K7-10619"/>
    <x v="142"/>
    <x v="1"/>
    <x v="1"/>
    <x v="0"/>
    <x v="0"/>
    <x v="0"/>
    <x v="0"/>
    <s v="Ava Brooks"/>
    <n v="1"/>
    <n v="54.27"/>
    <n v="0"/>
    <n v="54.27"/>
    <m/>
    <m/>
    <x v="9"/>
  </r>
  <r>
    <s v="K7-10620"/>
    <x v="175"/>
    <x v="9"/>
    <x v="2"/>
    <x v="0"/>
    <x v="0"/>
    <x v="4"/>
    <x v="14"/>
    <s v="Grace Okafor"/>
    <n v="1"/>
    <n v="79.61"/>
    <n v="0"/>
    <n v="79.61"/>
    <m/>
    <m/>
    <x v="11"/>
  </r>
  <r>
    <s v="K7-10621"/>
    <x v="161"/>
    <x v="3"/>
    <x v="0"/>
    <x v="1"/>
    <x v="0"/>
    <x v="0"/>
    <x v="0"/>
    <s v="Marcus Reed"/>
    <n v="1"/>
    <n v="54.9"/>
    <n v="0"/>
    <n v="54.9"/>
    <m/>
    <m/>
    <x v="1"/>
  </r>
  <r>
    <s v="K7-10622"/>
    <x v="86"/>
    <x v="8"/>
    <x v="1"/>
    <x v="0"/>
    <x v="1"/>
    <x v="4"/>
    <x v="6"/>
    <s v="Elena Vargas"/>
    <n v="1"/>
    <n v="60.14"/>
    <n v="0"/>
    <n v="60.14"/>
    <m/>
    <m/>
    <x v="0"/>
  </r>
  <r>
    <s v="K7-10623"/>
    <x v="287"/>
    <x v="12"/>
    <x v="3"/>
    <x v="3"/>
    <x v="1"/>
    <x v="0"/>
    <x v="18"/>
    <s v="Noor Haddad"/>
    <n v="1"/>
    <n v="32.33"/>
    <n v="0.2"/>
    <n v="25.86"/>
    <m/>
    <m/>
    <x v="2"/>
  </r>
  <r>
    <s v="K7-10624"/>
    <x v="221"/>
    <x v="27"/>
    <x v="2"/>
    <x v="0"/>
    <x v="0"/>
    <x v="5"/>
    <x v="9"/>
    <s v="Elena Vargas"/>
    <n v="1"/>
    <n v="86.34"/>
    <n v="0"/>
    <n v="86.34"/>
    <m/>
    <m/>
    <x v="6"/>
  </r>
  <r>
    <s v="K7-10625"/>
    <x v="43"/>
    <x v="19"/>
    <x v="1"/>
    <x v="3"/>
    <x v="0"/>
    <x v="1"/>
    <x v="8"/>
    <s v="Elena Vargas"/>
    <n v="8"/>
    <n v="229.89"/>
    <n v="0"/>
    <n v="1839.12"/>
    <m/>
    <m/>
    <x v="5"/>
  </r>
  <r>
    <s v="K7-10626"/>
    <x v="51"/>
    <x v="7"/>
    <x v="2"/>
    <x v="0"/>
    <x v="1"/>
    <x v="2"/>
    <x v="19"/>
    <s v="Priya Nair"/>
    <n v="8"/>
    <n v="45.12"/>
    <n v="0.3"/>
    <n v="252.67"/>
    <m/>
    <m/>
    <x v="3"/>
  </r>
  <r>
    <s v="K7-10627"/>
    <x v="213"/>
    <x v="6"/>
    <x v="2"/>
    <x v="1"/>
    <x v="0"/>
    <x v="4"/>
    <x v="6"/>
    <s v="Ava Brooks"/>
    <n v="2"/>
    <n v="58.95"/>
    <n v="0.05"/>
    <n v="112"/>
    <m/>
    <m/>
    <x v="10"/>
  </r>
  <r>
    <s v="K7-10628"/>
    <x v="288"/>
    <x v="15"/>
    <x v="1"/>
    <x v="0"/>
    <x v="0"/>
    <x v="3"/>
    <x v="4"/>
    <s v="Dylan Foster"/>
    <n v="2"/>
    <n v="129.47999999999999"/>
    <n v="0.05"/>
    <n v="246.01"/>
    <m/>
    <m/>
    <x v="2"/>
  </r>
  <r>
    <s v="K7-10629"/>
    <x v="143"/>
    <x v="24"/>
    <x v="2"/>
    <x v="0"/>
    <x v="0"/>
    <x v="4"/>
    <x v="14"/>
    <s v="Grace Okafor"/>
    <n v="2"/>
    <n v="74.650000000000006"/>
    <n v="0"/>
    <n v="149.30000000000001"/>
    <m/>
    <m/>
    <x v="10"/>
  </r>
  <r>
    <s v="K7-10630"/>
    <x v="17"/>
    <x v="5"/>
    <x v="0"/>
    <x v="3"/>
    <x v="0"/>
    <x v="2"/>
    <x v="16"/>
    <s v="Grace Okafor"/>
    <n v="3"/>
    <n v="57.14"/>
    <n v="0"/>
    <n v="171.42"/>
    <m/>
    <m/>
    <x v="8"/>
  </r>
  <r>
    <s v="K7-10631"/>
    <x v="287"/>
    <x v="13"/>
    <x v="0"/>
    <x v="0"/>
    <x v="0"/>
    <x v="1"/>
    <x v="3"/>
    <s v="Marcus Reed"/>
    <n v="5"/>
    <n v="180.91"/>
    <n v="0"/>
    <n v="904.55"/>
    <m/>
    <m/>
    <x v="2"/>
  </r>
  <r>
    <s v="K7-10632"/>
    <x v="289"/>
    <x v="16"/>
    <x v="0"/>
    <x v="0"/>
    <x v="1"/>
    <x v="3"/>
    <x v="15"/>
    <s v="Elena Vargas"/>
    <n v="4"/>
    <n v="90.48"/>
    <n v="0"/>
    <n v="361.92"/>
    <m/>
    <m/>
    <x v="1"/>
  </r>
  <r>
    <s v="K7-10633"/>
    <x v="114"/>
    <x v="7"/>
    <x v="2"/>
    <x v="0"/>
    <x v="1"/>
    <x v="1"/>
    <x v="3"/>
    <s v="Elena Vargas"/>
    <n v="1"/>
    <n v="164.34"/>
    <n v="0"/>
    <n v="164.34"/>
    <m/>
    <m/>
    <x v="8"/>
  </r>
  <r>
    <s v="K7-10634"/>
    <x v="7"/>
    <x v="23"/>
    <x v="0"/>
    <x v="2"/>
    <x v="0"/>
    <x v="0"/>
    <x v="20"/>
    <s v="Marcus Reed"/>
    <n v="1"/>
    <n v="65.52"/>
    <n v="0"/>
    <n v="65.52"/>
    <m/>
    <m/>
    <x v="5"/>
  </r>
  <r>
    <s v="K7-10635"/>
    <x v="290"/>
    <x v="9"/>
    <x v="2"/>
    <x v="1"/>
    <x v="1"/>
    <x v="2"/>
    <x v="2"/>
    <s v="Marcus Reed"/>
    <n v="2"/>
    <n v="27.22"/>
    <n v="0.05"/>
    <n v="51.72"/>
    <m/>
    <m/>
    <x v="8"/>
  </r>
  <r>
    <s v="K7-10636"/>
    <x v="289"/>
    <x v="7"/>
    <x v="2"/>
    <x v="0"/>
    <x v="0"/>
    <x v="3"/>
    <x v="15"/>
    <s v="Noor Haddad"/>
    <n v="4"/>
    <n v="95.87"/>
    <n v="0.05"/>
    <n v="364.31"/>
    <m/>
    <m/>
    <x v="1"/>
  </r>
  <r>
    <s v="K7-10637"/>
    <x v="291"/>
    <x v="14"/>
    <x v="2"/>
    <x v="0"/>
    <x v="0"/>
    <x v="4"/>
    <x v="11"/>
    <s v="Jonah Wright"/>
    <n v="3"/>
    <n v="78.84"/>
    <n v="0.05"/>
    <n v="224.69"/>
    <m/>
    <m/>
    <x v="6"/>
  </r>
  <r>
    <s v="K7-10638"/>
    <x v="241"/>
    <x v="15"/>
    <x v="1"/>
    <x v="2"/>
    <x v="1"/>
    <x v="5"/>
    <x v="7"/>
    <s v="Priya Nair"/>
    <n v="2"/>
    <n v="153.47999999999999"/>
    <n v="0"/>
    <n v="306.95999999999998"/>
    <m/>
    <m/>
    <x v="4"/>
  </r>
  <r>
    <s v="K7-10639"/>
    <x v="248"/>
    <x v="6"/>
    <x v="2"/>
    <x v="1"/>
    <x v="1"/>
    <x v="0"/>
    <x v="18"/>
    <s v="Dylan Foster"/>
    <n v="3"/>
    <n v="33"/>
    <n v="0.3"/>
    <n v="69.3"/>
    <m/>
    <m/>
    <x v="1"/>
  </r>
  <r>
    <s v="K7-10640"/>
    <x v="62"/>
    <x v="24"/>
    <x v="2"/>
    <x v="2"/>
    <x v="1"/>
    <x v="1"/>
    <x v="1"/>
    <s v="Priya Nair"/>
    <n v="2"/>
    <n v="139.01"/>
    <n v="0"/>
    <n v="278.02"/>
    <m/>
    <m/>
    <x v="0"/>
  </r>
  <r>
    <s v="K7-10641"/>
    <x v="202"/>
    <x v="29"/>
    <x v="1"/>
    <x v="2"/>
    <x v="1"/>
    <x v="5"/>
    <x v="7"/>
    <s v="Priya Nair"/>
    <n v="5"/>
    <n v="149.12"/>
    <n v="0"/>
    <n v="745.6"/>
    <m/>
    <m/>
    <x v="1"/>
  </r>
  <r>
    <s v="K7-10642"/>
    <x v="70"/>
    <x v="8"/>
    <x v="1"/>
    <x v="0"/>
    <x v="1"/>
    <x v="5"/>
    <x v="7"/>
    <s v="Priya Nair"/>
    <n v="1"/>
    <n v="158.91"/>
    <n v="0"/>
    <n v="158.91"/>
    <m/>
    <m/>
    <x v="8"/>
  </r>
  <r>
    <s v="K7-10643"/>
    <x v="199"/>
    <x v="26"/>
    <x v="2"/>
    <x v="0"/>
    <x v="0"/>
    <x v="1"/>
    <x v="1"/>
    <s v="Elena Vargas"/>
    <n v="10"/>
    <n v="131.87"/>
    <n v="0.05"/>
    <n v="1252.76"/>
    <m/>
    <m/>
    <x v="1"/>
  </r>
  <r>
    <s v="K7-10644"/>
    <x v="198"/>
    <x v="11"/>
    <x v="3"/>
    <x v="1"/>
    <x v="1"/>
    <x v="4"/>
    <x v="13"/>
    <s v="Dylan Foster"/>
    <n v="3"/>
    <n v="84.87"/>
    <n v="0.15"/>
    <n v="216.42"/>
    <m/>
    <m/>
    <x v="2"/>
  </r>
  <r>
    <s v="K7-10645"/>
    <x v="258"/>
    <x v="24"/>
    <x v="2"/>
    <x v="3"/>
    <x v="1"/>
    <x v="4"/>
    <x v="11"/>
    <s v="Jonah Wright"/>
    <n v="1"/>
    <n v="77.569999999999993"/>
    <n v="0.05"/>
    <n v="73.69"/>
    <m/>
    <m/>
    <x v="7"/>
  </r>
  <r>
    <s v="K7-10646"/>
    <x v="292"/>
    <x v="5"/>
    <x v="0"/>
    <x v="0"/>
    <x v="0"/>
    <x v="1"/>
    <x v="3"/>
    <s v="Dylan Foster"/>
    <n v="1"/>
    <n v="162.72"/>
    <n v="0.2"/>
    <n v="130.18"/>
    <m/>
    <m/>
    <x v="0"/>
  </r>
  <r>
    <s v="K7-10647"/>
    <x v="22"/>
    <x v="11"/>
    <x v="3"/>
    <x v="0"/>
    <x v="0"/>
    <x v="2"/>
    <x v="19"/>
    <s v="Grace Okafor"/>
    <n v="15"/>
    <n v="47.66"/>
    <n v="0.15"/>
    <n v="607.66"/>
    <m/>
    <m/>
    <x v="3"/>
  </r>
  <r>
    <s v="K7-10648"/>
    <x v="36"/>
    <x v="7"/>
    <x v="2"/>
    <x v="1"/>
    <x v="0"/>
    <x v="2"/>
    <x v="5"/>
    <s v="Marcus Reed"/>
    <n v="1"/>
    <n v="38.9"/>
    <n v="0.05"/>
    <n v="36.950000000000003"/>
    <m/>
    <m/>
    <x v="2"/>
  </r>
  <r>
    <s v="K7-10649"/>
    <x v="99"/>
    <x v="7"/>
    <x v="2"/>
    <x v="1"/>
    <x v="0"/>
    <x v="3"/>
    <x v="10"/>
    <s v="Dylan Foster"/>
    <n v="2"/>
    <n v="110.78"/>
    <n v="0"/>
    <n v="221.56"/>
    <m/>
    <m/>
    <x v="11"/>
  </r>
  <r>
    <s v="K7-10650"/>
    <x v="73"/>
    <x v="21"/>
    <x v="0"/>
    <x v="1"/>
    <x v="0"/>
    <x v="2"/>
    <x v="16"/>
    <s v="Ava Brooks"/>
    <n v="1"/>
    <n v="63.95"/>
    <n v="0"/>
    <n v="63.95"/>
    <m/>
    <m/>
    <x v="10"/>
  </r>
  <r>
    <s v="K7-10651"/>
    <x v="0"/>
    <x v="29"/>
    <x v="1"/>
    <x v="1"/>
    <x v="1"/>
    <x v="5"/>
    <x v="17"/>
    <s v="Ava Brooks"/>
    <n v="2"/>
    <n v="212.06"/>
    <n v="0"/>
    <n v="424.12"/>
    <m/>
    <m/>
    <x v="0"/>
  </r>
  <r>
    <s v="K7-10652"/>
    <x v="293"/>
    <x v="0"/>
    <x v="0"/>
    <x v="1"/>
    <x v="0"/>
    <x v="1"/>
    <x v="12"/>
    <s v="Dylan Foster"/>
    <n v="4"/>
    <n v="288.10000000000002"/>
    <n v="0"/>
    <n v="1152.4000000000001"/>
    <m/>
    <m/>
    <x v="2"/>
  </r>
  <r>
    <s v="K7-10653"/>
    <x v="49"/>
    <x v="9"/>
    <x v="2"/>
    <x v="0"/>
    <x v="0"/>
    <x v="4"/>
    <x v="13"/>
    <s v="Marcus Reed"/>
    <n v="2"/>
    <n v="92.51"/>
    <n v="0"/>
    <n v="185.02"/>
    <m/>
    <m/>
    <x v="4"/>
  </r>
  <r>
    <s v="K7-10654"/>
    <x v="47"/>
    <x v="7"/>
    <x v="2"/>
    <x v="1"/>
    <x v="0"/>
    <x v="1"/>
    <x v="3"/>
    <s v="Jonah Wright"/>
    <n v="5"/>
    <n v="180.46"/>
    <n v="0"/>
    <n v="902.3"/>
    <m/>
    <m/>
    <x v="2"/>
  </r>
  <r>
    <s v="K7-10655"/>
    <x v="227"/>
    <x v="9"/>
    <x v="2"/>
    <x v="1"/>
    <x v="0"/>
    <x v="4"/>
    <x v="14"/>
    <s v="Elena Vargas"/>
    <n v="5"/>
    <n v="77.44"/>
    <n v="0"/>
    <n v="387.2"/>
    <m/>
    <m/>
    <x v="10"/>
  </r>
  <r>
    <s v="K7-10656"/>
    <x v="131"/>
    <x v="20"/>
    <x v="3"/>
    <x v="0"/>
    <x v="1"/>
    <x v="4"/>
    <x v="13"/>
    <s v="Jonah Wright"/>
    <n v="1"/>
    <n v="97.49"/>
    <n v="0"/>
    <n v="97.49"/>
    <m/>
    <m/>
    <x v="7"/>
  </r>
  <r>
    <s v="K7-10657"/>
    <x v="294"/>
    <x v="8"/>
    <x v="1"/>
    <x v="1"/>
    <x v="0"/>
    <x v="5"/>
    <x v="7"/>
    <s v="Grace Okafor"/>
    <n v="1"/>
    <n v="159.24"/>
    <n v="0.2"/>
    <n v="127.39"/>
    <m/>
    <m/>
    <x v="7"/>
  </r>
  <r>
    <s v="K7-10658"/>
    <x v="138"/>
    <x v="13"/>
    <x v="0"/>
    <x v="0"/>
    <x v="0"/>
    <x v="5"/>
    <x v="7"/>
    <s v="Ava Brooks"/>
    <n v="6"/>
    <n v="150.69999999999999"/>
    <n v="0"/>
    <n v="904.2"/>
    <m/>
    <m/>
    <x v="1"/>
  </r>
  <r>
    <s v="K7-10659"/>
    <x v="278"/>
    <x v="9"/>
    <x v="2"/>
    <x v="0"/>
    <x v="0"/>
    <x v="2"/>
    <x v="2"/>
    <s v="Ava Brooks"/>
    <n v="1"/>
    <n v="27.47"/>
    <n v="0"/>
    <n v="27.47"/>
    <m/>
    <m/>
    <x v="3"/>
  </r>
  <r>
    <s v="K7-10660"/>
    <x v="230"/>
    <x v="16"/>
    <x v="0"/>
    <x v="2"/>
    <x v="0"/>
    <x v="1"/>
    <x v="3"/>
    <s v="Jonah Wright"/>
    <n v="8"/>
    <n v="156.81"/>
    <n v="0"/>
    <n v="1254.48"/>
    <m/>
    <m/>
    <x v="10"/>
  </r>
  <r>
    <s v="K7-10661"/>
    <x v="16"/>
    <x v="5"/>
    <x v="0"/>
    <x v="0"/>
    <x v="0"/>
    <x v="0"/>
    <x v="18"/>
    <s v="Marcus Reed"/>
    <n v="4"/>
    <n v="30.14"/>
    <n v="0.05"/>
    <n v="114.53"/>
    <m/>
    <m/>
    <x v="3"/>
  </r>
  <r>
    <s v="K7-10662"/>
    <x v="204"/>
    <x v="25"/>
    <x v="3"/>
    <x v="0"/>
    <x v="1"/>
    <x v="0"/>
    <x v="20"/>
    <s v="Elena Vargas"/>
    <n v="1"/>
    <n v="72.48"/>
    <n v="0"/>
    <n v="72.48"/>
    <m/>
    <m/>
    <x v="7"/>
  </r>
  <r>
    <s v="K7-10663"/>
    <x v="106"/>
    <x v="5"/>
    <x v="0"/>
    <x v="0"/>
    <x v="0"/>
    <x v="2"/>
    <x v="5"/>
    <s v="Elena Vargas"/>
    <n v="2"/>
    <n v="35.58"/>
    <n v="0.3"/>
    <n v="49.81"/>
    <m/>
    <m/>
    <x v="10"/>
  </r>
  <r>
    <s v="K7-10664"/>
    <x v="283"/>
    <x v="11"/>
    <x v="3"/>
    <x v="0"/>
    <x v="1"/>
    <x v="5"/>
    <x v="17"/>
    <s v="Dylan Foster"/>
    <n v="1"/>
    <n v="231.32"/>
    <n v="0"/>
    <n v="231.32"/>
    <m/>
    <m/>
    <x v="0"/>
  </r>
  <r>
    <s v="K7-10665"/>
    <x v="41"/>
    <x v="1"/>
    <x v="1"/>
    <x v="2"/>
    <x v="1"/>
    <x v="3"/>
    <x v="10"/>
    <s v="Elena Vargas"/>
    <n v="2"/>
    <n v="118.59"/>
    <n v="0.1"/>
    <n v="213.46"/>
    <m/>
    <m/>
    <x v="4"/>
  </r>
  <r>
    <s v="K7-10666"/>
    <x v="275"/>
    <x v="26"/>
    <x v="2"/>
    <x v="0"/>
    <x v="1"/>
    <x v="4"/>
    <x v="6"/>
    <s v="Marcus Reed"/>
    <n v="18"/>
    <n v="54.8"/>
    <n v="0.05"/>
    <n v="937.08"/>
    <m/>
    <m/>
    <x v="5"/>
  </r>
  <r>
    <s v="K7-10667"/>
    <x v="139"/>
    <x v="26"/>
    <x v="2"/>
    <x v="2"/>
    <x v="0"/>
    <x v="0"/>
    <x v="0"/>
    <s v="Noor Haddad"/>
    <n v="1"/>
    <n v="54.12"/>
    <n v="0"/>
    <n v="54.12"/>
    <m/>
    <m/>
    <x v="7"/>
  </r>
  <r>
    <s v="K7-10668"/>
    <x v="195"/>
    <x v="0"/>
    <x v="0"/>
    <x v="1"/>
    <x v="1"/>
    <x v="5"/>
    <x v="7"/>
    <s v="Ava Brooks"/>
    <n v="2"/>
    <n v="161.71"/>
    <n v="0"/>
    <n v="323.42"/>
    <m/>
    <m/>
    <x v="3"/>
  </r>
  <r>
    <s v="K7-10669"/>
    <x v="295"/>
    <x v="7"/>
    <x v="2"/>
    <x v="3"/>
    <x v="0"/>
    <x v="2"/>
    <x v="2"/>
    <s v="Jonah Wright"/>
    <n v="12"/>
    <n v="26.31"/>
    <n v="0"/>
    <n v="315.72000000000003"/>
    <m/>
    <m/>
    <x v="11"/>
  </r>
  <r>
    <s v="K7-10670"/>
    <x v="296"/>
    <x v="20"/>
    <x v="3"/>
    <x v="2"/>
    <x v="1"/>
    <x v="3"/>
    <x v="4"/>
    <s v="Dylan Foster"/>
    <n v="1"/>
    <n v="128.76"/>
    <n v="0.1"/>
    <n v="115.88"/>
    <m/>
    <m/>
    <x v="6"/>
  </r>
  <r>
    <s v="K7-10671"/>
    <x v="123"/>
    <x v="15"/>
    <x v="1"/>
    <x v="0"/>
    <x v="0"/>
    <x v="1"/>
    <x v="8"/>
    <s v="Elena Vargas"/>
    <n v="2"/>
    <n v="223.56"/>
    <n v="0"/>
    <n v="447.12"/>
    <m/>
    <m/>
    <x v="9"/>
  </r>
  <r>
    <s v="K7-10672"/>
    <x v="189"/>
    <x v="10"/>
    <x v="3"/>
    <x v="0"/>
    <x v="0"/>
    <x v="0"/>
    <x v="21"/>
    <s v="Jonah Wright"/>
    <n v="1"/>
    <n v="46.12"/>
    <n v="0.15"/>
    <n v="39.200000000000003"/>
    <m/>
    <m/>
    <x v="11"/>
  </r>
  <r>
    <s v="K7-10673"/>
    <x v="297"/>
    <x v="5"/>
    <x v="0"/>
    <x v="2"/>
    <x v="0"/>
    <x v="0"/>
    <x v="21"/>
    <s v="Dylan Foster"/>
    <n v="5"/>
    <n v="48.3"/>
    <n v="0.05"/>
    <n v="229.42"/>
    <m/>
    <m/>
    <x v="0"/>
  </r>
  <r>
    <s v="K7-10674"/>
    <x v="150"/>
    <x v="22"/>
    <x v="0"/>
    <x v="1"/>
    <x v="0"/>
    <x v="0"/>
    <x v="20"/>
    <s v="Marcus Reed"/>
    <n v="5"/>
    <n v="70.97"/>
    <n v="0.05"/>
    <n v="337.11"/>
    <m/>
    <m/>
    <x v="0"/>
  </r>
  <r>
    <s v="K7-10675"/>
    <x v="97"/>
    <x v="6"/>
    <x v="2"/>
    <x v="1"/>
    <x v="0"/>
    <x v="2"/>
    <x v="16"/>
    <s v="Priya Nair"/>
    <n v="2"/>
    <n v="59.47"/>
    <n v="0"/>
    <n v="118.94"/>
    <m/>
    <m/>
    <x v="8"/>
  </r>
  <r>
    <s v="K7-10676"/>
    <x v="140"/>
    <x v="7"/>
    <x v="2"/>
    <x v="1"/>
    <x v="0"/>
    <x v="5"/>
    <x v="17"/>
    <s v="Marcus Reed"/>
    <n v="4"/>
    <n v="204.54"/>
    <n v="0"/>
    <n v="818.16"/>
    <m/>
    <m/>
    <x v="2"/>
  </r>
  <r>
    <s v="K7-10677"/>
    <x v="119"/>
    <x v="20"/>
    <x v="3"/>
    <x v="1"/>
    <x v="0"/>
    <x v="1"/>
    <x v="3"/>
    <s v="Elena Vargas"/>
    <n v="3"/>
    <n v="159.54"/>
    <n v="0"/>
    <n v="478.62"/>
    <m/>
    <m/>
    <x v="9"/>
  </r>
  <r>
    <s v="K7-10678"/>
    <x v="248"/>
    <x v="29"/>
    <x v="1"/>
    <x v="0"/>
    <x v="0"/>
    <x v="1"/>
    <x v="3"/>
    <s v="Jonah Wright"/>
    <n v="2"/>
    <n v="170.88"/>
    <n v="0.15"/>
    <n v="290.5"/>
    <m/>
    <m/>
    <x v="1"/>
  </r>
  <r>
    <s v="K7-10679"/>
    <x v="285"/>
    <x v="10"/>
    <x v="3"/>
    <x v="0"/>
    <x v="0"/>
    <x v="0"/>
    <x v="20"/>
    <s v="Ava Brooks"/>
    <n v="13"/>
    <n v="70.94"/>
    <n v="0"/>
    <n v="922.22"/>
    <m/>
    <m/>
    <x v="5"/>
  </r>
  <r>
    <s v="K7-10680"/>
    <x v="17"/>
    <x v="4"/>
    <x v="3"/>
    <x v="3"/>
    <x v="1"/>
    <x v="4"/>
    <x v="6"/>
    <s v="Ava Brooks"/>
    <n v="1"/>
    <n v="54.1"/>
    <n v="0"/>
    <n v="54.1"/>
    <m/>
    <m/>
    <x v="8"/>
  </r>
  <r>
    <s v="K7-10681"/>
    <x v="47"/>
    <x v="7"/>
    <x v="2"/>
    <x v="1"/>
    <x v="1"/>
    <x v="3"/>
    <x v="10"/>
    <s v="Elena Vargas"/>
    <n v="5"/>
    <n v="118.76"/>
    <n v="0.05"/>
    <n v="564.11"/>
    <m/>
    <m/>
    <x v="2"/>
  </r>
  <r>
    <s v="K7-10682"/>
    <x v="107"/>
    <x v="29"/>
    <x v="1"/>
    <x v="3"/>
    <x v="0"/>
    <x v="3"/>
    <x v="10"/>
    <s v="Grace Okafor"/>
    <n v="1"/>
    <n v="109.46"/>
    <n v="0.2"/>
    <n v="87.57"/>
    <m/>
    <m/>
    <x v="8"/>
  </r>
  <r>
    <s v="K7-10683"/>
    <x v="298"/>
    <x v="8"/>
    <x v="1"/>
    <x v="3"/>
    <x v="1"/>
    <x v="5"/>
    <x v="17"/>
    <s v="Elena Vargas"/>
    <n v="3"/>
    <n v="216.84"/>
    <n v="0.05"/>
    <n v="617.99"/>
    <m/>
    <m/>
    <x v="1"/>
  </r>
  <r>
    <s v="K7-10684"/>
    <x v="299"/>
    <x v="3"/>
    <x v="0"/>
    <x v="3"/>
    <x v="0"/>
    <x v="5"/>
    <x v="9"/>
    <s v="Ava Brooks"/>
    <n v="1"/>
    <n v="84.95"/>
    <n v="0"/>
    <n v="84.95"/>
    <m/>
    <m/>
    <x v="5"/>
  </r>
  <r>
    <s v="K7-10685"/>
    <x v="140"/>
    <x v="23"/>
    <x v="0"/>
    <x v="1"/>
    <x v="0"/>
    <x v="1"/>
    <x v="8"/>
    <s v="Grace Okafor"/>
    <n v="1"/>
    <n v="225.14"/>
    <n v="0"/>
    <n v="225.14"/>
    <m/>
    <m/>
    <x v="2"/>
  </r>
  <r>
    <s v="K7-10686"/>
    <x v="265"/>
    <x v="0"/>
    <x v="0"/>
    <x v="1"/>
    <x v="1"/>
    <x v="5"/>
    <x v="17"/>
    <s v="Grace Okafor"/>
    <n v="2"/>
    <n v="211.64"/>
    <n v="0"/>
    <n v="423.28"/>
    <m/>
    <m/>
    <x v="9"/>
  </r>
  <r>
    <s v="K7-10687"/>
    <x v="48"/>
    <x v="4"/>
    <x v="3"/>
    <x v="1"/>
    <x v="0"/>
    <x v="1"/>
    <x v="3"/>
    <s v="Elena Vargas"/>
    <n v="2"/>
    <n v="157.91"/>
    <n v="0"/>
    <n v="315.82"/>
    <m/>
    <m/>
    <x v="7"/>
  </r>
  <r>
    <s v="K7-10688"/>
    <x v="200"/>
    <x v="7"/>
    <x v="2"/>
    <x v="0"/>
    <x v="1"/>
    <x v="4"/>
    <x v="13"/>
    <s v="Priya Nair"/>
    <n v="2"/>
    <n v="91.79"/>
    <n v="0.15"/>
    <n v="156.04"/>
    <m/>
    <m/>
    <x v="0"/>
  </r>
  <r>
    <s v="K7-10689"/>
    <x v="227"/>
    <x v="3"/>
    <x v="0"/>
    <x v="1"/>
    <x v="0"/>
    <x v="2"/>
    <x v="5"/>
    <s v="Jonah Wright"/>
    <n v="1"/>
    <n v="36.43"/>
    <n v="0"/>
    <n v="36.43"/>
    <m/>
    <m/>
    <x v="10"/>
  </r>
  <r>
    <s v="K7-10690"/>
    <x v="130"/>
    <x v="14"/>
    <x v="2"/>
    <x v="2"/>
    <x v="1"/>
    <x v="3"/>
    <x v="4"/>
    <s v="Jonah Wright"/>
    <n v="4"/>
    <n v="123.96"/>
    <n v="0"/>
    <n v="495.84"/>
    <m/>
    <m/>
    <x v="9"/>
  </r>
  <r>
    <s v="K7-10691"/>
    <x v="36"/>
    <x v="0"/>
    <x v="0"/>
    <x v="3"/>
    <x v="0"/>
    <x v="2"/>
    <x v="16"/>
    <s v="Marcus Reed"/>
    <n v="1"/>
    <n v="63.62"/>
    <n v="0"/>
    <n v="63.62"/>
    <m/>
    <m/>
    <x v="2"/>
  </r>
  <r>
    <s v="K7-10692"/>
    <x v="259"/>
    <x v="4"/>
    <x v="3"/>
    <x v="3"/>
    <x v="0"/>
    <x v="5"/>
    <x v="9"/>
    <s v="Elena Vargas"/>
    <n v="4"/>
    <n v="83.48"/>
    <n v="0"/>
    <n v="333.92"/>
    <m/>
    <m/>
    <x v="9"/>
  </r>
  <r>
    <s v="K7-10693"/>
    <x v="210"/>
    <x v="14"/>
    <x v="2"/>
    <x v="0"/>
    <x v="1"/>
    <x v="4"/>
    <x v="14"/>
    <s v="Ava Brooks"/>
    <n v="5"/>
    <n v="78.37"/>
    <n v="0"/>
    <n v="391.85"/>
    <m/>
    <m/>
    <x v="0"/>
  </r>
  <r>
    <s v="K7-10694"/>
    <x v="41"/>
    <x v="7"/>
    <x v="2"/>
    <x v="1"/>
    <x v="1"/>
    <x v="3"/>
    <x v="15"/>
    <s v="Grace Okafor"/>
    <n v="8"/>
    <n v="96.92"/>
    <n v="0"/>
    <n v="775.36"/>
    <m/>
    <m/>
    <x v="4"/>
  </r>
  <r>
    <s v="K7-10695"/>
    <x v="127"/>
    <x v="16"/>
    <x v="0"/>
    <x v="0"/>
    <x v="1"/>
    <x v="4"/>
    <x v="6"/>
    <s v="Priya Nair"/>
    <n v="3"/>
    <n v="59.55"/>
    <n v="0"/>
    <n v="178.65"/>
    <m/>
    <m/>
    <x v="1"/>
  </r>
  <r>
    <s v="K7-10696"/>
    <x v="300"/>
    <x v="14"/>
    <x v="2"/>
    <x v="0"/>
    <x v="0"/>
    <x v="3"/>
    <x v="4"/>
    <s v="Jonah Wright"/>
    <n v="1"/>
    <n v="133.85"/>
    <n v="0.1"/>
    <n v="120.47"/>
    <m/>
    <m/>
    <x v="3"/>
  </r>
  <r>
    <s v="K7-10697"/>
    <x v="57"/>
    <x v="11"/>
    <x v="3"/>
    <x v="3"/>
    <x v="0"/>
    <x v="1"/>
    <x v="1"/>
    <s v="Noor Haddad"/>
    <n v="2"/>
    <n v="130.88999999999999"/>
    <n v="0.15"/>
    <n v="222.51"/>
    <m/>
    <m/>
    <x v="1"/>
  </r>
  <r>
    <s v="K7-10698"/>
    <x v="145"/>
    <x v="22"/>
    <x v="0"/>
    <x v="0"/>
    <x v="1"/>
    <x v="1"/>
    <x v="3"/>
    <s v="Noor Haddad"/>
    <n v="8"/>
    <n v="177.32"/>
    <n v="0"/>
    <n v="1418.56"/>
    <m/>
    <m/>
    <x v="3"/>
  </r>
  <r>
    <s v="K7-10699"/>
    <x v="285"/>
    <x v="0"/>
    <x v="0"/>
    <x v="0"/>
    <x v="0"/>
    <x v="1"/>
    <x v="8"/>
    <s v="Marcus Reed"/>
    <n v="1"/>
    <n v="249.83"/>
    <n v="0"/>
    <n v="249.83"/>
    <m/>
    <m/>
    <x v="5"/>
  </r>
  <r>
    <s v="K7-10700"/>
    <x v="268"/>
    <x v="2"/>
    <x v="2"/>
    <x v="2"/>
    <x v="1"/>
    <x v="1"/>
    <x v="8"/>
    <s v="Dylan Foster"/>
    <n v="3"/>
    <n v="234.48"/>
    <n v="0.1"/>
    <n v="633.1"/>
    <m/>
    <m/>
    <x v="1"/>
  </r>
  <r>
    <s v="K7-10701"/>
    <x v="4"/>
    <x v="10"/>
    <x v="3"/>
    <x v="0"/>
    <x v="1"/>
    <x v="2"/>
    <x v="5"/>
    <s v="Dylan Foster"/>
    <n v="1"/>
    <n v="35.68"/>
    <n v="0.15"/>
    <n v="30.33"/>
    <m/>
    <m/>
    <x v="2"/>
  </r>
  <r>
    <s v="K7-10702"/>
    <x v="301"/>
    <x v="16"/>
    <x v="0"/>
    <x v="1"/>
    <x v="1"/>
    <x v="1"/>
    <x v="1"/>
    <s v="Dylan Foster"/>
    <n v="3"/>
    <n v="128.37"/>
    <n v="0"/>
    <n v="385.11"/>
    <m/>
    <m/>
    <x v="1"/>
  </r>
  <r>
    <s v="K7-10703"/>
    <x v="295"/>
    <x v="4"/>
    <x v="3"/>
    <x v="1"/>
    <x v="0"/>
    <x v="3"/>
    <x v="10"/>
    <s v="Grace Okafor"/>
    <n v="1"/>
    <n v="121.13"/>
    <n v="0"/>
    <n v="121.13"/>
    <m/>
    <m/>
    <x v="11"/>
  </r>
  <r>
    <s v="K7-10704"/>
    <x v="295"/>
    <x v="13"/>
    <x v="0"/>
    <x v="1"/>
    <x v="1"/>
    <x v="3"/>
    <x v="10"/>
    <s v="Ava Brooks"/>
    <n v="5"/>
    <n v="118.49"/>
    <n v="0.05"/>
    <n v="562.83000000000004"/>
    <m/>
    <m/>
    <x v="11"/>
  </r>
  <r>
    <s v="K7-10705"/>
    <x v="93"/>
    <x v="5"/>
    <x v="0"/>
    <x v="3"/>
    <x v="1"/>
    <x v="4"/>
    <x v="13"/>
    <s v="Ava Brooks"/>
    <n v="8"/>
    <n v="89.62"/>
    <n v="0.05"/>
    <n v="681.11"/>
    <m/>
    <m/>
    <x v="2"/>
  </r>
  <r>
    <s v="K7-10706"/>
    <x v="36"/>
    <x v="5"/>
    <x v="0"/>
    <x v="1"/>
    <x v="0"/>
    <x v="4"/>
    <x v="13"/>
    <s v="Ava Brooks"/>
    <n v="3"/>
    <n v="95.23"/>
    <n v="0.05"/>
    <n v="271.41000000000003"/>
    <m/>
    <m/>
    <x v="2"/>
  </r>
  <r>
    <s v="K7-10707"/>
    <x v="177"/>
    <x v="24"/>
    <x v="2"/>
    <x v="1"/>
    <x v="0"/>
    <x v="0"/>
    <x v="20"/>
    <s v="Jonah Wright"/>
    <n v="2"/>
    <n v="70.599999999999994"/>
    <n v="0"/>
    <n v="141.19999999999999"/>
    <m/>
    <m/>
    <x v="6"/>
  </r>
  <r>
    <s v="K7-10708"/>
    <x v="302"/>
    <x v="4"/>
    <x v="3"/>
    <x v="1"/>
    <x v="1"/>
    <x v="0"/>
    <x v="21"/>
    <s v="Noor Haddad"/>
    <n v="1"/>
    <n v="46.84"/>
    <n v="0"/>
    <n v="46.84"/>
    <m/>
    <m/>
    <x v="2"/>
  </r>
  <r>
    <s v="K7-10709"/>
    <x v="167"/>
    <x v="9"/>
    <x v="2"/>
    <x v="0"/>
    <x v="1"/>
    <x v="0"/>
    <x v="18"/>
    <s v="Marcus Reed"/>
    <n v="3"/>
    <n v="31.8"/>
    <n v="0"/>
    <n v="95.4"/>
    <m/>
    <m/>
    <x v="6"/>
  </r>
  <r>
    <s v="K7-10710"/>
    <x v="71"/>
    <x v="1"/>
    <x v="1"/>
    <x v="0"/>
    <x v="1"/>
    <x v="3"/>
    <x v="10"/>
    <s v="Dylan Foster"/>
    <n v="6"/>
    <n v="112.34"/>
    <n v="0"/>
    <n v="674.04"/>
    <m/>
    <m/>
    <x v="7"/>
  </r>
  <r>
    <s v="K7-10711"/>
    <x v="122"/>
    <x v="7"/>
    <x v="2"/>
    <x v="0"/>
    <x v="1"/>
    <x v="5"/>
    <x v="9"/>
    <s v="Ava Brooks"/>
    <n v="1"/>
    <n v="95.18"/>
    <n v="0"/>
    <n v="95.18"/>
    <m/>
    <m/>
    <x v="11"/>
  </r>
  <r>
    <s v="K7-10712"/>
    <x v="297"/>
    <x v="0"/>
    <x v="0"/>
    <x v="0"/>
    <x v="1"/>
    <x v="3"/>
    <x v="10"/>
    <s v="Grace Okafor"/>
    <n v="7"/>
    <n v="122.9"/>
    <n v="0"/>
    <n v="860.3"/>
    <m/>
    <m/>
    <x v="0"/>
  </r>
  <r>
    <s v="K7-10713"/>
    <x v="11"/>
    <x v="8"/>
    <x v="1"/>
    <x v="1"/>
    <x v="0"/>
    <x v="1"/>
    <x v="12"/>
    <s v="Dylan Foster"/>
    <n v="8"/>
    <n v="314.39"/>
    <n v="0"/>
    <n v="2515.12"/>
    <m/>
    <m/>
    <x v="8"/>
  </r>
  <r>
    <s v="K7-10714"/>
    <x v="293"/>
    <x v="20"/>
    <x v="3"/>
    <x v="3"/>
    <x v="0"/>
    <x v="1"/>
    <x v="1"/>
    <s v="Ava Brooks"/>
    <n v="3"/>
    <n v="135.05000000000001"/>
    <n v="0"/>
    <n v="405.15"/>
    <m/>
    <m/>
    <x v="2"/>
  </r>
  <r>
    <s v="K7-10715"/>
    <x v="202"/>
    <x v="5"/>
    <x v="0"/>
    <x v="0"/>
    <x v="0"/>
    <x v="3"/>
    <x v="15"/>
    <s v="Noor Haddad"/>
    <n v="6"/>
    <n v="94.37"/>
    <n v="0"/>
    <n v="566.22"/>
    <m/>
    <m/>
    <x v="1"/>
  </r>
  <r>
    <s v="K7-10716"/>
    <x v="303"/>
    <x v="10"/>
    <x v="3"/>
    <x v="1"/>
    <x v="0"/>
    <x v="4"/>
    <x v="6"/>
    <s v="Marcus Reed"/>
    <n v="1"/>
    <n v="53.46"/>
    <n v="0"/>
    <n v="53.46"/>
    <m/>
    <m/>
    <x v="3"/>
  </r>
  <r>
    <s v="K7-10717"/>
    <x v="297"/>
    <x v="1"/>
    <x v="1"/>
    <x v="1"/>
    <x v="0"/>
    <x v="5"/>
    <x v="9"/>
    <s v="Elena Vargas"/>
    <n v="3"/>
    <n v="92.63"/>
    <n v="0.1"/>
    <n v="250.1"/>
    <m/>
    <m/>
    <x v="0"/>
  </r>
  <r>
    <s v="K7-10718"/>
    <x v="261"/>
    <x v="11"/>
    <x v="3"/>
    <x v="1"/>
    <x v="1"/>
    <x v="0"/>
    <x v="20"/>
    <s v="Marcus Reed"/>
    <n v="1"/>
    <n v="68.17"/>
    <n v="0"/>
    <n v="68.17"/>
    <m/>
    <m/>
    <x v="11"/>
  </r>
  <r>
    <s v="K7-10719"/>
    <x v="6"/>
    <x v="7"/>
    <x v="2"/>
    <x v="0"/>
    <x v="0"/>
    <x v="1"/>
    <x v="8"/>
    <s v="Jonah Wright"/>
    <n v="2"/>
    <n v="232.3"/>
    <n v="0"/>
    <n v="464.6"/>
    <m/>
    <m/>
    <x v="4"/>
  </r>
  <r>
    <s v="K7-10720"/>
    <x v="136"/>
    <x v="1"/>
    <x v="1"/>
    <x v="3"/>
    <x v="0"/>
    <x v="5"/>
    <x v="9"/>
    <s v="Grace Okafor"/>
    <n v="1"/>
    <n v="91.11"/>
    <n v="0"/>
    <n v="91.11"/>
    <m/>
    <m/>
    <x v="0"/>
  </r>
  <r>
    <s v="K7-10721"/>
    <x v="237"/>
    <x v="13"/>
    <x v="0"/>
    <x v="0"/>
    <x v="1"/>
    <x v="0"/>
    <x v="20"/>
    <s v="Priya Nair"/>
    <n v="6"/>
    <n v="67.66"/>
    <n v="0.1"/>
    <n v="365.36"/>
    <m/>
    <m/>
    <x v="4"/>
  </r>
  <r>
    <s v="K7-10722"/>
    <x v="22"/>
    <x v="15"/>
    <x v="1"/>
    <x v="1"/>
    <x v="0"/>
    <x v="1"/>
    <x v="12"/>
    <s v="Priya Nair"/>
    <n v="2"/>
    <n v="311.2"/>
    <n v="0"/>
    <n v="622.4"/>
    <m/>
    <m/>
    <x v="3"/>
  </r>
  <r>
    <s v="K7-10723"/>
    <x v="173"/>
    <x v="0"/>
    <x v="0"/>
    <x v="0"/>
    <x v="1"/>
    <x v="2"/>
    <x v="2"/>
    <s v="Priya Nair"/>
    <n v="2"/>
    <n v="24.74"/>
    <n v="0"/>
    <n v="49.48"/>
    <m/>
    <m/>
    <x v="10"/>
  </r>
  <r>
    <s v="K7-10724"/>
    <x v="34"/>
    <x v="8"/>
    <x v="1"/>
    <x v="2"/>
    <x v="0"/>
    <x v="5"/>
    <x v="9"/>
    <s v="Jonah Wright"/>
    <n v="3"/>
    <n v="84.66"/>
    <n v="0.2"/>
    <n v="203.18"/>
    <m/>
    <m/>
    <x v="4"/>
  </r>
  <r>
    <s v="K7-10725"/>
    <x v="19"/>
    <x v="7"/>
    <x v="2"/>
    <x v="1"/>
    <x v="0"/>
    <x v="5"/>
    <x v="17"/>
    <s v="Noor Haddad"/>
    <n v="4"/>
    <n v="199.49"/>
    <n v="0"/>
    <n v="797.96"/>
    <m/>
    <m/>
    <x v="1"/>
  </r>
  <r>
    <s v="K7-10726"/>
    <x v="139"/>
    <x v="10"/>
    <x v="3"/>
    <x v="0"/>
    <x v="0"/>
    <x v="4"/>
    <x v="13"/>
    <s v="Ava Brooks"/>
    <n v="6"/>
    <n v="96.14"/>
    <n v="0"/>
    <n v="576.84"/>
    <m/>
    <m/>
    <x v="7"/>
  </r>
  <r>
    <s v="K7-10727"/>
    <x v="304"/>
    <x v="29"/>
    <x v="1"/>
    <x v="1"/>
    <x v="1"/>
    <x v="5"/>
    <x v="17"/>
    <s v="Noor Haddad"/>
    <n v="1"/>
    <n v="230.34"/>
    <n v="0.3"/>
    <n v="161.24"/>
    <m/>
    <m/>
    <x v="2"/>
  </r>
  <r>
    <s v="K7-10728"/>
    <x v="293"/>
    <x v="7"/>
    <x v="2"/>
    <x v="0"/>
    <x v="0"/>
    <x v="5"/>
    <x v="7"/>
    <s v="Noor Haddad"/>
    <n v="6"/>
    <n v="155.19999999999999"/>
    <n v="0"/>
    <n v="931.2"/>
    <m/>
    <m/>
    <x v="2"/>
  </r>
  <r>
    <s v="K7-10729"/>
    <x v="248"/>
    <x v="16"/>
    <x v="0"/>
    <x v="2"/>
    <x v="0"/>
    <x v="0"/>
    <x v="21"/>
    <s v="Noor Haddad"/>
    <n v="1"/>
    <n v="43.56"/>
    <n v="0"/>
    <n v="43.56"/>
    <m/>
    <m/>
    <x v="1"/>
  </r>
  <r>
    <s v="K7-10730"/>
    <x v="118"/>
    <x v="10"/>
    <x v="3"/>
    <x v="0"/>
    <x v="1"/>
    <x v="1"/>
    <x v="1"/>
    <s v="Jonah Wright"/>
    <n v="5"/>
    <n v="134.02000000000001"/>
    <n v="0"/>
    <n v="670.1"/>
    <m/>
    <m/>
    <x v="5"/>
  </r>
  <r>
    <s v="K7-10731"/>
    <x v="305"/>
    <x v="23"/>
    <x v="0"/>
    <x v="1"/>
    <x v="1"/>
    <x v="0"/>
    <x v="21"/>
    <s v="Dylan Foster"/>
    <n v="1"/>
    <n v="47.72"/>
    <n v="0.2"/>
    <n v="38.18"/>
    <m/>
    <m/>
    <x v="6"/>
  </r>
  <r>
    <s v="K7-10732"/>
    <x v="219"/>
    <x v="7"/>
    <x v="2"/>
    <x v="0"/>
    <x v="1"/>
    <x v="3"/>
    <x v="4"/>
    <s v="Dylan Foster"/>
    <n v="1"/>
    <n v="131.19999999999999"/>
    <n v="0"/>
    <n v="131.19999999999999"/>
    <m/>
    <m/>
    <x v="11"/>
  </r>
  <r>
    <s v="K7-10733"/>
    <x v="253"/>
    <x v="8"/>
    <x v="1"/>
    <x v="1"/>
    <x v="0"/>
    <x v="5"/>
    <x v="9"/>
    <s v="Elena Vargas"/>
    <n v="1"/>
    <n v="82.59"/>
    <n v="0.2"/>
    <n v="66.069999999999993"/>
    <m/>
    <m/>
    <x v="11"/>
  </r>
  <r>
    <s v="K7-10734"/>
    <x v="151"/>
    <x v="29"/>
    <x v="1"/>
    <x v="0"/>
    <x v="1"/>
    <x v="0"/>
    <x v="20"/>
    <s v="Jonah Wright"/>
    <n v="1"/>
    <n v="63.1"/>
    <n v="0.1"/>
    <n v="56.79"/>
    <m/>
    <m/>
    <x v="11"/>
  </r>
  <r>
    <s v="K7-10735"/>
    <x v="197"/>
    <x v="7"/>
    <x v="2"/>
    <x v="2"/>
    <x v="0"/>
    <x v="4"/>
    <x v="6"/>
    <s v="Priya Nair"/>
    <n v="3"/>
    <n v="62.57"/>
    <n v="0"/>
    <n v="187.71"/>
    <m/>
    <m/>
    <x v="7"/>
  </r>
  <r>
    <s v="K7-10736"/>
    <x v="4"/>
    <x v="5"/>
    <x v="0"/>
    <x v="1"/>
    <x v="0"/>
    <x v="5"/>
    <x v="7"/>
    <s v="Priya Nair"/>
    <n v="3"/>
    <n v="151.54"/>
    <n v="0"/>
    <n v="454.62"/>
    <m/>
    <m/>
    <x v="2"/>
  </r>
  <r>
    <s v="K7-10737"/>
    <x v="39"/>
    <x v="0"/>
    <x v="0"/>
    <x v="1"/>
    <x v="0"/>
    <x v="3"/>
    <x v="4"/>
    <s v="Jonah Wright"/>
    <n v="8"/>
    <n v="132.72999999999999"/>
    <n v="0"/>
    <n v="1061.8399999999999"/>
    <m/>
    <m/>
    <x v="5"/>
  </r>
  <r>
    <s v="K7-10738"/>
    <x v="44"/>
    <x v="13"/>
    <x v="0"/>
    <x v="3"/>
    <x v="0"/>
    <x v="0"/>
    <x v="21"/>
    <s v="Elena Vargas"/>
    <n v="2"/>
    <n v="47.69"/>
    <n v="0"/>
    <n v="95.38"/>
    <m/>
    <m/>
    <x v="6"/>
  </r>
  <r>
    <s v="K7-10739"/>
    <x v="56"/>
    <x v="16"/>
    <x v="0"/>
    <x v="0"/>
    <x v="1"/>
    <x v="1"/>
    <x v="8"/>
    <s v="Grace Okafor"/>
    <n v="1"/>
    <n v="257.70999999999998"/>
    <n v="0.15"/>
    <n v="219.05"/>
    <m/>
    <m/>
    <x v="1"/>
  </r>
  <r>
    <s v="K7-10740"/>
    <x v="306"/>
    <x v="5"/>
    <x v="0"/>
    <x v="1"/>
    <x v="1"/>
    <x v="5"/>
    <x v="9"/>
    <s v="Grace Okafor"/>
    <n v="2"/>
    <n v="86.93"/>
    <n v="0"/>
    <n v="173.86"/>
    <m/>
    <m/>
    <x v="2"/>
  </r>
  <r>
    <s v="K7-10741"/>
    <x v="256"/>
    <x v="7"/>
    <x v="2"/>
    <x v="1"/>
    <x v="0"/>
    <x v="0"/>
    <x v="20"/>
    <s v="Jonah Wright"/>
    <n v="3"/>
    <n v="68.19"/>
    <n v="0"/>
    <n v="204.57"/>
    <m/>
    <m/>
    <x v="2"/>
  </r>
  <r>
    <s v="K7-10742"/>
    <x v="41"/>
    <x v="2"/>
    <x v="2"/>
    <x v="0"/>
    <x v="0"/>
    <x v="1"/>
    <x v="1"/>
    <s v="Elena Vargas"/>
    <n v="10"/>
    <n v="123.18"/>
    <n v="0"/>
    <n v="1231.8"/>
    <m/>
    <m/>
    <x v="4"/>
  </r>
  <r>
    <s v="K7-10743"/>
    <x v="211"/>
    <x v="21"/>
    <x v="0"/>
    <x v="0"/>
    <x v="1"/>
    <x v="0"/>
    <x v="20"/>
    <s v="Elena Vargas"/>
    <n v="1"/>
    <n v="68.52"/>
    <n v="0.15"/>
    <n v="58.24"/>
    <m/>
    <m/>
    <x v="3"/>
  </r>
  <r>
    <s v="K7-10744"/>
    <x v="168"/>
    <x v="19"/>
    <x v="1"/>
    <x v="1"/>
    <x v="1"/>
    <x v="5"/>
    <x v="9"/>
    <s v="Priya Nair"/>
    <n v="3"/>
    <n v="85.24"/>
    <n v="0.2"/>
    <n v="204.58"/>
    <m/>
    <m/>
    <x v="9"/>
  </r>
  <r>
    <s v="K7-10745"/>
    <x v="299"/>
    <x v="10"/>
    <x v="3"/>
    <x v="0"/>
    <x v="0"/>
    <x v="2"/>
    <x v="5"/>
    <s v="Grace Okafor"/>
    <n v="2"/>
    <n v="39.909999999999997"/>
    <n v="0"/>
    <n v="79.819999999999993"/>
    <m/>
    <m/>
    <x v="5"/>
  </r>
  <r>
    <s v="K7-10746"/>
    <x v="76"/>
    <x v="19"/>
    <x v="1"/>
    <x v="1"/>
    <x v="1"/>
    <x v="3"/>
    <x v="15"/>
    <s v="Grace Okafor"/>
    <n v="4"/>
    <n v="95.94"/>
    <n v="0.15"/>
    <n v="326.2"/>
    <m/>
    <m/>
    <x v="4"/>
  </r>
  <r>
    <s v="K7-10747"/>
    <x v="93"/>
    <x v="5"/>
    <x v="0"/>
    <x v="1"/>
    <x v="0"/>
    <x v="3"/>
    <x v="15"/>
    <s v="Marcus Reed"/>
    <n v="4"/>
    <n v="99.93"/>
    <n v="0"/>
    <n v="399.72"/>
    <m/>
    <m/>
    <x v="2"/>
  </r>
  <r>
    <s v="K7-10748"/>
    <x v="151"/>
    <x v="0"/>
    <x v="0"/>
    <x v="2"/>
    <x v="0"/>
    <x v="2"/>
    <x v="19"/>
    <s v="Dylan Foster"/>
    <n v="2"/>
    <n v="45.78"/>
    <n v="0"/>
    <n v="91.56"/>
    <m/>
    <m/>
    <x v="11"/>
  </r>
  <r>
    <s v="K7-10749"/>
    <x v="194"/>
    <x v="19"/>
    <x v="1"/>
    <x v="0"/>
    <x v="0"/>
    <x v="1"/>
    <x v="12"/>
    <s v="Ava Brooks"/>
    <n v="1"/>
    <n v="310.61"/>
    <n v="0"/>
    <n v="310.61"/>
    <m/>
    <m/>
    <x v="11"/>
  </r>
  <r>
    <s v="K7-10750"/>
    <x v="23"/>
    <x v="0"/>
    <x v="0"/>
    <x v="0"/>
    <x v="1"/>
    <x v="3"/>
    <x v="4"/>
    <s v="Ava Brooks"/>
    <n v="11"/>
    <n v="141.04"/>
    <n v="0.05"/>
    <n v="1473.87"/>
    <m/>
    <m/>
    <x v="7"/>
  </r>
  <r>
    <s v="K7-10751"/>
    <x v="307"/>
    <x v="0"/>
    <x v="0"/>
    <x v="2"/>
    <x v="0"/>
    <x v="1"/>
    <x v="8"/>
    <s v="Dylan Foster"/>
    <n v="16"/>
    <n v="222.61"/>
    <n v="0.3"/>
    <n v="2493.23"/>
    <m/>
    <m/>
    <x v="6"/>
  </r>
  <r>
    <s v="K7-10752"/>
    <x v="239"/>
    <x v="2"/>
    <x v="2"/>
    <x v="1"/>
    <x v="1"/>
    <x v="1"/>
    <x v="12"/>
    <s v="Grace Okafor"/>
    <n v="3"/>
    <n v="292.98"/>
    <n v="0"/>
    <n v="878.94"/>
    <m/>
    <m/>
    <x v="2"/>
  </r>
  <r>
    <s v="K7-10753"/>
    <x v="308"/>
    <x v="4"/>
    <x v="3"/>
    <x v="3"/>
    <x v="0"/>
    <x v="0"/>
    <x v="18"/>
    <s v="Dylan Foster"/>
    <n v="1"/>
    <n v="30.3"/>
    <n v="0.1"/>
    <n v="27.27"/>
    <m/>
    <m/>
    <x v="11"/>
  </r>
  <r>
    <s v="K7-10754"/>
    <x v="161"/>
    <x v="20"/>
    <x v="3"/>
    <x v="0"/>
    <x v="0"/>
    <x v="5"/>
    <x v="17"/>
    <s v="Elena Vargas"/>
    <n v="1"/>
    <n v="230.8"/>
    <n v="0"/>
    <n v="230.8"/>
    <m/>
    <m/>
    <x v="1"/>
  </r>
  <r>
    <s v="K7-10755"/>
    <x v="309"/>
    <x v="11"/>
    <x v="3"/>
    <x v="1"/>
    <x v="1"/>
    <x v="4"/>
    <x v="14"/>
    <s v="Grace Okafor"/>
    <n v="2"/>
    <n v="78.319999999999993"/>
    <n v="0"/>
    <n v="156.63999999999999"/>
    <m/>
    <m/>
    <x v="5"/>
  </r>
  <r>
    <s v="K7-10756"/>
    <x v="212"/>
    <x v="0"/>
    <x v="0"/>
    <x v="2"/>
    <x v="0"/>
    <x v="0"/>
    <x v="18"/>
    <s v="Dylan Foster"/>
    <n v="5"/>
    <n v="30.98"/>
    <n v="0.05"/>
    <n v="147.16"/>
    <m/>
    <m/>
    <x v="10"/>
  </r>
  <r>
    <s v="K7-10757"/>
    <x v="25"/>
    <x v="7"/>
    <x v="2"/>
    <x v="0"/>
    <x v="1"/>
    <x v="3"/>
    <x v="4"/>
    <s v="Ava Brooks"/>
    <n v="1"/>
    <n v="126.93"/>
    <n v="0.1"/>
    <n v="114.24"/>
    <m/>
    <m/>
    <x v="4"/>
  </r>
  <r>
    <s v="K7-10758"/>
    <x v="158"/>
    <x v="24"/>
    <x v="2"/>
    <x v="0"/>
    <x v="0"/>
    <x v="2"/>
    <x v="19"/>
    <s v="Priya Nair"/>
    <n v="4"/>
    <n v="47.69"/>
    <n v="0"/>
    <n v="190.76"/>
    <m/>
    <m/>
    <x v="8"/>
  </r>
  <r>
    <s v="K7-10759"/>
    <x v="125"/>
    <x v="8"/>
    <x v="1"/>
    <x v="1"/>
    <x v="1"/>
    <x v="4"/>
    <x v="14"/>
    <s v="Noor Haddad"/>
    <n v="9"/>
    <n v="75.099999999999994"/>
    <n v="0"/>
    <n v="675.9"/>
    <m/>
    <m/>
    <x v="6"/>
  </r>
  <r>
    <s v="K7-10760"/>
    <x v="251"/>
    <x v="7"/>
    <x v="2"/>
    <x v="0"/>
    <x v="1"/>
    <x v="4"/>
    <x v="14"/>
    <s v="Grace Okafor"/>
    <n v="1"/>
    <n v="73.67"/>
    <n v="0"/>
    <n v="73.67"/>
    <m/>
    <m/>
    <x v="1"/>
  </r>
  <r>
    <s v="K7-10761"/>
    <x v="13"/>
    <x v="0"/>
    <x v="0"/>
    <x v="3"/>
    <x v="0"/>
    <x v="5"/>
    <x v="7"/>
    <s v="Marcus Reed"/>
    <n v="5"/>
    <n v="154.62"/>
    <n v="0"/>
    <n v="773.1"/>
    <m/>
    <m/>
    <x v="4"/>
  </r>
  <r>
    <s v="K7-10762"/>
    <x v="221"/>
    <x v="1"/>
    <x v="1"/>
    <x v="1"/>
    <x v="1"/>
    <x v="4"/>
    <x v="13"/>
    <s v="Dylan Foster"/>
    <n v="2"/>
    <n v="94.82"/>
    <n v="0"/>
    <n v="189.64"/>
    <m/>
    <m/>
    <x v="6"/>
  </r>
  <r>
    <s v="K7-10763"/>
    <x v="75"/>
    <x v="4"/>
    <x v="3"/>
    <x v="0"/>
    <x v="0"/>
    <x v="1"/>
    <x v="1"/>
    <s v="Grace Okafor"/>
    <n v="8"/>
    <n v="137.94"/>
    <n v="0.15"/>
    <n v="937.99"/>
    <m/>
    <m/>
    <x v="8"/>
  </r>
  <r>
    <s v="K7-10764"/>
    <x v="52"/>
    <x v="16"/>
    <x v="0"/>
    <x v="0"/>
    <x v="1"/>
    <x v="0"/>
    <x v="0"/>
    <s v="Jonah Wright"/>
    <n v="1"/>
    <n v="51.19"/>
    <n v="0.05"/>
    <n v="48.63"/>
    <m/>
    <m/>
    <x v="8"/>
  </r>
  <r>
    <s v="K7-10765"/>
    <x v="263"/>
    <x v="8"/>
    <x v="1"/>
    <x v="1"/>
    <x v="1"/>
    <x v="3"/>
    <x v="10"/>
    <s v="Marcus Reed"/>
    <n v="3"/>
    <n v="120.51"/>
    <n v="0.05"/>
    <n v="343.45"/>
    <m/>
    <m/>
    <x v="4"/>
  </r>
  <r>
    <s v="K7-10766"/>
    <x v="47"/>
    <x v="7"/>
    <x v="2"/>
    <x v="3"/>
    <x v="1"/>
    <x v="5"/>
    <x v="7"/>
    <s v="Priya Nair"/>
    <n v="8"/>
    <n v="157.16"/>
    <n v="0"/>
    <n v="1257.28"/>
    <m/>
    <m/>
    <x v="2"/>
  </r>
  <r>
    <s v="K7-10767"/>
    <x v="106"/>
    <x v="5"/>
    <x v="0"/>
    <x v="0"/>
    <x v="1"/>
    <x v="5"/>
    <x v="17"/>
    <s v="Noor Haddad"/>
    <n v="4"/>
    <n v="199.11"/>
    <n v="0"/>
    <n v="796.44"/>
    <m/>
    <m/>
    <x v="10"/>
  </r>
  <r>
    <s v="K7-10768"/>
    <x v="273"/>
    <x v="1"/>
    <x v="1"/>
    <x v="0"/>
    <x v="0"/>
    <x v="4"/>
    <x v="13"/>
    <s v="Grace Okafor"/>
    <n v="2"/>
    <n v="98.22"/>
    <n v="0.2"/>
    <n v="157.15"/>
    <m/>
    <m/>
    <x v="10"/>
  </r>
  <r>
    <s v="K7-10769"/>
    <x v="161"/>
    <x v="12"/>
    <x v="3"/>
    <x v="2"/>
    <x v="0"/>
    <x v="5"/>
    <x v="9"/>
    <s v="Priya Nair"/>
    <n v="4"/>
    <n v="93.57"/>
    <n v="0.15"/>
    <n v="318.14"/>
    <m/>
    <m/>
    <x v="1"/>
  </r>
  <r>
    <s v="K7-10770"/>
    <x v="310"/>
    <x v="23"/>
    <x v="0"/>
    <x v="3"/>
    <x v="0"/>
    <x v="4"/>
    <x v="11"/>
    <s v="Jonah Wright"/>
    <n v="8"/>
    <n v="78.78"/>
    <n v="0.05"/>
    <n v="598.73"/>
    <m/>
    <m/>
    <x v="10"/>
  </r>
  <r>
    <s v="K7-10771"/>
    <x v="185"/>
    <x v="7"/>
    <x v="2"/>
    <x v="1"/>
    <x v="0"/>
    <x v="5"/>
    <x v="9"/>
    <s v="Elena Vargas"/>
    <n v="4"/>
    <n v="95.06"/>
    <n v="0"/>
    <n v="380.24"/>
    <m/>
    <m/>
    <x v="11"/>
  </r>
  <r>
    <s v="K7-10772"/>
    <x v="284"/>
    <x v="11"/>
    <x v="3"/>
    <x v="0"/>
    <x v="0"/>
    <x v="5"/>
    <x v="7"/>
    <s v="Marcus Reed"/>
    <n v="1"/>
    <n v="161.09"/>
    <n v="0.15"/>
    <n v="136.93"/>
    <m/>
    <m/>
    <x v="1"/>
  </r>
  <r>
    <s v="K7-10773"/>
    <x v="159"/>
    <x v="29"/>
    <x v="1"/>
    <x v="1"/>
    <x v="1"/>
    <x v="0"/>
    <x v="21"/>
    <s v="Grace Okafor"/>
    <n v="3"/>
    <n v="43.96"/>
    <n v="0.05"/>
    <n v="125.29"/>
    <m/>
    <m/>
    <x v="10"/>
  </r>
  <r>
    <s v="K7-10774"/>
    <x v="235"/>
    <x v="10"/>
    <x v="3"/>
    <x v="1"/>
    <x v="1"/>
    <x v="5"/>
    <x v="17"/>
    <s v="Elena Vargas"/>
    <n v="1"/>
    <n v="201.71"/>
    <n v="0"/>
    <n v="201.71"/>
    <m/>
    <m/>
    <x v="11"/>
  </r>
  <r>
    <s v="K7-10775"/>
    <x v="306"/>
    <x v="10"/>
    <x v="3"/>
    <x v="2"/>
    <x v="0"/>
    <x v="4"/>
    <x v="13"/>
    <s v="Marcus Reed"/>
    <n v="1"/>
    <n v="86.98"/>
    <n v="0"/>
    <n v="86.98"/>
    <m/>
    <m/>
    <x v="2"/>
  </r>
  <r>
    <s v="K7-10776"/>
    <x v="311"/>
    <x v="10"/>
    <x v="3"/>
    <x v="1"/>
    <x v="0"/>
    <x v="3"/>
    <x v="10"/>
    <s v="Priya Nair"/>
    <n v="3"/>
    <n v="119.55"/>
    <n v="0.2"/>
    <n v="286.92"/>
    <m/>
    <m/>
    <x v="10"/>
  </r>
  <r>
    <s v="K7-10777"/>
    <x v="312"/>
    <x v="10"/>
    <x v="3"/>
    <x v="1"/>
    <x v="0"/>
    <x v="2"/>
    <x v="2"/>
    <s v="Priya Nair"/>
    <n v="1"/>
    <n v="27.31"/>
    <n v="0.05"/>
    <n v="25.94"/>
    <m/>
    <m/>
    <x v="2"/>
  </r>
  <r>
    <s v="K7-10778"/>
    <x v="35"/>
    <x v="29"/>
    <x v="1"/>
    <x v="0"/>
    <x v="1"/>
    <x v="4"/>
    <x v="13"/>
    <s v="Ava Brooks"/>
    <n v="1"/>
    <n v="93.23"/>
    <n v="0"/>
    <n v="93.23"/>
    <m/>
    <m/>
    <x v="11"/>
  </r>
  <r>
    <s v="K7-10779"/>
    <x v="235"/>
    <x v="19"/>
    <x v="1"/>
    <x v="3"/>
    <x v="1"/>
    <x v="4"/>
    <x v="6"/>
    <s v="Priya Nair"/>
    <n v="5"/>
    <n v="58.95"/>
    <n v="0"/>
    <n v="294.75"/>
    <m/>
    <m/>
    <x v="11"/>
  </r>
  <r>
    <s v="K7-10780"/>
    <x v="167"/>
    <x v="1"/>
    <x v="1"/>
    <x v="1"/>
    <x v="1"/>
    <x v="0"/>
    <x v="21"/>
    <s v="Dylan Foster"/>
    <n v="3"/>
    <n v="45.14"/>
    <n v="0"/>
    <n v="135.41999999999999"/>
    <m/>
    <m/>
    <x v="6"/>
  </r>
  <r>
    <s v="K7-10781"/>
    <x v="135"/>
    <x v="4"/>
    <x v="3"/>
    <x v="0"/>
    <x v="0"/>
    <x v="5"/>
    <x v="7"/>
    <s v="Noor Haddad"/>
    <n v="4"/>
    <n v="168.86"/>
    <n v="0.2"/>
    <n v="540.35"/>
    <m/>
    <m/>
    <x v="4"/>
  </r>
  <r>
    <s v="K7-10782"/>
    <x v="102"/>
    <x v="7"/>
    <x v="2"/>
    <x v="1"/>
    <x v="0"/>
    <x v="0"/>
    <x v="18"/>
    <s v="Grace Okafor"/>
    <n v="9"/>
    <n v="29.55"/>
    <n v="0"/>
    <n v="265.95"/>
    <m/>
    <m/>
    <x v="6"/>
  </r>
  <r>
    <s v="K7-10783"/>
    <x v="23"/>
    <x v="5"/>
    <x v="0"/>
    <x v="0"/>
    <x v="0"/>
    <x v="5"/>
    <x v="17"/>
    <s v="Noor Haddad"/>
    <n v="3"/>
    <n v="211.42"/>
    <n v="0.05"/>
    <n v="602.54999999999995"/>
    <m/>
    <m/>
    <x v="7"/>
  </r>
  <r>
    <s v="K7-10784"/>
    <x v="137"/>
    <x v="26"/>
    <x v="2"/>
    <x v="1"/>
    <x v="0"/>
    <x v="0"/>
    <x v="21"/>
    <s v="Ava Brooks"/>
    <n v="5"/>
    <n v="47.42"/>
    <n v="0.2"/>
    <n v="189.68"/>
    <m/>
    <m/>
    <x v="10"/>
  </r>
  <r>
    <s v="K7-10785"/>
    <x v="229"/>
    <x v="8"/>
    <x v="1"/>
    <x v="3"/>
    <x v="1"/>
    <x v="2"/>
    <x v="5"/>
    <s v="Elena Vargas"/>
    <n v="2"/>
    <n v="36.520000000000003"/>
    <n v="0"/>
    <n v="73.040000000000006"/>
    <m/>
    <m/>
    <x v="9"/>
  </r>
  <r>
    <s v="K7-10786"/>
    <x v="264"/>
    <x v="14"/>
    <x v="2"/>
    <x v="2"/>
    <x v="1"/>
    <x v="3"/>
    <x v="10"/>
    <s v="Marcus Reed"/>
    <n v="1"/>
    <n v="115.41"/>
    <n v="0"/>
    <n v="115.41"/>
    <m/>
    <m/>
    <x v="5"/>
  </r>
  <r>
    <s v="K7-10787"/>
    <x v="156"/>
    <x v="7"/>
    <x v="2"/>
    <x v="0"/>
    <x v="0"/>
    <x v="4"/>
    <x v="14"/>
    <s v="Priya Nair"/>
    <n v="2"/>
    <n v="80.37"/>
    <n v="0"/>
    <n v="160.74"/>
    <m/>
    <m/>
    <x v="7"/>
  </r>
  <r>
    <s v="K7-10788"/>
    <x v="33"/>
    <x v="20"/>
    <x v="3"/>
    <x v="0"/>
    <x v="1"/>
    <x v="1"/>
    <x v="1"/>
    <s v="Priya Nair"/>
    <n v="2"/>
    <n v="122.59"/>
    <n v="0"/>
    <n v="245.18"/>
    <m/>
    <m/>
    <x v="9"/>
  </r>
  <r>
    <s v="K7-10789"/>
    <x v="66"/>
    <x v="10"/>
    <x v="3"/>
    <x v="3"/>
    <x v="1"/>
    <x v="2"/>
    <x v="5"/>
    <s v="Marcus Reed"/>
    <n v="1"/>
    <n v="35.83"/>
    <n v="0"/>
    <n v="35.83"/>
    <m/>
    <m/>
    <x v="9"/>
  </r>
  <r>
    <s v="K7-10790"/>
    <x v="13"/>
    <x v="13"/>
    <x v="0"/>
    <x v="2"/>
    <x v="1"/>
    <x v="5"/>
    <x v="7"/>
    <s v="Elena Vargas"/>
    <n v="2"/>
    <n v="147.41"/>
    <n v="0"/>
    <n v="294.82"/>
    <m/>
    <m/>
    <x v="4"/>
  </r>
  <r>
    <s v="K7-10791"/>
    <x v="240"/>
    <x v="15"/>
    <x v="1"/>
    <x v="3"/>
    <x v="0"/>
    <x v="0"/>
    <x v="21"/>
    <s v="Marcus Reed"/>
    <n v="8"/>
    <n v="46.06"/>
    <n v="0"/>
    <n v="368.48"/>
    <m/>
    <m/>
    <x v="10"/>
  </r>
  <r>
    <s v="K7-10792"/>
    <x v="3"/>
    <x v="7"/>
    <x v="2"/>
    <x v="0"/>
    <x v="0"/>
    <x v="0"/>
    <x v="20"/>
    <s v="Noor Haddad"/>
    <n v="2"/>
    <n v="62.76"/>
    <n v="0"/>
    <n v="125.52"/>
    <m/>
    <m/>
    <x v="1"/>
  </r>
  <r>
    <s v="K7-10793"/>
    <x v="168"/>
    <x v="0"/>
    <x v="0"/>
    <x v="1"/>
    <x v="0"/>
    <x v="4"/>
    <x v="6"/>
    <s v="Marcus Reed"/>
    <n v="7"/>
    <n v="57.6"/>
    <n v="0"/>
    <n v="403.2"/>
    <m/>
    <m/>
    <x v="9"/>
  </r>
  <r>
    <s v="K7-10794"/>
    <x v="264"/>
    <x v="5"/>
    <x v="0"/>
    <x v="0"/>
    <x v="1"/>
    <x v="2"/>
    <x v="2"/>
    <s v="Elena Vargas"/>
    <n v="2"/>
    <n v="26.34"/>
    <n v="0.1"/>
    <n v="47.41"/>
    <m/>
    <m/>
    <x v="5"/>
  </r>
  <r>
    <s v="K7-10795"/>
    <x v="170"/>
    <x v="3"/>
    <x v="0"/>
    <x v="3"/>
    <x v="1"/>
    <x v="0"/>
    <x v="21"/>
    <s v="Dylan Foster"/>
    <n v="6"/>
    <n v="42.4"/>
    <n v="0"/>
    <n v="254.4"/>
    <m/>
    <m/>
    <x v="0"/>
  </r>
  <r>
    <s v="K7-10796"/>
    <x v="313"/>
    <x v="23"/>
    <x v="0"/>
    <x v="3"/>
    <x v="0"/>
    <x v="4"/>
    <x v="13"/>
    <s v="Dylan Foster"/>
    <n v="6"/>
    <n v="91.11"/>
    <n v="0"/>
    <n v="546.66"/>
    <m/>
    <m/>
    <x v="8"/>
  </r>
  <r>
    <s v="K7-10797"/>
    <x v="229"/>
    <x v="1"/>
    <x v="1"/>
    <x v="0"/>
    <x v="0"/>
    <x v="4"/>
    <x v="11"/>
    <s v="Marcus Reed"/>
    <n v="2"/>
    <n v="89.08"/>
    <n v="0"/>
    <n v="178.16"/>
    <m/>
    <m/>
    <x v="9"/>
  </r>
  <r>
    <s v="K7-10798"/>
    <x v="228"/>
    <x v="1"/>
    <x v="1"/>
    <x v="2"/>
    <x v="0"/>
    <x v="3"/>
    <x v="4"/>
    <s v="Noor Haddad"/>
    <n v="2"/>
    <n v="134.09"/>
    <n v="0"/>
    <n v="268.18"/>
    <m/>
    <m/>
    <x v="5"/>
  </r>
  <r>
    <s v="K7-10799"/>
    <x v="314"/>
    <x v="5"/>
    <x v="0"/>
    <x v="0"/>
    <x v="1"/>
    <x v="3"/>
    <x v="15"/>
    <s v="Ava Brooks"/>
    <n v="7"/>
    <n v="101.54"/>
    <n v="0"/>
    <n v="710.78"/>
    <m/>
    <m/>
    <x v="9"/>
  </r>
  <r>
    <s v="K7-10800"/>
    <x v="71"/>
    <x v="13"/>
    <x v="0"/>
    <x v="3"/>
    <x v="1"/>
    <x v="4"/>
    <x v="6"/>
    <s v="Priya Nair"/>
    <n v="1"/>
    <n v="61.62"/>
    <n v="0"/>
    <n v="61.62"/>
    <m/>
    <m/>
    <x v="7"/>
  </r>
  <r>
    <s v="K7-10801"/>
    <x v="186"/>
    <x v="5"/>
    <x v="0"/>
    <x v="0"/>
    <x v="0"/>
    <x v="4"/>
    <x v="6"/>
    <s v="Ava Brooks"/>
    <n v="3"/>
    <n v="56.37"/>
    <n v="0.05"/>
    <n v="160.65"/>
    <m/>
    <m/>
    <x v="7"/>
  </r>
  <r>
    <s v="K7-10802"/>
    <x v="226"/>
    <x v="15"/>
    <x v="1"/>
    <x v="0"/>
    <x v="0"/>
    <x v="1"/>
    <x v="3"/>
    <s v="Marcus Reed"/>
    <n v="4"/>
    <n v="179.11"/>
    <n v="0"/>
    <n v="716.44"/>
    <m/>
    <m/>
    <x v="3"/>
  </r>
  <r>
    <s v="K7-10803"/>
    <x v="6"/>
    <x v="7"/>
    <x v="2"/>
    <x v="0"/>
    <x v="1"/>
    <x v="0"/>
    <x v="20"/>
    <s v="Dylan Foster"/>
    <n v="6"/>
    <n v="70.87"/>
    <n v="0"/>
    <n v="425.22"/>
    <m/>
    <m/>
    <x v="4"/>
  </r>
  <r>
    <s v="K7-10804"/>
    <x v="184"/>
    <x v="9"/>
    <x v="2"/>
    <x v="3"/>
    <x v="0"/>
    <x v="4"/>
    <x v="14"/>
    <s v="Priya Nair"/>
    <n v="4"/>
    <n v="79.19"/>
    <n v="0.2"/>
    <n v="253.41"/>
    <m/>
    <m/>
    <x v="10"/>
  </r>
  <r>
    <s v="K7-10805"/>
    <x v="30"/>
    <x v="8"/>
    <x v="1"/>
    <x v="1"/>
    <x v="1"/>
    <x v="0"/>
    <x v="20"/>
    <s v="Noor Haddad"/>
    <n v="5"/>
    <n v="67.42"/>
    <n v="0"/>
    <n v="337.1"/>
    <m/>
    <m/>
    <x v="3"/>
  </r>
  <r>
    <s v="K7-10806"/>
    <x v="188"/>
    <x v="20"/>
    <x v="3"/>
    <x v="0"/>
    <x v="0"/>
    <x v="0"/>
    <x v="20"/>
    <s v="Elena Vargas"/>
    <n v="2"/>
    <n v="69.55"/>
    <n v="0.1"/>
    <n v="125.19"/>
    <m/>
    <m/>
    <x v="3"/>
  </r>
  <r>
    <s v="K7-10807"/>
    <x v="287"/>
    <x v="9"/>
    <x v="2"/>
    <x v="1"/>
    <x v="0"/>
    <x v="3"/>
    <x v="15"/>
    <s v="Noor Haddad"/>
    <n v="10"/>
    <n v="94.97"/>
    <n v="0.3"/>
    <n v="664.79"/>
    <m/>
    <m/>
    <x v="2"/>
  </r>
  <r>
    <s v="K7-10808"/>
    <x v="184"/>
    <x v="24"/>
    <x v="2"/>
    <x v="1"/>
    <x v="1"/>
    <x v="4"/>
    <x v="6"/>
    <s v="Dylan Foster"/>
    <n v="2"/>
    <n v="58.56"/>
    <n v="0"/>
    <n v="117.12"/>
    <m/>
    <m/>
    <x v="10"/>
  </r>
  <r>
    <s v="K7-10809"/>
    <x v="261"/>
    <x v="16"/>
    <x v="0"/>
    <x v="0"/>
    <x v="0"/>
    <x v="1"/>
    <x v="3"/>
    <s v="Elena Vargas"/>
    <n v="5"/>
    <n v="167.32"/>
    <n v="0.15"/>
    <n v="711.11"/>
    <m/>
    <m/>
    <x v="11"/>
  </r>
  <r>
    <s v="K7-10810"/>
    <x v="117"/>
    <x v="14"/>
    <x v="2"/>
    <x v="1"/>
    <x v="0"/>
    <x v="3"/>
    <x v="15"/>
    <s v="Jonah Wright"/>
    <n v="2"/>
    <n v="93.98"/>
    <n v="0"/>
    <n v="187.96"/>
    <m/>
    <m/>
    <x v="1"/>
  </r>
  <r>
    <s v="K7-10811"/>
    <x v="170"/>
    <x v="17"/>
    <x v="0"/>
    <x v="0"/>
    <x v="0"/>
    <x v="4"/>
    <x v="6"/>
    <s v="Dylan Foster"/>
    <n v="6"/>
    <n v="55.44"/>
    <n v="0.15"/>
    <n v="282.74"/>
    <m/>
    <m/>
    <x v="0"/>
  </r>
  <r>
    <s v="K7-10812"/>
    <x v="171"/>
    <x v="2"/>
    <x v="2"/>
    <x v="2"/>
    <x v="1"/>
    <x v="4"/>
    <x v="13"/>
    <s v="Jonah Wright"/>
    <n v="1"/>
    <n v="94.81"/>
    <n v="0"/>
    <n v="94.81"/>
    <m/>
    <m/>
    <x v="9"/>
  </r>
  <r>
    <s v="K7-10813"/>
    <x v="279"/>
    <x v="14"/>
    <x v="2"/>
    <x v="1"/>
    <x v="0"/>
    <x v="1"/>
    <x v="1"/>
    <s v="Grace Okafor"/>
    <n v="2"/>
    <n v="125.11"/>
    <n v="0.05"/>
    <n v="237.71"/>
    <m/>
    <m/>
    <x v="5"/>
  </r>
  <r>
    <s v="K7-10814"/>
    <x v="102"/>
    <x v="3"/>
    <x v="0"/>
    <x v="0"/>
    <x v="0"/>
    <x v="4"/>
    <x v="11"/>
    <s v="Marcus Reed"/>
    <n v="3"/>
    <n v="81.3"/>
    <n v="0"/>
    <n v="243.9"/>
    <m/>
    <m/>
    <x v="6"/>
  </r>
  <r>
    <s v="K7-10815"/>
    <x v="20"/>
    <x v="2"/>
    <x v="2"/>
    <x v="3"/>
    <x v="1"/>
    <x v="0"/>
    <x v="18"/>
    <s v="Grace Okafor"/>
    <n v="6"/>
    <n v="34.07"/>
    <n v="0"/>
    <n v="204.42"/>
    <m/>
    <m/>
    <x v="5"/>
  </r>
  <r>
    <s v="K7-10816"/>
    <x v="76"/>
    <x v="15"/>
    <x v="1"/>
    <x v="1"/>
    <x v="0"/>
    <x v="4"/>
    <x v="11"/>
    <s v="Dylan Foster"/>
    <n v="6"/>
    <n v="82.37"/>
    <n v="0"/>
    <n v="494.22"/>
    <m/>
    <m/>
    <x v="4"/>
  </r>
  <r>
    <s v="K7-10817"/>
    <x v="54"/>
    <x v="23"/>
    <x v="0"/>
    <x v="0"/>
    <x v="0"/>
    <x v="4"/>
    <x v="6"/>
    <s v="Noor Haddad"/>
    <n v="1"/>
    <n v="58.59"/>
    <n v="0.05"/>
    <n v="55.66"/>
    <m/>
    <m/>
    <x v="1"/>
  </r>
  <r>
    <s v="K7-10818"/>
    <x v="60"/>
    <x v="18"/>
    <x v="3"/>
    <x v="0"/>
    <x v="0"/>
    <x v="4"/>
    <x v="14"/>
    <s v="Ava Brooks"/>
    <n v="4"/>
    <n v="76.39"/>
    <n v="0"/>
    <n v="305.56"/>
    <m/>
    <m/>
    <x v="10"/>
  </r>
  <r>
    <s v="K7-10819"/>
    <x v="223"/>
    <x v="23"/>
    <x v="0"/>
    <x v="1"/>
    <x v="1"/>
    <x v="1"/>
    <x v="1"/>
    <s v="Elena Vargas"/>
    <n v="4"/>
    <n v="121.55"/>
    <n v="0"/>
    <n v="486.2"/>
    <m/>
    <m/>
    <x v="1"/>
  </r>
  <r>
    <s v="K7-10820"/>
    <x v="286"/>
    <x v="29"/>
    <x v="1"/>
    <x v="1"/>
    <x v="1"/>
    <x v="3"/>
    <x v="4"/>
    <s v="Elena Vargas"/>
    <n v="13"/>
    <n v="139.22999999999999"/>
    <n v="0"/>
    <n v="1809.99"/>
    <m/>
    <m/>
    <x v="5"/>
  </r>
  <r>
    <s v="K7-10821"/>
    <x v="164"/>
    <x v="2"/>
    <x v="2"/>
    <x v="1"/>
    <x v="0"/>
    <x v="5"/>
    <x v="7"/>
    <s v="Grace Okafor"/>
    <n v="1"/>
    <n v="154.15"/>
    <n v="0"/>
    <n v="154.15"/>
    <m/>
    <m/>
    <x v="9"/>
  </r>
  <r>
    <s v="K7-10822"/>
    <x v="75"/>
    <x v="18"/>
    <x v="3"/>
    <x v="1"/>
    <x v="0"/>
    <x v="0"/>
    <x v="21"/>
    <s v="Marcus Reed"/>
    <n v="3"/>
    <n v="45.69"/>
    <n v="0"/>
    <n v="137.07"/>
    <m/>
    <m/>
    <x v="8"/>
  </r>
  <r>
    <s v="K7-10823"/>
    <x v="294"/>
    <x v="12"/>
    <x v="3"/>
    <x v="1"/>
    <x v="0"/>
    <x v="1"/>
    <x v="1"/>
    <s v="Grace Okafor"/>
    <n v="1"/>
    <n v="138.15"/>
    <n v="0.05"/>
    <n v="131.24"/>
    <m/>
    <m/>
    <x v="7"/>
  </r>
  <r>
    <s v="K7-10824"/>
    <x v="88"/>
    <x v="23"/>
    <x v="0"/>
    <x v="1"/>
    <x v="1"/>
    <x v="0"/>
    <x v="0"/>
    <s v="Noor Haddad"/>
    <n v="2"/>
    <n v="57.04"/>
    <n v="0"/>
    <n v="114.08"/>
    <m/>
    <m/>
    <x v="6"/>
  </r>
  <r>
    <s v="K7-10825"/>
    <x v="162"/>
    <x v="22"/>
    <x v="0"/>
    <x v="2"/>
    <x v="0"/>
    <x v="3"/>
    <x v="10"/>
    <s v="Jonah Wright"/>
    <n v="3"/>
    <n v="111.94"/>
    <n v="0"/>
    <n v="335.82"/>
    <m/>
    <m/>
    <x v="10"/>
  </r>
  <r>
    <s v="K7-10826"/>
    <x v="54"/>
    <x v="12"/>
    <x v="3"/>
    <x v="0"/>
    <x v="0"/>
    <x v="1"/>
    <x v="8"/>
    <s v="Dylan Foster"/>
    <n v="4"/>
    <n v="223.6"/>
    <n v="0"/>
    <n v="894.4"/>
    <m/>
    <m/>
    <x v="1"/>
  </r>
  <r>
    <s v="K7-10827"/>
    <x v="48"/>
    <x v="23"/>
    <x v="0"/>
    <x v="0"/>
    <x v="0"/>
    <x v="5"/>
    <x v="9"/>
    <s v="Ava Brooks"/>
    <n v="1"/>
    <n v="85.19"/>
    <n v="0"/>
    <n v="85.19"/>
    <m/>
    <m/>
    <x v="7"/>
  </r>
  <r>
    <s v="K7-10828"/>
    <x v="315"/>
    <x v="20"/>
    <x v="3"/>
    <x v="1"/>
    <x v="0"/>
    <x v="0"/>
    <x v="0"/>
    <s v="Ava Brooks"/>
    <n v="3"/>
    <n v="57.21"/>
    <n v="0.3"/>
    <n v="120.14"/>
    <m/>
    <m/>
    <x v="6"/>
  </r>
  <r>
    <s v="K7-10829"/>
    <x v="240"/>
    <x v="28"/>
    <x v="0"/>
    <x v="1"/>
    <x v="1"/>
    <x v="1"/>
    <x v="12"/>
    <s v="Ava Brooks"/>
    <n v="2"/>
    <n v="308.62"/>
    <n v="0"/>
    <n v="617.24"/>
    <m/>
    <m/>
    <x v="10"/>
  </r>
  <r>
    <s v="K7-10830"/>
    <x v="292"/>
    <x v="22"/>
    <x v="0"/>
    <x v="1"/>
    <x v="1"/>
    <x v="5"/>
    <x v="17"/>
    <s v="Priya Nair"/>
    <n v="2"/>
    <n v="229.52"/>
    <n v="0"/>
    <n v="459.04"/>
    <m/>
    <m/>
    <x v="0"/>
  </r>
  <r>
    <s v="K7-10831"/>
    <x v="13"/>
    <x v="5"/>
    <x v="0"/>
    <x v="2"/>
    <x v="0"/>
    <x v="0"/>
    <x v="21"/>
    <s v="Ava Brooks"/>
    <n v="3"/>
    <n v="46.89"/>
    <n v="0.05"/>
    <n v="133.63999999999999"/>
    <m/>
    <m/>
    <x v="4"/>
  </r>
  <r>
    <s v="K7-10832"/>
    <x v="151"/>
    <x v="6"/>
    <x v="2"/>
    <x v="0"/>
    <x v="0"/>
    <x v="1"/>
    <x v="12"/>
    <s v="Priya Nair"/>
    <n v="9"/>
    <n v="282.16000000000003"/>
    <n v="0"/>
    <n v="2539.44"/>
    <m/>
    <m/>
    <x v="11"/>
  </r>
  <r>
    <s v="K7-10833"/>
    <x v="259"/>
    <x v="5"/>
    <x v="0"/>
    <x v="3"/>
    <x v="0"/>
    <x v="5"/>
    <x v="7"/>
    <s v="Jonah Wright"/>
    <n v="13"/>
    <n v="171.18"/>
    <n v="0"/>
    <n v="2225.34"/>
    <m/>
    <m/>
    <x v="9"/>
  </r>
  <r>
    <s v="K7-10834"/>
    <x v="316"/>
    <x v="2"/>
    <x v="2"/>
    <x v="0"/>
    <x v="0"/>
    <x v="5"/>
    <x v="9"/>
    <s v="Dylan Foster"/>
    <n v="5"/>
    <n v="83.5"/>
    <n v="0.15"/>
    <n v="354.88"/>
    <m/>
    <m/>
    <x v="6"/>
  </r>
  <r>
    <s v="K7-10835"/>
    <x v="225"/>
    <x v="21"/>
    <x v="0"/>
    <x v="0"/>
    <x v="0"/>
    <x v="5"/>
    <x v="9"/>
    <s v="Elena Vargas"/>
    <n v="1"/>
    <n v="94.21"/>
    <n v="0"/>
    <n v="94.21"/>
    <m/>
    <m/>
    <x v="7"/>
  </r>
  <r>
    <s v="K7-10836"/>
    <x v="252"/>
    <x v="20"/>
    <x v="3"/>
    <x v="1"/>
    <x v="0"/>
    <x v="4"/>
    <x v="14"/>
    <s v="Ava Brooks"/>
    <n v="1"/>
    <n v="80.38"/>
    <n v="0"/>
    <n v="80.38"/>
    <m/>
    <m/>
    <x v="5"/>
  </r>
  <r>
    <s v="K7-10837"/>
    <x v="193"/>
    <x v="20"/>
    <x v="3"/>
    <x v="0"/>
    <x v="1"/>
    <x v="1"/>
    <x v="3"/>
    <s v="Marcus Reed"/>
    <n v="1"/>
    <n v="172.38"/>
    <n v="0.3"/>
    <n v="120.67"/>
    <m/>
    <m/>
    <x v="9"/>
  </r>
  <r>
    <s v="K7-10838"/>
    <x v="14"/>
    <x v="23"/>
    <x v="0"/>
    <x v="0"/>
    <x v="0"/>
    <x v="1"/>
    <x v="3"/>
    <s v="Marcus Reed"/>
    <n v="5"/>
    <n v="161.13999999999999"/>
    <n v="0"/>
    <n v="805.7"/>
    <m/>
    <m/>
    <x v="5"/>
  </r>
  <r>
    <s v="K7-10839"/>
    <x v="170"/>
    <x v="1"/>
    <x v="1"/>
    <x v="0"/>
    <x v="1"/>
    <x v="1"/>
    <x v="1"/>
    <s v="Noor Haddad"/>
    <n v="1"/>
    <n v="131.04"/>
    <n v="0"/>
    <n v="131.04"/>
    <m/>
    <m/>
    <x v="0"/>
  </r>
  <r>
    <s v="K7-10840"/>
    <x v="269"/>
    <x v="1"/>
    <x v="1"/>
    <x v="1"/>
    <x v="1"/>
    <x v="4"/>
    <x v="6"/>
    <s v="Priya Nair"/>
    <n v="5"/>
    <n v="61.81"/>
    <n v="0.05"/>
    <n v="293.60000000000002"/>
    <m/>
    <m/>
    <x v="6"/>
  </r>
  <r>
    <s v="K7-10841"/>
    <x v="139"/>
    <x v="7"/>
    <x v="2"/>
    <x v="1"/>
    <x v="0"/>
    <x v="4"/>
    <x v="14"/>
    <s v="Grace Okafor"/>
    <n v="2"/>
    <n v="78.38"/>
    <n v="0"/>
    <n v="156.76"/>
    <m/>
    <m/>
    <x v="7"/>
  </r>
  <r>
    <s v="K7-10842"/>
    <x v="245"/>
    <x v="5"/>
    <x v="0"/>
    <x v="0"/>
    <x v="1"/>
    <x v="3"/>
    <x v="15"/>
    <s v="Elena Vargas"/>
    <n v="3"/>
    <n v="100.1"/>
    <n v="0"/>
    <n v="300.3"/>
    <m/>
    <m/>
    <x v="1"/>
  </r>
  <r>
    <s v="K7-10843"/>
    <x v="206"/>
    <x v="8"/>
    <x v="1"/>
    <x v="1"/>
    <x v="0"/>
    <x v="4"/>
    <x v="11"/>
    <s v="Noor Haddad"/>
    <n v="1"/>
    <n v="79.11"/>
    <n v="0"/>
    <n v="79.11"/>
    <m/>
    <m/>
    <x v="0"/>
  </r>
  <r>
    <s v="K7-10844"/>
    <x v="317"/>
    <x v="10"/>
    <x v="3"/>
    <x v="0"/>
    <x v="0"/>
    <x v="4"/>
    <x v="14"/>
    <s v="Marcus Reed"/>
    <n v="3"/>
    <n v="70.72"/>
    <n v="0.3"/>
    <n v="148.51"/>
    <m/>
    <m/>
    <x v="10"/>
  </r>
  <r>
    <s v="K7-10845"/>
    <x v="93"/>
    <x v="0"/>
    <x v="0"/>
    <x v="0"/>
    <x v="0"/>
    <x v="5"/>
    <x v="17"/>
    <s v="Priya Nair"/>
    <n v="3"/>
    <n v="215.3"/>
    <n v="0"/>
    <n v="645.9"/>
    <m/>
    <m/>
    <x v="2"/>
  </r>
  <r>
    <s v="K7-10846"/>
    <x v="68"/>
    <x v="1"/>
    <x v="1"/>
    <x v="0"/>
    <x v="1"/>
    <x v="2"/>
    <x v="19"/>
    <s v="Grace Okafor"/>
    <n v="1"/>
    <n v="44.85"/>
    <n v="0"/>
    <n v="44.85"/>
    <m/>
    <m/>
    <x v="3"/>
  </r>
  <r>
    <s v="K7-10847"/>
    <x v="82"/>
    <x v="1"/>
    <x v="1"/>
    <x v="0"/>
    <x v="0"/>
    <x v="1"/>
    <x v="1"/>
    <s v="Ava Brooks"/>
    <n v="1"/>
    <n v="138.19"/>
    <n v="0.1"/>
    <n v="124.37"/>
    <m/>
    <m/>
    <x v="6"/>
  </r>
  <r>
    <s v="K7-10848"/>
    <x v="318"/>
    <x v="0"/>
    <x v="0"/>
    <x v="3"/>
    <x v="0"/>
    <x v="4"/>
    <x v="11"/>
    <s v="Noor Haddad"/>
    <n v="4"/>
    <n v="86.21"/>
    <n v="0.3"/>
    <n v="241.39"/>
    <m/>
    <m/>
    <x v="6"/>
  </r>
  <r>
    <s v="K7-10849"/>
    <x v="319"/>
    <x v="7"/>
    <x v="2"/>
    <x v="0"/>
    <x v="0"/>
    <x v="2"/>
    <x v="2"/>
    <s v="Priya Nair"/>
    <n v="2"/>
    <n v="24"/>
    <n v="0.15"/>
    <n v="40.799999999999997"/>
    <m/>
    <m/>
    <x v="0"/>
  </r>
  <r>
    <s v="K7-10850"/>
    <x v="135"/>
    <x v="5"/>
    <x v="0"/>
    <x v="3"/>
    <x v="0"/>
    <x v="0"/>
    <x v="18"/>
    <s v="Elena Vargas"/>
    <n v="10"/>
    <n v="31.09"/>
    <n v="0"/>
    <n v="310.89999999999998"/>
    <m/>
    <m/>
    <x v="4"/>
  </r>
  <r>
    <s v="K7-10851"/>
    <x v="22"/>
    <x v="9"/>
    <x v="2"/>
    <x v="3"/>
    <x v="0"/>
    <x v="0"/>
    <x v="18"/>
    <s v="Priya Nair"/>
    <n v="3"/>
    <n v="34.21"/>
    <n v="0.15"/>
    <n v="87.24"/>
    <m/>
    <m/>
    <x v="3"/>
  </r>
  <r>
    <s v="K7-10852"/>
    <x v="207"/>
    <x v="13"/>
    <x v="0"/>
    <x v="1"/>
    <x v="1"/>
    <x v="5"/>
    <x v="7"/>
    <s v="Ava Brooks"/>
    <n v="2"/>
    <n v="152.97"/>
    <n v="0"/>
    <n v="305.94"/>
    <m/>
    <m/>
    <x v="1"/>
  </r>
  <r>
    <s v="K7-10853"/>
    <x v="229"/>
    <x v="24"/>
    <x v="2"/>
    <x v="0"/>
    <x v="0"/>
    <x v="3"/>
    <x v="15"/>
    <s v="Priya Nair"/>
    <n v="9"/>
    <n v="103.32"/>
    <n v="0.3"/>
    <n v="650.91999999999996"/>
    <m/>
    <m/>
    <x v="9"/>
  </r>
  <r>
    <s v="K7-10854"/>
    <x v="112"/>
    <x v="2"/>
    <x v="2"/>
    <x v="2"/>
    <x v="0"/>
    <x v="0"/>
    <x v="20"/>
    <s v="Marcus Reed"/>
    <n v="14"/>
    <n v="67.2"/>
    <n v="0"/>
    <n v="940.8"/>
    <m/>
    <m/>
    <x v="2"/>
  </r>
  <r>
    <s v="K7-10855"/>
    <x v="113"/>
    <x v="11"/>
    <x v="3"/>
    <x v="0"/>
    <x v="0"/>
    <x v="4"/>
    <x v="13"/>
    <s v="Grace Okafor"/>
    <n v="2"/>
    <n v="87.09"/>
    <n v="0"/>
    <n v="174.18"/>
    <m/>
    <m/>
    <x v="8"/>
  </r>
  <r>
    <s v="K7-10856"/>
    <x v="39"/>
    <x v="5"/>
    <x v="0"/>
    <x v="1"/>
    <x v="1"/>
    <x v="3"/>
    <x v="15"/>
    <s v="Marcus Reed"/>
    <n v="13"/>
    <n v="105.45"/>
    <n v="0.3"/>
    <n v="959.6"/>
    <m/>
    <m/>
    <x v="5"/>
  </r>
  <r>
    <s v="K7-10857"/>
    <x v="283"/>
    <x v="5"/>
    <x v="0"/>
    <x v="0"/>
    <x v="0"/>
    <x v="2"/>
    <x v="19"/>
    <s v="Ava Brooks"/>
    <n v="1"/>
    <n v="47.63"/>
    <n v="0.2"/>
    <n v="38.1"/>
    <m/>
    <m/>
    <x v="0"/>
  </r>
  <r>
    <s v="K7-10858"/>
    <x v="235"/>
    <x v="4"/>
    <x v="3"/>
    <x v="3"/>
    <x v="0"/>
    <x v="1"/>
    <x v="8"/>
    <s v="Ava Brooks"/>
    <n v="4"/>
    <n v="221.63"/>
    <n v="0"/>
    <n v="886.52"/>
    <m/>
    <m/>
    <x v="11"/>
  </r>
  <r>
    <s v="K7-10859"/>
    <x v="90"/>
    <x v="21"/>
    <x v="0"/>
    <x v="1"/>
    <x v="1"/>
    <x v="1"/>
    <x v="3"/>
    <s v="Dylan Foster"/>
    <n v="4"/>
    <n v="179.89"/>
    <n v="0"/>
    <n v="719.56"/>
    <m/>
    <m/>
    <x v="3"/>
  </r>
  <r>
    <s v="K7-10860"/>
    <x v="137"/>
    <x v="1"/>
    <x v="1"/>
    <x v="0"/>
    <x v="1"/>
    <x v="4"/>
    <x v="6"/>
    <s v="Elena Vargas"/>
    <n v="2"/>
    <n v="61.86"/>
    <n v="0"/>
    <n v="123.72"/>
    <m/>
    <m/>
    <x v="10"/>
  </r>
  <r>
    <s v="K7-10861"/>
    <x v="44"/>
    <x v="0"/>
    <x v="0"/>
    <x v="1"/>
    <x v="0"/>
    <x v="0"/>
    <x v="20"/>
    <s v="Marcus Reed"/>
    <n v="4"/>
    <n v="67.77"/>
    <n v="0.1"/>
    <n v="243.97"/>
    <m/>
    <m/>
    <x v="6"/>
  </r>
  <r>
    <s v="K7-10862"/>
    <x v="265"/>
    <x v="21"/>
    <x v="0"/>
    <x v="3"/>
    <x v="1"/>
    <x v="0"/>
    <x v="0"/>
    <s v="Dylan Foster"/>
    <n v="1"/>
    <n v="52.47"/>
    <n v="0"/>
    <n v="52.47"/>
    <m/>
    <m/>
    <x v="9"/>
  </r>
  <r>
    <s v="K7-10863"/>
    <x v="174"/>
    <x v="19"/>
    <x v="1"/>
    <x v="1"/>
    <x v="0"/>
    <x v="4"/>
    <x v="13"/>
    <s v="Grace Okafor"/>
    <n v="3"/>
    <n v="98.07"/>
    <n v="0"/>
    <n v="294.20999999999998"/>
    <m/>
    <m/>
    <x v="8"/>
  </r>
  <r>
    <s v="K7-10864"/>
    <x v="320"/>
    <x v="0"/>
    <x v="0"/>
    <x v="3"/>
    <x v="0"/>
    <x v="0"/>
    <x v="0"/>
    <s v="Noor Haddad"/>
    <n v="2"/>
    <n v="51.93"/>
    <n v="0.05"/>
    <n v="98.67"/>
    <m/>
    <m/>
    <x v="6"/>
  </r>
  <r>
    <s v="K7-10865"/>
    <x v="191"/>
    <x v="15"/>
    <x v="1"/>
    <x v="1"/>
    <x v="1"/>
    <x v="4"/>
    <x v="11"/>
    <s v="Elena Vargas"/>
    <n v="6"/>
    <n v="85.6"/>
    <n v="0"/>
    <n v="513.6"/>
    <m/>
    <m/>
    <x v="5"/>
  </r>
  <r>
    <s v="K7-10866"/>
    <x v="95"/>
    <x v="19"/>
    <x v="1"/>
    <x v="3"/>
    <x v="1"/>
    <x v="4"/>
    <x v="14"/>
    <s v="Jonah Wright"/>
    <n v="4"/>
    <n v="75.7"/>
    <n v="0"/>
    <n v="302.8"/>
    <m/>
    <m/>
    <x v="3"/>
  </r>
  <r>
    <s v="K7-10867"/>
    <x v="228"/>
    <x v="24"/>
    <x v="2"/>
    <x v="1"/>
    <x v="0"/>
    <x v="0"/>
    <x v="0"/>
    <s v="Priya Nair"/>
    <n v="1"/>
    <n v="53.07"/>
    <n v="0"/>
    <n v="53.07"/>
    <m/>
    <m/>
    <x v="5"/>
  </r>
  <r>
    <s v="K7-10868"/>
    <x v="185"/>
    <x v="16"/>
    <x v="0"/>
    <x v="2"/>
    <x v="0"/>
    <x v="5"/>
    <x v="17"/>
    <s v="Noor Haddad"/>
    <n v="1"/>
    <n v="203.17"/>
    <n v="0.05"/>
    <n v="193.01"/>
    <m/>
    <m/>
    <x v="11"/>
  </r>
  <r>
    <s v="K7-10869"/>
    <x v="89"/>
    <x v="7"/>
    <x v="2"/>
    <x v="1"/>
    <x v="0"/>
    <x v="5"/>
    <x v="9"/>
    <s v="Noor Haddad"/>
    <n v="1"/>
    <n v="87.4"/>
    <n v="0"/>
    <n v="87.4"/>
    <m/>
    <m/>
    <x v="5"/>
  </r>
  <r>
    <s v="K7-10870"/>
    <x v="61"/>
    <x v="11"/>
    <x v="3"/>
    <x v="1"/>
    <x v="0"/>
    <x v="2"/>
    <x v="19"/>
    <s v="Ava Brooks"/>
    <n v="2"/>
    <n v="49.77"/>
    <n v="0"/>
    <n v="99.54"/>
    <m/>
    <m/>
    <x v="7"/>
  </r>
  <r>
    <s v="K7-10871"/>
    <x v="13"/>
    <x v="22"/>
    <x v="0"/>
    <x v="3"/>
    <x v="1"/>
    <x v="4"/>
    <x v="14"/>
    <s v="Priya Nair"/>
    <n v="2"/>
    <n v="71.760000000000005"/>
    <n v="0"/>
    <n v="143.52000000000001"/>
    <m/>
    <m/>
    <x v="4"/>
  </r>
  <r>
    <s v="K7-10872"/>
    <x v="321"/>
    <x v="24"/>
    <x v="2"/>
    <x v="1"/>
    <x v="0"/>
    <x v="1"/>
    <x v="12"/>
    <s v="Elena Vargas"/>
    <n v="1"/>
    <n v="311.43"/>
    <n v="0"/>
    <n v="311.43"/>
    <m/>
    <m/>
    <x v="5"/>
  </r>
  <r>
    <s v="K7-10873"/>
    <x v="251"/>
    <x v="11"/>
    <x v="3"/>
    <x v="1"/>
    <x v="1"/>
    <x v="0"/>
    <x v="20"/>
    <s v="Priya Nair"/>
    <n v="2"/>
    <n v="68.150000000000006"/>
    <n v="0"/>
    <n v="136.30000000000001"/>
    <m/>
    <m/>
    <x v="1"/>
  </r>
  <r>
    <s v="K7-10874"/>
    <x v="120"/>
    <x v="18"/>
    <x v="3"/>
    <x v="2"/>
    <x v="0"/>
    <x v="3"/>
    <x v="10"/>
    <s v="Elena Vargas"/>
    <n v="1"/>
    <n v="111.77"/>
    <n v="0"/>
    <n v="111.77"/>
    <m/>
    <m/>
    <x v="1"/>
  </r>
  <r>
    <s v="K7-10875"/>
    <x v="205"/>
    <x v="2"/>
    <x v="2"/>
    <x v="3"/>
    <x v="1"/>
    <x v="4"/>
    <x v="6"/>
    <s v="Priya Nair"/>
    <n v="2"/>
    <n v="55.13"/>
    <n v="0"/>
    <n v="110.26"/>
    <m/>
    <m/>
    <x v="2"/>
  </r>
  <r>
    <s v="K7-10876"/>
    <x v="230"/>
    <x v="17"/>
    <x v="0"/>
    <x v="0"/>
    <x v="1"/>
    <x v="2"/>
    <x v="5"/>
    <s v="Noor Haddad"/>
    <n v="5"/>
    <n v="39.14"/>
    <n v="0.2"/>
    <n v="156.56"/>
    <m/>
    <m/>
    <x v="10"/>
  </r>
  <r>
    <s v="K7-10877"/>
    <x v="136"/>
    <x v="18"/>
    <x v="3"/>
    <x v="0"/>
    <x v="1"/>
    <x v="0"/>
    <x v="21"/>
    <s v="Marcus Reed"/>
    <n v="18"/>
    <n v="48.54"/>
    <n v="0.05"/>
    <n v="830.03"/>
    <m/>
    <m/>
    <x v="0"/>
  </r>
  <r>
    <s v="K7-10878"/>
    <x v="191"/>
    <x v="1"/>
    <x v="1"/>
    <x v="3"/>
    <x v="1"/>
    <x v="4"/>
    <x v="11"/>
    <s v="Elena Vargas"/>
    <n v="5"/>
    <n v="89.25"/>
    <n v="0"/>
    <n v="446.25"/>
    <m/>
    <m/>
    <x v="5"/>
  </r>
  <r>
    <s v="K7-10879"/>
    <x v="318"/>
    <x v="28"/>
    <x v="0"/>
    <x v="0"/>
    <x v="1"/>
    <x v="5"/>
    <x v="17"/>
    <s v="Jonah Wright"/>
    <n v="2"/>
    <n v="203.61"/>
    <n v="0"/>
    <n v="407.22"/>
    <m/>
    <m/>
    <x v="6"/>
  </r>
  <r>
    <s v="K7-10880"/>
    <x v="290"/>
    <x v="1"/>
    <x v="1"/>
    <x v="3"/>
    <x v="0"/>
    <x v="5"/>
    <x v="7"/>
    <s v="Jonah Wright"/>
    <n v="8"/>
    <n v="156.13"/>
    <n v="0"/>
    <n v="1249.04"/>
    <m/>
    <m/>
    <x v="8"/>
  </r>
  <r>
    <s v="K7-10881"/>
    <x v="234"/>
    <x v="1"/>
    <x v="1"/>
    <x v="2"/>
    <x v="1"/>
    <x v="3"/>
    <x v="4"/>
    <s v="Ava Brooks"/>
    <n v="3"/>
    <n v="129.02000000000001"/>
    <n v="0.05"/>
    <n v="367.71"/>
    <m/>
    <m/>
    <x v="2"/>
  </r>
  <r>
    <s v="K7-10882"/>
    <x v="76"/>
    <x v="1"/>
    <x v="1"/>
    <x v="3"/>
    <x v="0"/>
    <x v="4"/>
    <x v="11"/>
    <s v="Marcus Reed"/>
    <n v="6"/>
    <n v="90.26"/>
    <n v="0"/>
    <n v="541.55999999999995"/>
    <m/>
    <m/>
    <x v="4"/>
  </r>
  <r>
    <s v="K7-10883"/>
    <x v="118"/>
    <x v="5"/>
    <x v="0"/>
    <x v="0"/>
    <x v="0"/>
    <x v="1"/>
    <x v="3"/>
    <s v="Elena Vargas"/>
    <n v="5"/>
    <n v="181.26"/>
    <n v="0"/>
    <n v="906.3"/>
    <m/>
    <m/>
    <x v="5"/>
  </r>
  <r>
    <s v="K7-10884"/>
    <x v="255"/>
    <x v="7"/>
    <x v="2"/>
    <x v="1"/>
    <x v="0"/>
    <x v="1"/>
    <x v="8"/>
    <s v="Jonah Wright"/>
    <n v="8"/>
    <n v="228.91"/>
    <n v="0"/>
    <n v="1831.28"/>
    <m/>
    <m/>
    <x v="5"/>
  </r>
  <r>
    <s v="K7-10885"/>
    <x v="47"/>
    <x v="0"/>
    <x v="0"/>
    <x v="3"/>
    <x v="0"/>
    <x v="0"/>
    <x v="18"/>
    <s v="Priya Nair"/>
    <n v="2"/>
    <n v="33.619999999999997"/>
    <n v="0"/>
    <n v="67.239999999999995"/>
    <m/>
    <m/>
    <x v="2"/>
  </r>
  <r>
    <s v="K7-10886"/>
    <x v="248"/>
    <x v="11"/>
    <x v="3"/>
    <x v="2"/>
    <x v="0"/>
    <x v="3"/>
    <x v="15"/>
    <s v="Elena Vargas"/>
    <n v="4"/>
    <n v="98.26"/>
    <n v="0"/>
    <n v="393.04"/>
    <m/>
    <m/>
    <x v="1"/>
  </r>
  <r>
    <s v="K7-10887"/>
    <x v="322"/>
    <x v="29"/>
    <x v="1"/>
    <x v="0"/>
    <x v="1"/>
    <x v="1"/>
    <x v="12"/>
    <s v="Elena Vargas"/>
    <n v="3"/>
    <n v="308.60000000000002"/>
    <n v="0"/>
    <n v="925.8"/>
    <m/>
    <m/>
    <x v="6"/>
  </r>
  <r>
    <s v="K7-10888"/>
    <x v="88"/>
    <x v="1"/>
    <x v="1"/>
    <x v="0"/>
    <x v="1"/>
    <x v="3"/>
    <x v="4"/>
    <s v="Priya Nair"/>
    <n v="6"/>
    <n v="137.63"/>
    <n v="0"/>
    <n v="825.78"/>
    <m/>
    <m/>
    <x v="6"/>
  </r>
  <r>
    <s v="K7-10889"/>
    <x v="165"/>
    <x v="7"/>
    <x v="2"/>
    <x v="2"/>
    <x v="0"/>
    <x v="2"/>
    <x v="2"/>
    <s v="Jonah Wright"/>
    <n v="1"/>
    <n v="26.17"/>
    <n v="0.2"/>
    <n v="20.94"/>
    <m/>
    <m/>
    <x v="1"/>
  </r>
  <r>
    <s v="K7-10890"/>
    <x v="13"/>
    <x v="11"/>
    <x v="3"/>
    <x v="0"/>
    <x v="1"/>
    <x v="2"/>
    <x v="5"/>
    <s v="Dylan Foster"/>
    <n v="2"/>
    <n v="40.950000000000003"/>
    <n v="0"/>
    <n v="81.900000000000006"/>
    <m/>
    <m/>
    <x v="4"/>
  </r>
  <r>
    <s v="K7-10891"/>
    <x v="177"/>
    <x v="25"/>
    <x v="3"/>
    <x v="2"/>
    <x v="0"/>
    <x v="4"/>
    <x v="6"/>
    <s v="Dylan Foster"/>
    <n v="16"/>
    <n v="59.18"/>
    <n v="0"/>
    <n v="946.88"/>
    <m/>
    <m/>
    <x v="6"/>
  </r>
  <r>
    <s v="K7-10892"/>
    <x v="279"/>
    <x v="1"/>
    <x v="1"/>
    <x v="3"/>
    <x v="0"/>
    <x v="2"/>
    <x v="5"/>
    <s v="Noor Haddad"/>
    <n v="4"/>
    <n v="38.58"/>
    <n v="0"/>
    <n v="154.32"/>
    <m/>
    <m/>
    <x v="5"/>
  </r>
  <r>
    <s v="K7-10893"/>
    <x v="299"/>
    <x v="8"/>
    <x v="1"/>
    <x v="0"/>
    <x v="1"/>
    <x v="0"/>
    <x v="0"/>
    <s v="Marcus Reed"/>
    <n v="4"/>
    <n v="53.41"/>
    <n v="0"/>
    <n v="213.64"/>
    <m/>
    <m/>
    <x v="5"/>
  </r>
  <r>
    <s v="K7-10894"/>
    <x v="323"/>
    <x v="9"/>
    <x v="2"/>
    <x v="3"/>
    <x v="1"/>
    <x v="2"/>
    <x v="2"/>
    <s v="Ava Brooks"/>
    <n v="5"/>
    <n v="26.53"/>
    <n v="0"/>
    <n v="132.65"/>
    <m/>
    <m/>
    <x v="3"/>
  </r>
  <r>
    <s v="K7-10895"/>
    <x v="140"/>
    <x v="5"/>
    <x v="0"/>
    <x v="1"/>
    <x v="1"/>
    <x v="4"/>
    <x v="6"/>
    <s v="Marcus Reed"/>
    <n v="1"/>
    <n v="57.27"/>
    <n v="0"/>
    <n v="57.27"/>
    <m/>
    <m/>
    <x v="2"/>
  </r>
  <r>
    <s v="K7-10896"/>
    <x v="89"/>
    <x v="21"/>
    <x v="0"/>
    <x v="3"/>
    <x v="0"/>
    <x v="1"/>
    <x v="8"/>
    <s v="Dylan Foster"/>
    <n v="5"/>
    <n v="245.44"/>
    <n v="0"/>
    <n v="1227.2"/>
    <m/>
    <m/>
    <x v="5"/>
  </r>
  <r>
    <s v="K7-10897"/>
    <x v="170"/>
    <x v="4"/>
    <x v="3"/>
    <x v="2"/>
    <x v="1"/>
    <x v="0"/>
    <x v="0"/>
    <s v="Jonah Wright"/>
    <n v="1"/>
    <n v="53.4"/>
    <n v="0.1"/>
    <n v="48.06"/>
    <m/>
    <m/>
    <x v="0"/>
  </r>
  <r>
    <s v="K7-10898"/>
    <x v="324"/>
    <x v="15"/>
    <x v="1"/>
    <x v="1"/>
    <x v="0"/>
    <x v="4"/>
    <x v="11"/>
    <s v="Ava Brooks"/>
    <n v="1"/>
    <n v="77.47"/>
    <n v="0.15"/>
    <n v="65.849999999999994"/>
    <m/>
    <m/>
    <x v="9"/>
  </r>
  <r>
    <s v="K7-10899"/>
    <x v="325"/>
    <x v="16"/>
    <x v="0"/>
    <x v="1"/>
    <x v="1"/>
    <x v="4"/>
    <x v="6"/>
    <s v="Ava Brooks"/>
    <n v="4"/>
    <n v="54.56"/>
    <n v="0"/>
    <n v="218.24"/>
    <m/>
    <m/>
    <x v="5"/>
  </r>
  <r>
    <s v="K7-10900"/>
    <x v="114"/>
    <x v="0"/>
    <x v="0"/>
    <x v="1"/>
    <x v="1"/>
    <x v="1"/>
    <x v="8"/>
    <s v="Ava Brooks"/>
    <n v="1"/>
    <n v="223.01"/>
    <n v="0.1"/>
    <n v="200.71"/>
    <m/>
    <m/>
    <x v="8"/>
  </r>
  <r>
    <s v="K7-10901"/>
    <x v="173"/>
    <x v="7"/>
    <x v="2"/>
    <x v="1"/>
    <x v="0"/>
    <x v="4"/>
    <x v="14"/>
    <s v="Marcus Reed"/>
    <n v="2"/>
    <n v="76.84"/>
    <n v="0"/>
    <n v="153.68"/>
    <m/>
    <m/>
    <x v="10"/>
  </r>
  <r>
    <s v="K7-10902"/>
    <x v="218"/>
    <x v="5"/>
    <x v="0"/>
    <x v="2"/>
    <x v="1"/>
    <x v="3"/>
    <x v="10"/>
    <s v="Dylan Foster"/>
    <n v="2"/>
    <n v="110.75"/>
    <n v="0.05"/>
    <n v="210.42"/>
    <m/>
    <m/>
    <x v="4"/>
  </r>
  <r>
    <s v="K7-10903"/>
    <x v="242"/>
    <x v="20"/>
    <x v="3"/>
    <x v="0"/>
    <x v="0"/>
    <x v="2"/>
    <x v="16"/>
    <s v="Noor Haddad"/>
    <n v="1"/>
    <n v="63.8"/>
    <n v="0.3"/>
    <n v="44.66"/>
    <m/>
    <m/>
    <x v="3"/>
  </r>
  <r>
    <s v="K7-10904"/>
    <x v="307"/>
    <x v="3"/>
    <x v="0"/>
    <x v="0"/>
    <x v="0"/>
    <x v="0"/>
    <x v="20"/>
    <s v="Elena Vargas"/>
    <n v="2"/>
    <n v="68.739999999999995"/>
    <n v="0"/>
    <n v="137.47999999999999"/>
    <m/>
    <m/>
    <x v="6"/>
  </r>
  <r>
    <s v="K7-10905"/>
    <x v="75"/>
    <x v="24"/>
    <x v="2"/>
    <x v="0"/>
    <x v="0"/>
    <x v="5"/>
    <x v="7"/>
    <s v="Noor Haddad"/>
    <n v="8"/>
    <n v="160.66999999999999"/>
    <n v="0"/>
    <n v="1285.3599999999999"/>
    <m/>
    <m/>
    <x v="8"/>
  </r>
  <r>
    <s v="K7-10906"/>
    <x v="125"/>
    <x v="23"/>
    <x v="0"/>
    <x v="1"/>
    <x v="0"/>
    <x v="3"/>
    <x v="10"/>
    <s v="Elena Vargas"/>
    <n v="4"/>
    <n v="126.36"/>
    <n v="0"/>
    <n v="505.44"/>
    <m/>
    <m/>
    <x v="6"/>
  </r>
  <r>
    <s v="K7-10907"/>
    <x v="144"/>
    <x v="6"/>
    <x v="2"/>
    <x v="1"/>
    <x v="0"/>
    <x v="3"/>
    <x v="15"/>
    <s v="Grace Okafor"/>
    <n v="4"/>
    <n v="100.34"/>
    <n v="0"/>
    <n v="401.36"/>
    <m/>
    <m/>
    <x v="11"/>
  </r>
  <r>
    <s v="K7-10908"/>
    <x v="105"/>
    <x v="7"/>
    <x v="2"/>
    <x v="0"/>
    <x v="1"/>
    <x v="1"/>
    <x v="8"/>
    <s v="Noor Haddad"/>
    <n v="1"/>
    <n v="230.52"/>
    <n v="0"/>
    <n v="230.52"/>
    <m/>
    <m/>
    <x v="11"/>
  </r>
  <r>
    <s v="K7-10909"/>
    <x v="100"/>
    <x v="23"/>
    <x v="0"/>
    <x v="0"/>
    <x v="0"/>
    <x v="0"/>
    <x v="0"/>
    <s v="Jonah Wright"/>
    <n v="2"/>
    <n v="52.36"/>
    <n v="0"/>
    <n v="104.72"/>
    <m/>
    <m/>
    <x v="5"/>
  </r>
  <r>
    <s v="K7-10910"/>
    <x v="92"/>
    <x v="11"/>
    <x v="3"/>
    <x v="0"/>
    <x v="1"/>
    <x v="1"/>
    <x v="12"/>
    <s v="Jonah Wright"/>
    <n v="2"/>
    <n v="295.22000000000003"/>
    <n v="0"/>
    <n v="590.44000000000005"/>
    <m/>
    <m/>
    <x v="3"/>
  </r>
  <r>
    <s v="K7-10911"/>
    <x v="249"/>
    <x v="14"/>
    <x v="2"/>
    <x v="1"/>
    <x v="0"/>
    <x v="4"/>
    <x v="14"/>
    <s v="Priya Nair"/>
    <n v="2"/>
    <n v="78.349999999999994"/>
    <n v="0.05"/>
    <n v="148.86000000000001"/>
    <m/>
    <m/>
    <x v="7"/>
  </r>
  <r>
    <s v="K7-10912"/>
    <x v="260"/>
    <x v="4"/>
    <x v="3"/>
    <x v="0"/>
    <x v="1"/>
    <x v="2"/>
    <x v="5"/>
    <s v="Marcus Reed"/>
    <n v="3"/>
    <n v="37.020000000000003"/>
    <n v="0"/>
    <n v="111.06"/>
    <m/>
    <m/>
    <x v="4"/>
  </r>
  <r>
    <s v="K7-10913"/>
    <x v="136"/>
    <x v="26"/>
    <x v="2"/>
    <x v="1"/>
    <x v="0"/>
    <x v="3"/>
    <x v="15"/>
    <s v="Priya Nair"/>
    <n v="2"/>
    <n v="95.93"/>
    <n v="0.1"/>
    <n v="172.67"/>
    <m/>
    <m/>
    <x v="0"/>
  </r>
  <r>
    <s v="K7-10914"/>
    <x v="64"/>
    <x v="2"/>
    <x v="2"/>
    <x v="3"/>
    <x v="1"/>
    <x v="1"/>
    <x v="1"/>
    <s v="Noor Haddad"/>
    <n v="4"/>
    <n v="132.38"/>
    <n v="0.2"/>
    <n v="423.62"/>
    <m/>
    <m/>
    <x v="8"/>
  </r>
  <r>
    <s v="K7-10915"/>
    <x v="75"/>
    <x v="11"/>
    <x v="3"/>
    <x v="0"/>
    <x v="1"/>
    <x v="4"/>
    <x v="14"/>
    <s v="Jonah Wright"/>
    <n v="4"/>
    <n v="70.12"/>
    <n v="0.2"/>
    <n v="224.38"/>
    <m/>
    <m/>
    <x v="8"/>
  </r>
  <r>
    <s v="K7-10916"/>
    <x v="21"/>
    <x v="17"/>
    <x v="0"/>
    <x v="1"/>
    <x v="0"/>
    <x v="0"/>
    <x v="20"/>
    <s v="Jonah Wright"/>
    <n v="7"/>
    <n v="72.16"/>
    <n v="0"/>
    <n v="505.12"/>
    <m/>
    <m/>
    <x v="9"/>
  </r>
  <r>
    <s v="K7-10917"/>
    <x v="118"/>
    <x v="8"/>
    <x v="1"/>
    <x v="0"/>
    <x v="1"/>
    <x v="0"/>
    <x v="21"/>
    <s v="Priya Nair"/>
    <n v="4"/>
    <n v="45.52"/>
    <n v="0.05"/>
    <n v="172.98"/>
    <m/>
    <m/>
    <x v="5"/>
  </r>
  <r>
    <s v="K7-10918"/>
    <x v="139"/>
    <x v="16"/>
    <x v="0"/>
    <x v="0"/>
    <x v="1"/>
    <x v="1"/>
    <x v="3"/>
    <s v="Noor Haddad"/>
    <n v="1"/>
    <n v="176.94"/>
    <n v="0"/>
    <n v="176.94"/>
    <m/>
    <m/>
    <x v="7"/>
  </r>
  <r>
    <s v="K7-10919"/>
    <x v="207"/>
    <x v="4"/>
    <x v="3"/>
    <x v="1"/>
    <x v="0"/>
    <x v="1"/>
    <x v="8"/>
    <s v="Ava Brooks"/>
    <n v="1"/>
    <n v="237.44"/>
    <n v="0"/>
    <n v="237.44"/>
    <m/>
    <m/>
    <x v="1"/>
  </r>
  <r>
    <s v="K7-10920"/>
    <x v="293"/>
    <x v="1"/>
    <x v="1"/>
    <x v="0"/>
    <x v="0"/>
    <x v="4"/>
    <x v="14"/>
    <s v="Marcus Reed"/>
    <n v="2"/>
    <n v="70.459999999999994"/>
    <n v="0.15"/>
    <n v="119.78"/>
    <m/>
    <m/>
    <x v="2"/>
  </r>
  <r>
    <s v="K7-10921"/>
    <x v="20"/>
    <x v="20"/>
    <x v="3"/>
    <x v="3"/>
    <x v="0"/>
    <x v="2"/>
    <x v="2"/>
    <s v="Ava Brooks"/>
    <n v="13"/>
    <n v="27.32"/>
    <n v="0.05"/>
    <n v="337.4"/>
    <m/>
    <m/>
    <x v="5"/>
  </r>
  <r>
    <s v="K7-10922"/>
    <x v="204"/>
    <x v="21"/>
    <x v="0"/>
    <x v="3"/>
    <x v="1"/>
    <x v="2"/>
    <x v="2"/>
    <s v="Elena Vargas"/>
    <n v="1"/>
    <n v="26.62"/>
    <n v="0"/>
    <n v="26.62"/>
    <m/>
    <m/>
    <x v="7"/>
  </r>
  <r>
    <s v="K7-10923"/>
    <x v="188"/>
    <x v="13"/>
    <x v="0"/>
    <x v="1"/>
    <x v="0"/>
    <x v="4"/>
    <x v="13"/>
    <s v="Noor Haddad"/>
    <n v="5"/>
    <n v="94.67"/>
    <n v="0.15"/>
    <n v="402.35"/>
    <m/>
    <m/>
    <x v="3"/>
  </r>
  <r>
    <s v="K7-10924"/>
    <x v="143"/>
    <x v="1"/>
    <x v="1"/>
    <x v="1"/>
    <x v="0"/>
    <x v="0"/>
    <x v="20"/>
    <s v="Elena Vargas"/>
    <n v="2"/>
    <n v="64.569999999999993"/>
    <n v="0"/>
    <n v="129.13999999999999"/>
    <m/>
    <m/>
    <x v="10"/>
  </r>
  <r>
    <s v="K7-10925"/>
    <x v="145"/>
    <x v="7"/>
    <x v="2"/>
    <x v="1"/>
    <x v="0"/>
    <x v="4"/>
    <x v="11"/>
    <s v="Ava Brooks"/>
    <n v="1"/>
    <n v="88.26"/>
    <n v="0"/>
    <n v="88.26"/>
    <m/>
    <m/>
    <x v="3"/>
  </r>
  <r>
    <s v="K7-10926"/>
    <x v="9"/>
    <x v="23"/>
    <x v="0"/>
    <x v="1"/>
    <x v="1"/>
    <x v="0"/>
    <x v="21"/>
    <s v="Marcus Reed"/>
    <n v="2"/>
    <n v="49.01"/>
    <n v="0"/>
    <n v="98.02"/>
    <m/>
    <m/>
    <x v="7"/>
  </r>
  <r>
    <s v="K7-10927"/>
    <x v="326"/>
    <x v="16"/>
    <x v="0"/>
    <x v="1"/>
    <x v="0"/>
    <x v="0"/>
    <x v="0"/>
    <s v="Grace Okafor"/>
    <n v="2"/>
    <n v="58.28"/>
    <n v="0"/>
    <n v="116.56"/>
    <m/>
    <m/>
    <x v="11"/>
  </r>
  <r>
    <s v="K7-10928"/>
    <x v="194"/>
    <x v="13"/>
    <x v="0"/>
    <x v="1"/>
    <x v="1"/>
    <x v="0"/>
    <x v="0"/>
    <s v="Marcus Reed"/>
    <n v="2"/>
    <n v="50.12"/>
    <n v="0"/>
    <n v="100.24"/>
    <m/>
    <m/>
    <x v="11"/>
  </r>
  <r>
    <s v="K7-10929"/>
    <x v="279"/>
    <x v="19"/>
    <x v="1"/>
    <x v="2"/>
    <x v="0"/>
    <x v="3"/>
    <x v="15"/>
    <s v="Ava Brooks"/>
    <n v="1"/>
    <n v="105.21"/>
    <n v="0"/>
    <n v="105.21"/>
    <m/>
    <m/>
    <x v="5"/>
  </r>
  <r>
    <s v="K7-10930"/>
    <x v="145"/>
    <x v="8"/>
    <x v="1"/>
    <x v="0"/>
    <x v="0"/>
    <x v="1"/>
    <x v="3"/>
    <s v="Dylan Foster"/>
    <n v="2"/>
    <n v="167.19"/>
    <n v="0.3"/>
    <n v="234.07"/>
    <m/>
    <m/>
    <x v="3"/>
  </r>
  <r>
    <s v="K7-10931"/>
    <x v="129"/>
    <x v="7"/>
    <x v="2"/>
    <x v="1"/>
    <x v="0"/>
    <x v="5"/>
    <x v="17"/>
    <s v="Noor Haddad"/>
    <n v="1"/>
    <n v="209.09"/>
    <n v="0.05"/>
    <n v="198.64"/>
    <m/>
    <m/>
    <x v="10"/>
  </r>
  <r>
    <s v="K7-10932"/>
    <x v="327"/>
    <x v="23"/>
    <x v="0"/>
    <x v="3"/>
    <x v="0"/>
    <x v="1"/>
    <x v="3"/>
    <s v="Ava Brooks"/>
    <n v="1"/>
    <n v="161.53"/>
    <n v="0"/>
    <n v="161.53"/>
    <m/>
    <m/>
    <x v="8"/>
  </r>
  <r>
    <s v="K7-10933"/>
    <x v="36"/>
    <x v="1"/>
    <x v="1"/>
    <x v="3"/>
    <x v="0"/>
    <x v="0"/>
    <x v="21"/>
    <s v="Elena Vargas"/>
    <n v="4"/>
    <n v="43.21"/>
    <n v="0"/>
    <n v="172.84"/>
    <m/>
    <m/>
    <x v="2"/>
  </r>
  <r>
    <s v="K7-10934"/>
    <x v="211"/>
    <x v="15"/>
    <x v="1"/>
    <x v="1"/>
    <x v="1"/>
    <x v="1"/>
    <x v="3"/>
    <s v="Priya Nair"/>
    <n v="1"/>
    <n v="180.69"/>
    <n v="0"/>
    <n v="180.69"/>
    <m/>
    <m/>
    <x v="3"/>
  </r>
  <r>
    <s v="K7-10935"/>
    <x v="192"/>
    <x v="0"/>
    <x v="0"/>
    <x v="3"/>
    <x v="0"/>
    <x v="5"/>
    <x v="9"/>
    <s v="Elena Vargas"/>
    <n v="5"/>
    <n v="95.71"/>
    <n v="0"/>
    <n v="478.55"/>
    <m/>
    <m/>
    <x v="9"/>
  </r>
  <r>
    <s v="K7-10936"/>
    <x v="245"/>
    <x v="28"/>
    <x v="0"/>
    <x v="3"/>
    <x v="0"/>
    <x v="2"/>
    <x v="5"/>
    <s v="Priya Nair"/>
    <n v="3"/>
    <n v="39.950000000000003"/>
    <n v="0"/>
    <n v="119.85"/>
    <m/>
    <m/>
    <x v="1"/>
  </r>
  <r>
    <s v="K7-10937"/>
    <x v="189"/>
    <x v="3"/>
    <x v="0"/>
    <x v="2"/>
    <x v="1"/>
    <x v="1"/>
    <x v="3"/>
    <s v="Ava Brooks"/>
    <n v="3"/>
    <n v="159.82"/>
    <n v="0.1"/>
    <n v="431.51"/>
    <m/>
    <m/>
    <x v="11"/>
  </r>
  <r>
    <s v="K7-10938"/>
    <x v="289"/>
    <x v="7"/>
    <x v="2"/>
    <x v="0"/>
    <x v="0"/>
    <x v="5"/>
    <x v="9"/>
    <s v="Grace Okafor"/>
    <n v="2"/>
    <n v="91.54"/>
    <n v="0.1"/>
    <n v="164.77"/>
    <m/>
    <m/>
    <x v="1"/>
  </r>
  <r>
    <s v="K7-10939"/>
    <x v="259"/>
    <x v="17"/>
    <x v="0"/>
    <x v="0"/>
    <x v="1"/>
    <x v="2"/>
    <x v="16"/>
    <s v="Priya Nair"/>
    <n v="1"/>
    <n v="64.900000000000006"/>
    <n v="0"/>
    <n v="64.900000000000006"/>
    <m/>
    <m/>
    <x v="9"/>
  </r>
  <r>
    <s v="K7-10940"/>
    <x v="88"/>
    <x v="13"/>
    <x v="0"/>
    <x v="1"/>
    <x v="0"/>
    <x v="0"/>
    <x v="18"/>
    <s v="Priya Nair"/>
    <n v="2"/>
    <n v="31.31"/>
    <n v="0"/>
    <n v="62.62"/>
    <m/>
    <m/>
    <x v="6"/>
  </r>
  <r>
    <s v="K7-10941"/>
    <x v="208"/>
    <x v="0"/>
    <x v="0"/>
    <x v="0"/>
    <x v="0"/>
    <x v="0"/>
    <x v="18"/>
    <s v="Ava Brooks"/>
    <n v="1"/>
    <n v="31.52"/>
    <n v="0.1"/>
    <n v="28.37"/>
    <m/>
    <m/>
    <x v="9"/>
  </r>
  <r>
    <s v="K7-10942"/>
    <x v="178"/>
    <x v="18"/>
    <x v="3"/>
    <x v="1"/>
    <x v="0"/>
    <x v="4"/>
    <x v="13"/>
    <s v="Priya Nair"/>
    <n v="1"/>
    <n v="85.81"/>
    <n v="0.15"/>
    <n v="72.94"/>
    <m/>
    <m/>
    <x v="2"/>
  </r>
  <r>
    <s v="K7-10943"/>
    <x v="284"/>
    <x v="17"/>
    <x v="0"/>
    <x v="1"/>
    <x v="1"/>
    <x v="4"/>
    <x v="13"/>
    <s v="Jonah Wright"/>
    <n v="3"/>
    <n v="95.21"/>
    <n v="0"/>
    <n v="285.63"/>
    <m/>
    <m/>
    <x v="1"/>
  </r>
  <r>
    <s v="K7-10944"/>
    <x v="49"/>
    <x v="1"/>
    <x v="1"/>
    <x v="3"/>
    <x v="0"/>
    <x v="4"/>
    <x v="14"/>
    <s v="Elena Vargas"/>
    <n v="3"/>
    <n v="81.7"/>
    <n v="0.1"/>
    <n v="220.59"/>
    <m/>
    <m/>
    <x v="4"/>
  </r>
  <r>
    <s v="K7-10945"/>
    <x v="43"/>
    <x v="19"/>
    <x v="1"/>
    <x v="0"/>
    <x v="1"/>
    <x v="1"/>
    <x v="12"/>
    <s v="Elena Vargas"/>
    <n v="4"/>
    <n v="285.19"/>
    <n v="0.05"/>
    <n v="1083.72"/>
    <m/>
    <m/>
    <x v="5"/>
  </r>
  <r>
    <s v="K7-10946"/>
    <x v="53"/>
    <x v="1"/>
    <x v="1"/>
    <x v="2"/>
    <x v="0"/>
    <x v="5"/>
    <x v="9"/>
    <s v="Noor Haddad"/>
    <n v="3"/>
    <n v="90.48"/>
    <n v="0.1"/>
    <n v="244.3"/>
    <m/>
    <m/>
    <x v="0"/>
  </r>
  <r>
    <s v="K7-10947"/>
    <x v="262"/>
    <x v="3"/>
    <x v="0"/>
    <x v="0"/>
    <x v="1"/>
    <x v="0"/>
    <x v="20"/>
    <s v="Priya Nair"/>
    <n v="1"/>
    <n v="72.41"/>
    <n v="0"/>
    <n v="72.41"/>
    <m/>
    <m/>
    <x v="8"/>
  </r>
  <r>
    <s v="K7-10948"/>
    <x v="34"/>
    <x v="3"/>
    <x v="0"/>
    <x v="1"/>
    <x v="0"/>
    <x v="5"/>
    <x v="7"/>
    <s v="Dylan Foster"/>
    <n v="5"/>
    <n v="166.18"/>
    <n v="0"/>
    <n v="830.9"/>
    <m/>
    <m/>
    <x v="4"/>
  </r>
  <r>
    <s v="K7-10949"/>
    <x v="24"/>
    <x v="7"/>
    <x v="2"/>
    <x v="0"/>
    <x v="1"/>
    <x v="5"/>
    <x v="7"/>
    <s v="Priya Nair"/>
    <n v="1"/>
    <n v="160.06"/>
    <n v="0.05"/>
    <n v="152.06"/>
    <m/>
    <m/>
    <x v="7"/>
  </r>
  <r>
    <s v="K7-10950"/>
    <x v="328"/>
    <x v="16"/>
    <x v="0"/>
    <x v="3"/>
    <x v="0"/>
    <x v="5"/>
    <x v="17"/>
    <s v="Noor Haddad"/>
    <n v="1"/>
    <n v="207.76"/>
    <n v="0"/>
    <n v="207.76"/>
    <m/>
    <m/>
    <x v="9"/>
  </r>
  <r>
    <s v="K7-10951"/>
    <x v="230"/>
    <x v="11"/>
    <x v="3"/>
    <x v="1"/>
    <x v="1"/>
    <x v="0"/>
    <x v="0"/>
    <s v="Noor Haddad"/>
    <n v="3"/>
    <n v="53.31"/>
    <n v="0.3"/>
    <n v="111.95"/>
    <m/>
    <m/>
    <x v="10"/>
  </r>
  <r>
    <s v="K7-10952"/>
    <x v="112"/>
    <x v="5"/>
    <x v="0"/>
    <x v="3"/>
    <x v="0"/>
    <x v="1"/>
    <x v="1"/>
    <s v="Marcus Reed"/>
    <n v="3"/>
    <n v="133.79"/>
    <n v="0"/>
    <n v="401.37"/>
    <m/>
    <m/>
    <x v="2"/>
  </r>
  <r>
    <s v="K7-10953"/>
    <x v="110"/>
    <x v="10"/>
    <x v="3"/>
    <x v="2"/>
    <x v="1"/>
    <x v="2"/>
    <x v="16"/>
    <s v="Grace Okafor"/>
    <n v="5"/>
    <n v="58.24"/>
    <n v="0.15"/>
    <n v="247.52"/>
    <m/>
    <m/>
    <x v="1"/>
  </r>
  <r>
    <s v="K7-10954"/>
    <x v="90"/>
    <x v="9"/>
    <x v="2"/>
    <x v="3"/>
    <x v="0"/>
    <x v="2"/>
    <x v="2"/>
    <s v="Elena Vargas"/>
    <n v="1"/>
    <n v="24.68"/>
    <n v="0"/>
    <n v="24.68"/>
    <m/>
    <m/>
    <x v="3"/>
  </r>
  <r>
    <s v="K7-10955"/>
    <x v="101"/>
    <x v="25"/>
    <x v="3"/>
    <x v="0"/>
    <x v="1"/>
    <x v="3"/>
    <x v="10"/>
    <s v="Jonah Wright"/>
    <n v="1"/>
    <n v="114.58"/>
    <n v="0"/>
    <n v="114.58"/>
    <m/>
    <m/>
    <x v="11"/>
  </r>
  <r>
    <s v="K7-10956"/>
    <x v="329"/>
    <x v="22"/>
    <x v="0"/>
    <x v="2"/>
    <x v="1"/>
    <x v="0"/>
    <x v="18"/>
    <s v="Jonah Wright"/>
    <n v="8"/>
    <n v="32.53"/>
    <n v="0.1"/>
    <n v="234.22"/>
    <m/>
    <m/>
    <x v="4"/>
  </r>
  <r>
    <s v="K7-10957"/>
    <x v="281"/>
    <x v="28"/>
    <x v="0"/>
    <x v="1"/>
    <x v="0"/>
    <x v="1"/>
    <x v="12"/>
    <s v="Priya Nair"/>
    <n v="1"/>
    <n v="280.11"/>
    <n v="0"/>
    <n v="280.11"/>
    <m/>
    <m/>
    <x v="7"/>
  </r>
  <r>
    <s v="K7-10958"/>
    <x v="258"/>
    <x v="23"/>
    <x v="0"/>
    <x v="0"/>
    <x v="1"/>
    <x v="1"/>
    <x v="12"/>
    <s v="Grace Okafor"/>
    <n v="3"/>
    <n v="299.3"/>
    <n v="0"/>
    <n v="897.9"/>
    <m/>
    <m/>
    <x v="7"/>
  </r>
  <r>
    <s v="K7-10959"/>
    <x v="217"/>
    <x v="16"/>
    <x v="0"/>
    <x v="3"/>
    <x v="0"/>
    <x v="1"/>
    <x v="1"/>
    <s v="Dylan Foster"/>
    <n v="2"/>
    <n v="131.52000000000001"/>
    <n v="0"/>
    <n v="263.04000000000002"/>
    <m/>
    <m/>
    <x v="10"/>
  </r>
  <r>
    <s v="K7-10960"/>
    <x v="266"/>
    <x v="1"/>
    <x v="1"/>
    <x v="3"/>
    <x v="1"/>
    <x v="0"/>
    <x v="0"/>
    <s v="Dylan Foster"/>
    <n v="8"/>
    <n v="50.1"/>
    <n v="0"/>
    <n v="400.8"/>
    <m/>
    <m/>
    <x v="1"/>
  </r>
  <r>
    <s v="K7-10961"/>
    <x v="312"/>
    <x v="25"/>
    <x v="3"/>
    <x v="1"/>
    <x v="1"/>
    <x v="5"/>
    <x v="7"/>
    <s v="Ava Brooks"/>
    <n v="2"/>
    <n v="169.68"/>
    <n v="0.15"/>
    <n v="288.45999999999998"/>
    <m/>
    <m/>
    <x v="2"/>
  </r>
  <r>
    <s v="K7-10962"/>
    <x v="220"/>
    <x v="9"/>
    <x v="2"/>
    <x v="3"/>
    <x v="0"/>
    <x v="4"/>
    <x v="11"/>
    <s v="Marcus Reed"/>
    <n v="2"/>
    <n v="78.150000000000006"/>
    <n v="0"/>
    <n v="156.30000000000001"/>
    <m/>
    <m/>
    <x v="4"/>
  </r>
  <r>
    <s v="K7-10963"/>
    <x v="72"/>
    <x v="7"/>
    <x v="2"/>
    <x v="0"/>
    <x v="1"/>
    <x v="4"/>
    <x v="13"/>
    <s v="Grace Okafor"/>
    <n v="1"/>
    <n v="96.68"/>
    <n v="0"/>
    <n v="96.68"/>
    <m/>
    <m/>
    <x v="8"/>
  </r>
  <r>
    <s v="K7-10964"/>
    <x v="268"/>
    <x v="9"/>
    <x v="2"/>
    <x v="1"/>
    <x v="1"/>
    <x v="1"/>
    <x v="8"/>
    <s v="Marcus Reed"/>
    <n v="1"/>
    <n v="242.5"/>
    <n v="0.2"/>
    <n v="194"/>
    <m/>
    <m/>
    <x v="1"/>
  </r>
  <r>
    <s v="K7-10965"/>
    <x v="155"/>
    <x v="9"/>
    <x v="2"/>
    <x v="3"/>
    <x v="0"/>
    <x v="0"/>
    <x v="20"/>
    <s v="Priya Nair"/>
    <n v="8"/>
    <n v="72.239999999999995"/>
    <n v="0"/>
    <n v="577.91999999999996"/>
    <m/>
    <m/>
    <x v="10"/>
  </r>
  <r>
    <s v="K7-10966"/>
    <x v="8"/>
    <x v="4"/>
    <x v="3"/>
    <x v="0"/>
    <x v="1"/>
    <x v="3"/>
    <x v="10"/>
    <s v="Grace Okafor"/>
    <n v="9"/>
    <n v="113.83"/>
    <n v="0.05"/>
    <n v="973.25"/>
    <m/>
    <m/>
    <x v="6"/>
  </r>
  <r>
    <s v="K7-10967"/>
    <x v="105"/>
    <x v="4"/>
    <x v="3"/>
    <x v="0"/>
    <x v="0"/>
    <x v="4"/>
    <x v="14"/>
    <s v="Jonah Wright"/>
    <n v="2"/>
    <n v="73.33"/>
    <n v="0.05"/>
    <n v="139.33000000000001"/>
    <m/>
    <m/>
    <x v="11"/>
  </r>
  <r>
    <s v="K7-10968"/>
    <x v="330"/>
    <x v="20"/>
    <x v="3"/>
    <x v="0"/>
    <x v="0"/>
    <x v="0"/>
    <x v="18"/>
    <s v="Noor Haddad"/>
    <n v="3"/>
    <n v="34.25"/>
    <n v="0"/>
    <n v="102.75"/>
    <m/>
    <m/>
    <x v="11"/>
  </r>
  <r>
    <s v="K7-10969"/>
    <x v="80"/>
    <x v="25"/>
    <x v="3"/>
    <x v="1"/>
    <x v="0"/>
    <x v="4"/>
    <x v="6"/>
    <s v="Grace Okafor"/>
    <n v="14"/>
    <n v="54.03"/>
    <n v="0.05"/>
    <n v="718.6"/>
    <m/>
    <m/>
    <x v="2"/>
  </r>
  <r>
    <s v="K7-10970"/>
    <x v="300"/>
    <x v="20"/>
    <x v="3"/>
    <x v="2"/>
    <x v="0"/>
    <x v="3"/>
    <x v="4"/>
    <s v="Ava Brooks"/>
    <n v="4"/>
    <n v="123.58"/>
    <n v="0"/>
    <n v="494.32"/>
    <m/>
    <m/>
    <x v="3"/>
  </r>
  <r>
    <s v="K7-10971"/>
    <x v="305"/>
    <x v="19"/>
    <x v="1"/>
    <x v="0"/>
    <x v="1"/>
    <x v="1"/>
    <x v="8"/>
    <s v="Marcus Reed"/>
    <n v="2"/>
    <n v="220.75"/>
    <n v="0.05"/>
    <n v="419.42"/>
    <m/>
    <m/>
    <x v="6"/>
  </r>
  <r>
    <s v="K7-10972"/>
    <x v="274"/>
    <x v="8"/>
    <x v="1"/>
    <x v="0"/>
    <x v="0"/>
    <x v="1"/>
    <x v="8"/>
    <s v="Elena Vargas"/>
    <n v="1"/>
    <n v="241.72"/>
    <n v="0"/>
    <n v="241.72"/>
    <m/>
    <m/>
    <x v="7"/>
  </r>
  <r>
    <s v="K7-10973"/>
    <x v="288"/>
    <x v="14"/>
    <x v="2"/>
    <x v="1"/>
    <x v="0"/>
    <x v="0"/>
    <x v="0"/>
    <s v="Jonah Wright"/>
    <n v="1"/>
    <n v="51.86"/>
    <n v="0.1"/>
    <n v="46.67"/>
    <m/>
    <m/>
    <x v="2"/>
  </r>
  <r>
    <s v="K7-10974"/>
    <x v="13"/>
    <x v="28"/>
    <x v="0"/>
    <x v="0"/>
    <x v="1"/>
    <x v="5"/>
    <x v="7"/>
    <s v="Grace Okafor"/>
    <n v="2"/>
    <n v="146.31"/>
    <n v="0.05"/>
    <n v="277.99"/>
    <m/>
    <m/>
    <x v="4"/>
  </r>
  <r>
    <s v="K7-10975"/>
    <x v="38"/>
    <x v="5"/>
    <x v="0"/>
    <x v="0"/>
    <x v="1"/>
    <x v="5"/>
    <x v="7"/>
    <s v="Ava Brooks"/>
    <n v="2"/>
    <n v="154.37"/>
    <n v="0"/>
    <n v="308.74"/>
    <m/>
    <m/>
    <x v="3"/>
  </r>
  <r>
    <s v="K7-10976"/>
    <x v="194"/>
    <x v="16"/>
    <x v="0"/>
    <x v="1"/>
    <x v="1"/>
    <x v="0"/>
    <x v="0"/>
    <s v="Grace Okafor"/>
    <n v="5"/>
    <n v="55.45"/>
    <n v="0"/>
    <n v="277.25"/>
    <m/>
    <m/>
    <x v="11"/>
  </r>
  <r>
    <s v="K7-10977"/>
    <x v="137"/>
    <x v="7"/>
    <x v="2"/>
    <x v="0"/>
    <x v="0"/>
    <x v="0"/>
    <x v="18"/>
    <s v="Ava Brooks"/>
    <n v="1"/>
    <n v="31.51"/>
    <n v="0"/>
    <n v="31.51"/>
    <m/>
    <m/>
    <x v="10"/>
  </r>
  <r>
    <s v="K7-10978"/>
    <x v="280"/>
    <x v="0"/>
    <x v="0"/>
    <x v="1"/>
    <x v="1"/>
    <x v="1"/>
    <x v="8"/>
    <s v="Marcus Reed"/>
    <n v="3"/>
    <n v="253.11"/>
    <n v="0"/>
    <n v="759.33"/>
    <m/>
    <m/>
    <x v="4"/>
  </r>
  <r>
    <s v="K7-10979"/>
    <x v="295"/>
    <x v="10"/>
    <x v="3"/>
    <x v="0"/>
    <x v="0"/>
    <x v="4"/>
    <x v="6"/>
    <s v="Grace Okafor"/>
    <n v="1"/>
    <n v="55.61"/>
    <n v="0"/>
    <n v="55.61"/>
    <m/>
    <m/>
    <x v="11"/>
  </r>
  <r>
    <s v="K7-10980"/>
    <x v="31"/>
    <x v="15"/>
    <x v="1"/>
    <x v="0"/>
    <x v="0"/>
    <x v="1"/>
    <x v="12"/>
    <s v="Priya Nair"/>
    <n v="1"/>
    <n v="308.58"/>
    <n v="0"/>
    <n v="308.58"/>
    <m/>
    <m/>
    <x v="1"/>
  </r>
  <r>
    <s v="K7-10981"/>
    <x v="215"/>
    <x v="26"/>
    <x v="2"/>
    <x v="1"/>
    <x v="1"/>
    <x v="1"/>
    <x v="8"/>
    <s v="Noor Haddad"/>
    <n v="6"/>
    <n v="231.43"/>
    <n v="0"/>
    <n v="1388.58"/>
    <m/>
    <m/>
    <x v="3"/>
  </r>
  <r>
    <s v="K7-10982"/>
    <x v="238"/>
    <x v="8"/>
    <x v="1"/>
    <x v="0"/>
    <x v="0"/>
    <x v="1"/>
    <x v="12"/>
    <s v="Priya Nair"/>
    <n v="1"/>
    <n v="277.57"/>
    <n v="0"/>
    <n v="277.57"/>
    <m/>
    <m/>
    <x v="3"/>
  </r>
  <r>
    <s v="K7-10983"/>
    <x v="331"/>
    <x v="26"/>
    <x v="2"/>
    <x v="0"/>
    <x v="1"/>
    <x v="3"/>
    <x v="15"/>
    <s v="Dylan Foster"/>
    <n v="1"/>
    <n v="96.36"/>
    <n v="0"/>
    <n v="96.36"/>
    <m/>
    <m/>
    <x v="4"/>
  </r>
  <r>
    <s v="K7-10984"/>
    <x v="170"/>
    <x v="5"/>
    <x v="0"/>
    <x v="1"/>
    <x v="0"/>
    <x v="1"/>
    <x v="1"/>
    <s v="Ava Brooks"/>
    <n v="10"/>
    <n v="127.56"/>
    <n v="0"/>
    <n v="1275.5999999999999"/>
    <m/>
    <m/>
    <x v="0"/>
  </r>
  <r>
    <s v="K7-10985"/>
    <x v="162"/>
    <x v="24"/>
    <x v="2"/>
    <x v="1"/>
    <x v="1"/>
    <x v="4"/>
    <x v="11"/>
    <s v="Elena Vargas"/>
    <n v="8"/>
    <n v="90.63"/>
    <n v="0"/>
    <n v="725.04"/>
    <m/>
    <m/>
    <x v="10"/>
  </r>
  <r>
    <s v="K7-10986"/>
    <x v="65"/>
    <x v="10"/>
    <x v="3"/>
    <x v="0"/>
    <x v="1"/>
    <x v="4"/>
    <x v="13"/>
    <s v="Jonah Wright"/>
    <n v="1"/>
    <n v="86.14"/>
    <n v="0.05"/>
    <n v="81.83"/>
    <m/>
    <m/>
    <x v="4"/>
  </r>
  <r>
    <s v="K7-10987"/>
    <x v="102"/>
    <x v="13"/>
    <x v="0"/>
    <x v="0"/>
    <x v="1"/>
    <x v="1"/>
    <x v="1"/>
    <s v="Grace Okafor"/>
    <n v="2"/>
    <n v="127.94"/>
    <n v="0"/>
    <n v="255.88"/>
    <m/>
    <m/>
    <x v="6"/>
  </r>
  <r>
    <s v="K7-10988"/>
    <x v="227"/>
    <x v="4"/>
    <x v="3"/>
    <x v="2"/>
    <x v="1"/>
    <x v="1"/>
    <x v="3"/>
    <s v="Jonah Wright"/>
    <n v="1"/>
    <n v="169.88"/>
    <n v="0"/>
    <n v="169.88"/>
    <m/>
    <m/>
    <x v="10"/>
  </r>
  <r>
    <s v="K7-10989"/>
    <x v="4"/>
    <x v="9"/>
    <x v="2"/>
    <x v="1"/>
    <x v="1"/>
    <x v="1"/>
    <x v="1"/>
    <s v="Dylan Foster"/>
    <n v="1"/>
    <n v="132.91"/>
    <n v="0"/>
    <n v="132.91"/>
    <m/>
    <m/>
    <x v="2"/>
  </r>
  <r>
    <s v="K7-10990"/>
    <x v="256"/>
    <x v="20"/>
    <x v="3"/>
    <x v="0"/>
    <x v="0"/>
    <x v="5"/>
    <x v="7"/>
    <s v="Grace Okafor"/>
    <n v="1"/>
    <n v="153.94"/>
    <n v="0"/>
    <n v="153.94"/>
    <m/>
    <m/>
    <x v="2"/>
  </r>
  <r>
    <s v="K7-10991"/>
    <x v="89"/>
    <x v="13"/>
    <x v="0"/>
    <x v="1"/>
    <x v="0"/>
    <x v="0"/>
    <x v="18"/>
    <s v="Dylan Foster"/>
    <n v="4"/>
    <n v="31.72"/>
    <n v="0"/>
    <n v="126.88"/>
    <m/>
    <m/>
    <x v="5"/>
  </r>
  <r>
    <s v="K7-10992"/>
    <x v="113"/>
    <x v="5"/>
    <x v="0"/>
    <x v="0"/>
    <x v="0"/>
    <x v="1"/>
    <x v="8"/>
    <s v="Noor Haddad"/>
    <n v="4"/>
    <n v="221.99"/>
    <n v="0.3"/>
    <n v="621.57000000000005"/>
    <m/>
    <m/>
    <x v="8"/>
  </r>
  <r>
    <s v="K7-10993"/>
    <x v="127"/>
    <x v="7"/>
    <x v="2"/>
    <x v="0"/>
    <x v="0"/>
    <x v="0"/>
    <x v="20"/>
    <s v="Jonah Wright"/>
    <n v="3"/>
    <n v="65.790000000000006"/>
    <n v="0"/>
    <n v="197.37"/>
    <m/>
    <m/>
    <x v="1"/>
  </r>
  <r>
    <s v="K7-10994"/>
    <x v="179"/>
    <x v="7"/>
    <x v="2"/>
    <x v="0"/>
    <x v="1"/>
    <x v="5"/>
    <x v="7"/>
    <s v="Ava Brooks"/>
    <n v="6"/>
    <n v="166.79"/>
    <n v="0.15"/>
    <n v="850.63"/>
    <m/>
    <m/>
    <x v="5"/>
  </r>
  <r>
    <s v="K7-10995"/>
    <x v="100"/>
    <x v="0"/>
    <x v="0"/>
    <x v="0"/>
    <x v="1"/>
    <x v="4"/>
    <x v="13"/>
    <s v="Marcus Reed"/>
    <n v="1"/>
    <n v="95.53"/>
    <n v="0"/>
    <n v="95.53"/>
    <m/>
    <m/>
    <x v="5"/>
  </r>
  <r>
    <s v="K7-10996"/>
    <x v="127"/>
    <x v="7"/>
    <x v="2"/>
    <x v="0"/>
    <x v="1"/>
    <x v="1"/>
    <x v="3"/>
    <s v="Elena Vargas"/>
    <n v="5"/>
    <n v="170.07"/>
    <n v="0.15"/>
    <n v="722.8"/>
    <m/>
    <m/>
    <x v="1"/>
  </r>
  <r>
    <s v="K7-10997"/>
    <x v="313"/>
    <x v="28"/>
    <x v="0"/>
    <x v="1"/>
    <x v="0"/>
    <x v="1"/>
    <x v="3"/>
    <s v="Dylan Foster"/>
    <n v="3"/>
    <n v="155.71"/>
    <n v="0"/>
    <n v="467.13"/>
    <m/>
    <m/>
    <x v="8"/>
  </r>
  <r>
    <s v="K7-10998"/>
    <x v="332"/>
    <x v="7"/>
    <x v="2"/>
    <x v="3"/>
    <x v="0"/>
    <x v="1"/>
    <x v="12"/>
    <s v="Dylan Foster"/>
    <n v="6"/>
    <n v="303.51"/>
    <n v="0.2"/>
    <n v="1456.85"/>
    <m/>
    <m/>
    <x v="10"/>
  </r>
  <r>
    <s v="K7-10999"/>
    <x v="218"/>
    <x v="20"/>
    <x v="3"/>
    <x v="0"/>
    <x v="0"/>
    <x v="0"/>
    <x v="21"/>
    <s v="Grace Okafor"/>
    <n v="3"/>
    <n v="45.63"/>
    <n v="0"/>
    <n v="136.88999999999999"/>
    <m/>
    <m/>
    <x v="4"/>
  </r>
  <r>
    <s v="K7-11000"/>
    <x v="63"/>
    <x v="2"/>
    <x v="2"/>
    <x v="0"/>
    <x v="0"/>
    <x v="2"/>
    <x v="2"/>
    <s v="Grace Okafor"/>
    <n v="2"/>
    <n v="24.25"/>
    <n v="0"/>
    <n v="48.5"/>
    <m/>
    <m/>
    <x v="3"/>
  </r>
  <r>
    <s v="K7-11001"/>
    <x v="333"/>
    <x v="1"/>
    <x v="1"/>
    <x v="0"/>
    <x v="1"/>
    <x v="1"/>
    <x v="1"/>
    <s v="Grace Okafor"/>
    <n v="4"/>
    <n v="134.16999999999999"/>
    <n v="0"/>
    <n v="536.67999999999995"/>
    <m/>
    <m/>
    <x v="3"/>
  </r>
  <r>
    <s v="K7-11002"/>
    <x v="272"/>
    <x v="7"/>
    <x v="2"/>
    <x v="3"/>
    <x v="1"/>
    <x v="3"/>
    <x v="15"/>
    <s v="Dylan Foster"/>
    <n v="2"/>
    <n v="92.93"/>
    <n v="0"/>
    <n v="185.86"/>
    <m/>
    <m/>
    <x v="10"/>
  </r>
  <r>
    <s v="K7-11003"/>
    <x v="7"/>
    <x v="19"/>
    <x v="1"/>
    <x v="2"/>
    <x v="1"/>
    <x v="4"/>
    <x v="13"/>
    <s v="Ava Brooks"/>
    <n v="1"/>
    <n v="89.78"/>
    <n v="0"/>
    <n v="89.78"/>
    <m/>
    <m/>
    <x v="5"/>
  </r>
  <r>
    <s v="K7-11004"/>
    <x v="334"/>
    <x v="13"/>
    <x v="0"/>
    <x v="1"/>
    <x v="0"/>
    <x v="3"/>
    <x v="15"/>
    <s v="Dylan Foster"/>
    <n v="3"/>
    <n v="96.33"/>
    <n v="0"/>
    <n v="288.99"/>
    <m/>
    <m/>
    <x v="0"/>
  </r>
  <r>
    <s v="K7-11005"/>
    <x v="288"/>
    <x v="10"/>
    <x v="3"/>
    <x v="0"/>
    <x v="1"/>
    <x v="5"/>
    <x v="9"/>
    <s v="Grace Okafor"/>
    <n v="5"/>
    <n v="96.04"/>
    <n v="0"/>
    <n v="480.2"/>
    <m/>
    <m/>
    <x v="2"/>
  </r>
  <r>
    <s v="K7-11006"/>
    <x v="200"/>
    <x v="29"/>
    <x v="1"/>
    <x v="2"/>
    <x v="0"/>
    <x v="4"/>
    <x v="13"/>
    <s v="Grace Okafor"/>
    <n v="7"/>
    <n v="90.21"/>
    <n v="0"/>
    <n v="631.47"/>
    <m/>
    <m/>
    <x v="0"/>
  </r>
  <r>
    <s v="K7-11007"/>
    <x v="154"/>
    <x v="7"/>
    <x v="2"/>
    <x v="0"/>
    <x v="0"/>
    <x v="0"/>
    <x v="20"/>
    <s v="Elena Vargas"/>
    <n v="3"/>
    <n v="68.239999999999995"/>
    <n v="0"/>
    <n v="204.72"/>
    <m/>
    <m/>
    <x v="2"/>
  </r>
  <r>
    <s v="K7-11008"/>
    <x v="296"/>
    <x v="23"/>
    <x v="0"/>
    <x v="0"/>
    <x v="0"/>
    <x v="5"/>
    <x v="9"/>
    <s v="Priya Nair"/>
    <n v="16"/>
    <n v="88.19"/>
    <n v="0.15"/>
    <n v="1199.3800000000001"/>
    <m/>
    <m/>
    <x v="6"/>
  </r>
  <r>
    <s v="K7-11009"/>
    <x v="237"/>
    <x v="0"/>
    <x v="0"/>
    <x v="0"/>
    <x v="0"/>
    <x v="5"/>
    <x v="17"/>
    <s v="Ava Brooks"/>
    <n v="6"/>
    <n v="207.88"/>
    <n v="0.1"/>
    <n v="1122.55"/>
    <m/>
    <m/>
    <x v="4"/>
  </r>
  <r>
    <s v="K7-11010"/>
    <x v="20"/>
    <x v="5"/>
    <x v="0"/>
    <x v="1"/>
    <x v="0"/>
    <x v="3"/>
    <x v="15"/>
    <s v="Priya Nair"/>
    <n v="4"/>
    <n v="98.79"/>
    <n v="0"/>
    <n v="395.16"/>
    <m/>
    <m/>
    <x v="5"/>
  </r>
  <r>
    <s v="K7-11011"/>
    <x v="305"/>
    <x v="12"/>
    <x v="3"/>
    <x v="1"/>
    <x v="1"/>
    <x v="0"/>
    <x v="20"/>
    <s v="Priya Nair"/>
    <n v="3"/>
    <n v="72.900000000000006"/>
    <n v="0.3"/>
    <n v="153.09"/>
    <m/>
    <m/>
    <x v="6"/>
  </r>
  <r>
    <s v="K7-11012"/>
    <x v="154"/>
    <x v="1"/>
    <x v="1"/>
    <x v="3"/>
    <x v="1"/>
    <x v="0"/>
    <x v="18"/>
    <s v="Grace Okafor"/>
    <n v="2"/>
    <n v="30.82"/>
    <n v="0"/>
    <n v="61.64"/>
    <m/>
    <m/>
    <x v="2"/>
  </r>
  <r>
    <s v="K7-11013"/>
    <x v="122"/>
    <x v="9"/>
    <x v="2"/>
    <x v="1"/>
    <x v="0"/>
    <x v="3"/>
    <x v="4"/>
    <s v="Noor Haddad"/>
    <n v="1"/>
    <n v="133.65"/>
    <n v="0"/>
    <n v="133.65"/>
    <m/>
    <m/>
    <x v="11"/>
  </r>
  <r>
    <s v="K7-11014"/>
    <x v="335"/>
    <x v="16"/>
    <x v="0"/>
    <x v="0"/>
    <x v="0"/>
    <x v="4"/>
    <x v="11"/>
    <s v="Noor Haddad"/>
    <n v="2"/>
    <n v="88.21"/>
    <n v="0"/>
    <n v="176.42"/>
    <m/>
    <m/>
    <x v="2"/>
  </r>
  <r>
    <s v="K7-11015"/>
    <x v="285"/>
    <x v="10"/>
    <x v="3"/>
    <x v="1"/>
    <x v="1"/>
    <x v="0"/>
    <x v="18"/>
    <s v="Grace Okafor"/>
    <n v="4"/>
    <n v="30.44"/>
    <n v="0"/>
    <n v="121.76"/>
    <m/>
    <m/>
    <x v="5"/>
  </r>
  <r>
    <s v="K7-11016"/>
    <x v="196"/>
    <x v="12"/>
    <x v="3"/>
    <x v="1"/>
    <x v="0"/>
    <x v="2"/>
    <x v="16"/>
    <s v="Jonah Wright"/>
    <n v="2"/>
    <n v="62.79"/>
    <n v="0.2"/>
    <n v="100.46"/>
    <m/>
    <m/>
    <x v="0"/>
  </r>
  <r>
    <s v="K7-11017"/>
    <x v="295"/>
    <x v="11"/>
    <x v="3"/>
    <x v="1"/>
    <x v="0"/>
    <x v="1"/>
    <x v="12"/>
    <s v="Priya Nair"/>
    <n v="1"/>
    <n v="275.91000000000003"/>
    <n v="0"/>
    <n v="275.91000000000003"/>
    <m/>
    <m/>
    <x v="11"/>
  </r>
  <r>
    <s v="K7-11018"/>
    <x v="229"/>
    <x v="7"/>
    <x v="2"/>
    <x v="1"/>
    <x v="1"/>
    <x v="5"/>
    <x v="7"/>
    <s v="Elena Vargas"/>
    <n v="3"/>
    <n v="160.47"/>
    <n v="0.1"/>
    <n v="433.27"/>
    <m/>
    <m/>
    <x v="9"/>
  </r>
  <r>
    <s v="K7-11019"/>
    <x v="65"/>
    <x v="5"/>
    <x v="0"/>
    <x v="3"/>
    <x v="0"/>
    <x v="1"/>
    <x v="1"/>
    <s v="Noor Haddad"/>
    <n v="2"/>
    <n v="119.01"/>
    <n v="0"/>
    <n v="238.02"/>
    <m/>
    <m/>
    <x v="4"/>
  </r>
  <r>
    <s v="K7-11020"/>
    <x v="12"/>
    <x v="8"/>
    <x v="1"/>
    <x v="3"/>
    <x v="1"/>
    <x v="3"/>
    <x v="10"/>
    <s v="Jonah Wright"/>
    <n v="3"/>
    <n v="118.83"/>
    <n v="0"/>
    <n v="356.49"/>
    <m/>
    <m/>
    <x v="0"/>
  </r>
  <r>
    <s v="K7-11021"/>
    <x v="270"/>
    <x v="7"/>
    <x v="2"/>
    <x v="1"/>
    <x v="1"/>
    <x v="0"/>
    <x v="20"/>
    <s v="Jonah Wright"/>
    <n v="1"/>
    <n v="66.37"/>
    <n v="0.1"/>
    <n v="59.73"/>
    <m/>
    <m/>
    <x v="8"/>
  </r>
  <r>
    <s v="K7-11022"/>
    <x v="129"/>
    <x v="8"/>
    <x v="1"/>
    <x v="0"/>
    <x v="1"/>
    <x v="5"/>
    <x v="7"/>
    <s v="Jonah Wright"/>
    <n v="1"/>
    <n v="170.15"/>
    <n v="0.15"/>
    <n v="144.63"/>
    <m/>
    <m/>
    <x v="10"/>
  </r>
  <r>
    <s v="K7-11023"/>
    <x v="1"/>
    <x v="0"/>
    <x v="0"/>
    <x v="0"/>
    <x v="1"/>
    <x v="3"/>
    <x v="15"/>
    <s v="Jonah Wright"/>
    <n v="2"/>
    <n v="96.08"/>
    <n v="0"/>
    <n v="192.16"/>
    <m/>
    <m/>
    <x v="1"/>
  </r>
  <r>
    <s v="K7-11024"/>
    <x v="80"/>
    <x v="0"/>
    <x v="0"/>
    <x v="0"/>
    <x v="1"/>
    <x v="5"/>
    <x v="17"/>
    <s v="Grace Okafor"/>
    <n v="1"/>
    <n v="206.03"/>
    <n v="0"/>
    <n v="206.03"/>
    <m/>
    <m/>
    <x v="2"/>
  </r>
  <r>
    <s v="K7-11025"/>
    <x v="4"/>
    <x v="9"/>
    <x v="2"/>
    <x v="3"/>
    <x v="0"/>
    <x v="0"/>
    <x v="18"/>
    <s v="Noor Haddad"/>
    <n v="2"/>
    <n v="31.93"/>
    <n v="0"/>
    <n v="63.86"/>
    <m/>
    <m/>
    <x v="2"/>
  </r>
  <r>
    <s v="K7-11026"/>
    <x v="233"/>
    <x v="7"/>
    <x v="2"/>
    <x v="0"/>
    <x v="1"/>
    <x v="3"/>
    <x v="15"/>
    <s v="Marcus Reed"/>
    <n v="1"/>
    <n v="100.35"/>
    <n v="0"/>
    <n v="100.35"/>
    <m/>
    <m/>
    <x v="9"/>
  </r>
  <r>
    <s v="K7-11027"/>
    <x v="95"/>
    <x v="7"/>
    <x v="2"/>
    <x v="3"/>
    <x v="1"/>
    <x v="3"/>
    <x v="4"/>
    <s v="Priya Nair"/>
    <n v="2"/>
    <n v="123.46"/>
    <n v="0"/>
    <n v="246.92"/>
    <m/>
    <m/>
    <x v="3"/>
  </r>
  <r>
    <s v="K7-11028"/>
    <x v="336"/>
    <x v="18"/>
    <x v="3"/>
    <x v="0"/>
    <x v="1"/>
    <x v="0"/>
    <x v="18"/>
    <s v="Elena Vargas"/>
    <n v="2"/>
    <n v="31.13"/>
    <n v="0.05"/>
    <n v="59.15"/>
    <m/>
    <m/>
    <x v="7"/>
  </r>
  <r>
    <s v="K7-11029"/>
    <x v="80"/>
    <x v="7"/>
    <x v="2"/>
    <x v="1"/>
    <x v="0"/>
    <x v="0"/>
    <x v="20"/>
    <s v="Marcus Reed"/>
    <n v="4"/>
    <n v="68.3"/>
    <n v="0.15"/>
    <n v="232.22"/>
    <m/>
    <m/>
    <x v="2"/>
  </r>
  <r>
    <s v="K7-11030"/>
    <x v="142"/>
    <x v="15"/>
    <x v="1"/>
    <x v="1"/>
    <x v="0"/>
    <x v="2"/>
    <x v="5"/>
    <s v="Marcus Reed"/>
    <n v="9"/>
    <n v="35.369999999999997"/>
    <n v="0"/>
    <n v="318.33"/>
    <m/>
    <m/>
    <x v="9"/>
  </r>
  <r>
    <s v="K7-11031"/>
    <x v="180"/>
    <x v="11"/>
    <x v="3"/>
    <x v="1"/>
    <x v="0"/>
    <x v="1"/>
    <x v="1"/>
    <s v="Ava Brooks"/>
    <n v="1"/>
    <n v="119.08"/>
    <n v="0"/>
    <n v="119.08"/>
    <m/>
    <m/>
    <x v="9"/>
  </r>
  <r>
    <s v="K7-11032"/>
    <x v="38"/>
    <x v="15"/>
    <x v="1"/>
    <x v="1"/>
    <x v="0"/>
    <x v="4"/>
    <x v="6"/>
    <s v="Grace Okafor"/>
    <n v="11"/>
    <n v="60.98"/>
    <n v="0.05"/>
    <n v="637.24"/>
    <m/>
    <m/>
    <x v="3"/>
  </r>
  <r>
    <s v="K7-11033"/>
    <x v="256"/>
    <x v="7"/>
    <x v="2"/>
    <x v="0"/>
    <x v="0"/>
    <x v="5"/>
    <x v="7"/>
    <s v="Dylan Foster"/>
    <n v="8"/>
    <n v="147.06"/>
    <n v="0"/>
    <n v="1176.48"/>
    <m/>
    <m/>
    <x v="2"/>
  </r>
  <r>
    <s v="K7-11034"/>
    <x v="29"/>
    <x v="8"/>
    <x v="1"/>
    <x v="2"/>
    <x v="1"/>
    <x v="2"/>
    <x v="19"/>
    <s v="Marcus Reed"/>
    <n v="7"/>
    <n v="44.73"/>
    <n v="0.1"/>
    <n v="281.8"/>
    <m/>
    <m/>
    <x v="11"/>
  </r>
  <r>
    <s v="K7-11035"/>
    <x v="337"/>
    <x v="12"/>
    <x v="3"/>
    <x v="1"/>
    <x v="0"/>
    <x v="1"/>
    <x v="12"/>
    <s v="Priya Nair"/>
    <n v="1"/>
    <n v="307.7"/>
    <n v="0.1"/>
    <n v="276.93"/>
    <m/>
    <m/>
    <x v="9"/>
  </r>
  <r>
    <s v="K7-11036"/>
    <x v="314"/>
    <x v="22"/>
    <x v="0"/>
    <x v="0"/>
    <x v="0"/>
    <x v="0"/>
    <x v="18"/>
    <s v="Dylan Foster"/>
    <n v="5"/>
    <n v="32.76"/>
    <n v="0"/>
    <n v="163.80000000000001"/>
    <m/>
    <m/>
    <x v="9"/>
  </r>
  <r>
    <s v="K7-11037"/>
    <x v="185"/>
    <x v="4"/>
    <x v="3"/>
    <x v="3"/>
    <x v="0"/>
    <x v="4"/>
    <x v="14"/>
    <s v="Grace Okafor"/>
    <n v="5"/>
    <n v="70.989999999999995"/>
    <n v="0"/>
    <n v="354.95"/>
    <m/>
    <m/>
    <x v="11"/>
  </r>
  <r>
    <s v="K7-11038"/>
    <x v="256"/>
    <x v="3"/>
    <x v="0"/>
    <x v="1"/>
    <x v="0"/>
    <x v="0"/>
    <x v="0"/>
    <s v="Jonah Wright"/>
    <n v="14"/>
    <n v="52.05"/>
    <n v="0"/>
    <n v="728.7"/>
    <m/>
    <m/>
    <x v="2"/>
  </r>
  <r>
    <s v="K7-11039"/>
    <x v="275"/>
    <x v="16"/>
    <x v="0"/>
    <x v="3"/>
    <x v="0"/>
    <x v="5"/>
    <x v="17"/>
    <s v="Grace Okafor"/>
    <n v="4"/>
    <n v="206.12"/>
    <n v="0"/>
    <n v="824.48"/>
    <m/>
    <m/>
    <x v="5"/>
  </r>
  <r>
    <s v="K7-11040"/>
    <x v="338"/>
    <x v="18"/>
    <x v="3"/>
    <x v="3"/>
    <x v="0"/>
    <x v="1"/>
    <x v="12"/>
    <s v="Marcus Reed"/>
    <n v="4"/>
    <n v="296.60000000000002"/>
    <n v="0.05"/>
    <n v="1127.08"/>
    <m/>
    <m/>
    <x v="5"/>
  </r>
  <r>
    <s v="K7-11041"/>
    <x v="205"/>
    <x v="6"/>
    <x v="2"/>
    <x v="1"/>
    <x v="1"/>
    <x v="2"/>
    <x v="5"/>
    <s v="Ava Brooks"/>
    <n v="2"/>
    <n v="36.86"/>
    <n v="0"/>
    <n v="73.72"/>
    <m/>
    <m/>
    <x v="2"/>
  </r>
  <r>
    <s v="K7-11042"/>
    <x v="165"/>
    <x v="10"/>
    <x v="3"/>
    <x v="3"/>
    <x v="1"/>
    <x v="4"/>
    <x v="13"/>
    <s v="Ava Brooks"/>
    <n v="1"/>
    <n v="90.75"/>
    <n v="0"/>
    <n v="90.75"/>
    <m/>
    <m/>
    <x v="1"/>
  </r>
  <r>
    <s v="K7-11043"/>
    <x v="50"/>
    <x v="5"/>
    <x v="0"/>
    <x v="0"/>
    <x v="1"/>
    <x v="5"/>
    <x v="17"/>
    <s v="Elena Vargas"/>
    <n v="2"/>
    <n v="230.72"/>
    <n v="0.1"/>
    <n v="415.3"/>
    <m/>
    <m/>
    <x v="11"/>
  </r>
  <r>
    <s v="K7-11044"/>
    <x v="339"/>
    <x v="25"/>
    <x v="3"/>
    <x v="1"/>
    <x v="0"/>
    <x v="4"/>
    <x v="11"/>
    <s v="Grace Okafor"/>
    <n v="1"/>
    <n v="79.56"/>
    <n v="0"/>
    <n v="79.56"/>
    <m/>
    <m/>
    <x v="8"/>
  </r>
  <r>
    <s v="K7-11045"/>
    <x v="298"/>
    <x v="14"/>
    <x v="2"/>
    <x v="3"/>
    <x v="0"/>
    <x v="4"/>
    <x v="11"/>
    <s v="Ava Brooks"/>
    <n v="1"/>
    <n v="79.87"/>
    <n v="0"/>
    <n v="79.87"/>
    <m/>
    <m/>
    <x v="1"/>
  </r>
  <r>
    <s v="K7-11046"/>
    <x v="25"/>
    <x v="1"/>
    <x v="1"/>
    <x v="1"/>
    <x v="1"/>
    <x v="4"/>
    <x v="6"/>
    <s v="Marcus Reed"/>
    <n v="5"/>
    <n v="56.47"/>
    <n v="0.05"/>
    <n v="268.23"/>
    <m/>
    <m/>
    <x v="4"/>
  </r>
  <r>
    <s v="K7-11047"/>
    <x v="21"/>
    <x v="17"/>
    <x v="0"/>
    <x v="1"/>
    <x v="0"/>
    <x v="1"/>
    <x v="3"/>
    <s v="Jonah Wright"/>
    <n v="3"/>
    <n v="156"/>
    <n v="0"/>
    <n v="468"/>
    <m/>
    <m/>
    <x v="9"/>
  </r>
  <r>
    <s v="K7-11048"/>
    <x v="39"/>
    <x v="5"/>
    <x v="0"/>
    <x v="1"/>
    <x v="0"/>
    <x v="0"/>
    <x v="21"/>
    <s v="Noor Haddad"/>
    <n v="1"/>
    <n v="44.98"/>
    <n v="0"/>
    <n v="44.98"/>
    <m/>
    <m/>
    <x v="5"/>
  </r>
  <r>
    <s v="K7-11049"/>
    <x v="166"/>
    <x v="1"/>
    <x v="1"/>
    <x v="1"/>
    <x v="1"/>
    <x v="4"/>
    <x v="11"/>
    <s v="Priya Nair"/>
    <n v="3"/>
    <n v="87.17"/>
    <n v="0"/>
    <n v="261.51"/>
    <m/>
    <m/>
    <x v="8"/>
  </r>
  <r>
    <s v="K7-11050"/>
    <x v="340"/>
    <x v="5"/>
    <x v="0"/>
    <x v="1"/>
    <x v="0"/>
    <x v="0"/>
    <x v="18"/>
    <s v="Jonah Wright"/>
    <n v="3"/>
    <n v="30.34"/>
    <n v="0.1"/>
    <n v="81.92"/>
    <m/>
    <m/>
    <x v="7"/>
  </r>
  <r>
    <s v="K7-11051"/>
    <x v="327"/>
    <x v="2"/>
    <x v="2"/>
    <x v="1"/>
    <x v="1"/>
    <x v="3"/>
    <x v="15"/>
    <s v="Elena Vargas"/>
    <n v="1"/>
    <n v="99.48"/>
    <n v="0.05"/>
    <n v="94.51"/>
    <m/>
    <m/>
    <x v="8"/>
  </r>
  <r>
    <s v="K7-11052"/>
    <x v="341"/>
    <x v="20"/>
    <x v="3"/>
    <x v="0"/>
    <x v="0"/>
    <x v="4"/>
    <x v="6"/>
    <s v="Ava Brooks"/>
    <n v="2"/>
    <n v="54.81"/>
    <n v="0"/>
    <n v="109.62"/>
    <m/>
    <m/>
    <x v="0"/>
  </r>
  <r>
    <s v="K7-11053"/>
    <x v="283"/>
    <x v="7"/>
    <x v="2"/>
    <x v="0"/>
    <x v="0"/>
    <x v="5"/>
    <x v="9"/>
    <s v="Dylan Foster"/>
    <n v="2"/>
    <n v="86.71"/>
    <n v="0.2"/>
    <n v="138.74"/>
    <m/>
    <m/>
    <x v="0"/>
  </r>
  <r>
    <s v="K7-11054"/>
    <x v="20"/>
    <x v="26"/>
    <x v="2"/>
    <x v="2"/>
    <x v="0"/>
    <x v="2"/>
    <x v="19"/>
    <s v="Ava Brooks"/>
    <n v="1"/>
    <n v="44.71"/>
    <n v="0"/>
    <n v="44.71"/>
    <m/>
    <m/>
    <x v="5"/>
  </r>
  <r>
    <s v="K7-11055"/>
    <x v="45"/>
    <x v="6"/>
    <x v="2"/>
    <x v="0"/>
    <x v="1"/>
    <x v="0"/>
    <x v="20"/>
    <s v="Jonah Wright"/>
    <n v="6"/>
    <n v="63.49"/>
    <n v="0"/>
    <n v="380.94"/>
    <m/>
    <m/>
    <x v="6"/>
  </r>
  <r>
    <s v="K7-11056"/>
    <x v="342"/>
    <x v="6"/>
    <x v="2"/>
    <x v="1"/>
    <x v="0"/>
    <x v="0"/>
    <x v="0"/>
    <s v="Elena Vargas"/>
    <n v="1"/>
    <n v="57.53"/>
    <n v="0"/>
    <n v="57.53"/>
    <m/>
    <m/>
    <x v="5"/>
  </r>
  <r>
    <s v="K7-11057"/>
    <x v="302"/>
    <x v="8"/>
    <x v="1"/>
    <x v="0"/>
    <x v="1"/>
    <x v="0"/>
    <x v="21"/>
    <s v="Ava Brooks"/>
    <n v="1"/>
    <n v="47.27"/>
    <n v="0"/>
    <n v="47.27"/>
    <m/>
    <m/>
    <x v="2"/>
  </r>
  <r>
    <s v="K7-11058"/>
    <x v="39"/>
    <x v="4"/>
    <x v="3"/>
    <x v="0"/>
    <x v="0"/>
    <x v="5"/>
    <x v="7"/>
    <s v="Dylan Foster"/>
    <n v="4"/>
    <n v="168.32"/>
    <n v="0"/>
    <n v="673.28"/>
    <m/>
    <m/>
    <x v="5"/>
  </r>
  <r>
    <s v="K7-11059"/>
    <x v="140"/>
    <x v="7"/>
    <x v="2"/>
    <x v="1"/>
    <x v="0"/>
    <x v="4"/>
    <x v="13"/>
    <s v="Noor Haddad"/>
    <n v="2"/>
    <n v="86.79"/>
    <n v="0"/>
    <n v="173.58"/>
    <m/>
    <m/>
    <x v="2"/>
  </r>
  <r>
    <s v="K7-11060"/>
    <x v="301"/>
    <x v="4"/>
    <x v="3"/>
    <x v="1"/>
    <x v="0"/>
    <x v="0"/>
    <x v="18"/>
    <s v="Priya Nair"/>
    <n v="5"/>
    <n v="33.36"/>
    <n v="0"/>
    <n v="166.8"/>
    <m/>
    <m/>
    <x v="1"/>
  </r>
  <r>
    <s v="K7-11061"/>
    <x v="150"/>
    <x v="5"/>
    <x v="0"/>
    <x v="1"/>
    <x v="0"/>
    <x v="3"/>
    <x v="10"/>
    <s v="Ava Brooks"/>
    <n v="2"/>
    <n v="109.76"/>
    <n v="0"/>
    <n v="219.52"/>
    <m/>
    <m/>
    <x v="0"/>
  </r>
  <r>
    <s v="K7-11062"/>
    <x v="324"/>
    <x v="15"/>
    <x v="1"/>
    <x v="1"/>
    <x v="1"/>
    <x v="0"/>
    <x v="21"/>
    <s v="Marcus Reed"/>
    <n v="2"/>
    <n v="47.77"/>
    <n v="0.3"/>
    <n v="66.88"/>
    <m/>
    <m/>
    <x v="9"/>
  </r>
  <r>
    <s v="K7-11063"/>
    <x v="223"/>
    <x v="15"/>
    <x v="1"/>
    <x v="2"/>
    <x v="1"/>
    <x v="3"/>
    <x v="10"/>
    <s v="Priya Nair"/>
    <n v="5"/>
    <n v="122"/>
    <n v="0.3"/>
    <n v="427"/>
    <m/>
    <m/>
    <x v="1"/>
  </r>
  <r>
    <s v="K7-11064"/>
    <x v="343"/>
    <x v="7"/>
    <x v="2"/>
    <x v="0"/>
    <x v="0"/>
    <x v="2"/>
    <x v="2"/>
    <s v="Marcus Reed"/>
    <n v="1"/>
    <n v="27.41"/>
    <n v="0.1"/>
    <n v="24.67"/>
    <m/>
    <m/>
    <x v="11"/>
  </r>
  <r>
    <s v="K7-11065"/>
    <x v="63"/>
    <x v="7"/>
    <x v="2"/>
    <x v="3"/>
    <x v="0"/>
    <x v="1"/>
    <x v="8"/>
    <s v="Dylan Foster"/>
    <n v="8"/>
    <n v="229.7"/>
    <n v="0.05"/>
    <n v="1745.72"/>
    <m/>
    <m/>
    <x v="3"/>
  </r>
  <r>
    <s v="K7-11066"/>
    <x v="262"/>
    <x v="1"/>
    <x v="1"/>
    <x v="0"/>
    <x v="0"/>
    <x v="2"/>
    <x v="2"/>
    <s v="Jonah Wright"/>
    <n v="1"/>
    <n v="24.22"/>
    <n v="0.05"/>
    <n v="23.01"/>
    <m/>
    <m/>
    <x v="8"/>
  </r>
  <r>
    <s v="K7-11067"/>
    <x v="75"/>
    <x v="20"/>
    <x v="3"/>
    <x v="0"/>
    <x v="1"/>
    <x v="5"/>
    <x v="7"/>
    <s v="Marcus Reed"/>
    <n v="2"/>
    <n v="155.74"/>
    <n v="0"/>
    <n v="311.48"/>
    <m/>
    <m/>
    <x v="8"/>
  </r>
  <r>
    <s v="K7-11068"/>
    <x v="309"/>
    <x v="15"/>
    <x v="1"/>
    <x v="3"/>
    <x v="0"/>
    <x v="4"/>
    <x v="6"/>
    <s v="Noor Haddad"/>
    <n v="2"/>
    <n v="61.31"/>
    <n v="0.1"/>
    <n v="110.36"/>
    <m/>
    <m/>
    <x v="5"/>
  </r>
  <r>
    <s v="K7-11069"/>
    <x v="165"/>
    <x v="12"/>
    <x v="3"/>
    <x v="3"/>
    <x v="1"/>
    <x v="3"/>
    <x v="10"/>
    <s v="Marcus Reed"/>
    <n v="2"/>
    <n v="126.57"/>
    <n v="0"/>
    <n v="253.14"/>
    <m/>
    <m/>
    <x v="1"/>
  </r>
  <r>
    <s v="K7-11070"/>
    <x v="115"/>
    <x v="6"/>
    <x v="2"/>
    <x v="0"/>
    <x v="0"/>
    <x v="1"/>
    <x v="12"/>
    <s v="Ava Brooks"/>
    <n v="4"/>
    <n v="283.17"/>
    <n v="0"/>
    <n v="1132.68"/>
    <m/>
    <m/>
    <x v="4"/>
  </r>
  <r>
    <s v="K7-11071"/>
    <x v="74"/>
    <x v="11"/>
    <x v="3"/>
    <x v="1"/>
    <x v="0"/>
    <x v="2"/>
    <x v="5"/>
    <s v="Priya Nair"/>
    <n v="10"/>
    <n v="38.590000000000003"/>
    <n v="0"/>
    <n v="385.9"/>
    <m/>
    <m/>
    <x v="5"/>
  </r>
  <r>
    <s v="K7-11072"/>
    <x v="241"/>
    <x v="5"/>
    <x v="0"/>
    <x v="1"/>
    <x v="1"/>
    <x v="4"/>
    <x v="14"/>
    <s v="Elena Vargas"/>
    <n v="2"/>
    <n v="77.52"/>
    <n v="0"/>
    <n v="155.04"/>
    <m/>
    <m/>
    <x v="4"/>
  </r>
  <r>
    <s v="K7-11073"/>
    <x v="250"/>
    <x v="22"/>
    <x v="0"/>
    <x v="0"/>
    <x v="0"/>
    <x v="1"/>
    <x v="3"/>
    <s v="Dylan Foster"/>
    <n v="9"/>
    <n v="172.37"/>
    <n v="0"/>
    <n v="1551.33"/>
    <m/>
    <m/>
    <x v="11"/>
  </r>
  <r>
    <s v="K7-11074"/>
    <x v="231"/>
    <x v="7"/>
    <x v="2"/>
    <x v="0"/>
    <x v="0"/>
    <x v="2"/>
    <x v="2"/>
    <s v="Ava Brooks"/>
    <n v="15"/>
    <n v="27.94"/>
    <n v="0"/>
    <n v="419.1"/>
    <m/>
    <m/>
    <x v="3"/>
  </r>
  <r>
    <s v="K7-11075"/>
    <x v="110"/>
    <x v="13"/>
    <x v="0"/>
    <x v="1"/>
    <x v="0"/>
    <x v="3"/>
    <x v="4"/>
    <s v="Grace Okafor"/>
    <n v="3"/>
    <n v="131.55000000000001"/>
    <n v="0.2"/>
    <n v="315.72000000000003"/>
    <m/>
    <m/>
    <x v="1"/>
  </r>
  <r>
    <s v="K7-11076"/>
    <x v="120"/>
    <x v="18"/>
    <x v="3"/>
    <x v="1"/>
    <x v="1"/>
    <x v="1"/>
    <x v="3"/>
    <s v="Noor Haddad"/>
    <n v="6"/>
    <n v="170.21"/>
    <n v="0"/>
    <n v="1021.26"/>
    <m/>
    <m/>
    <x v="1"/>
  </r>
  <r>
    <s v="K7-11077"/>
    <x v="5"/>
    <x v="16"/>
    <x v="0"/>
    <x v="0"/>
    <x v="1"/>
    <x v="0"/>
    <x v="20"/>
    <s v="Marcus Reed"/>
    <n v="11"/>
    <n v="70.099999999999994"/>
    <n v="0"/>
    <n v="771.1"/>
    <m/>
    <m/>
    <x v="3"/>
  </r>
  <r>
    <s v="K7-11078"/>
    <x v="314"/>
    <x v="27"/>
    <x v="2"/>
    <x v="0"/>
    <x v="0"/>
    <x v="2"/>
    <x v="5"/>
    <s v="Grace Okafor"/>
    <n v="2"/>
    <n v="39.01"/>
    <n v="0"/>
    <n v="78.02"/>
    <m/>
    <m/>
    <x v="9"/>
  </r>
  <r>
    <s v="K7-11079"/>
    <x v="344"/>
    <x v="2"/>
    <x v="2"/>
    <x v="2"/>
    <x v="0"/>
    <x v="4"/>
    <x v="11"/>
    <s v="Ava Brooks"/>
    <n v="8"/>
    <n v="78.75"/>
    <n v="0"/>
    <n v="630"/>
    <m/>
    <m/>
    <x v="8"/>
  </r>
  <r>
    <s v="K7-11080"/>
    <x v="31"/>
    <x v="25"/>
    <x v="3"/>
    <x v="1"/>
    <x v="1"/>
    <x v="0"/>
    <x v="18"/>
    <s v="Grace Okafor"/>
    <n v="4"/>
    <n v="31.82"/>
    <n v="0.2"/>
    <n v="101.82"/>
    <m/>
    <m/>
    <x v="1"/>
  </r>
  <r>
    <s v="K7-11081"/>
    <x v="175"/>
    <x v="13"/>
    <x v="0"/>
    <x v="3"/>
    <x v="1"/>
    <x v="0"/>
    <x v="18"/>
    <s v="Grace Okafor"/>
    <n v="9"/>
    <n v="31.45"/>
    <n v="0"/>
    <n v="283.05"/>
    <m/>
    <m/>
    <x v="11"/>
  </r>
  <r>
    <s v="K7-11082"/>
    <x v="279"/>
    <x v="2"/>
    <x v="2"/>
    <x v="0"/>
    <x v="0"/>
    <x v="2"/>
    <x v="19"/>
    <s v="Noor Haddad"/>
    <n v="8"/>
    <n v="47.16"/>
    <n v="0.1"/>
    <n v="339.55"/>
    <m/>
    <m/>
    <x v="5"/>
  </r>
  <r>
    <s v="K7-11083"/>
    <x v="169"/>
    <x v="0"/>
    <x v="0"/>
    <x v="2"/>
    <x v="1"/>
    <x v="1"/>
    <x v="8"/>
    <s v="Dylan Foster"/>
    <n v="2"/>
    <n v="240.75"/>
    <n v="0"/>
    <n v="481.5"/>
    <m/>
    <m/>
    <x v="6"/>
  </r>
  <r>
    <s v="K7-11084"/>
    <x v="345"/>
    <x v="1"/>
    <x v="1"/>
    <x v="0"/>
    <x v="1"/>
    <x v="2"/>
    <x v="5"/>
    <s v="Priya Nair"/>
    <n v="2"/>
    <n v="40.64"/>
    <n v="0"/>
    <n v="81.28"/>
    <m/>
    <m/>
    <x v="6"/>
  </r>
  <r>
    <s v="K7-11085"/>
    <x v="247"/>
    <x v="21"/>
    <x v="0"/>
    <x v="1"/>
    <x v="1"/>
    <x v="1"/>
    <x v="1"/>
    <s v="Jonah Wright"/>
    <n v="10"/>
    <n v="131.53"/>
    <n v="0"/>
    <n v="1315.3"/>
    <m/>
    <m/>
    <x v="2"/>
  </r>
  <r>
    <s v="K7-11086"/>
    <x v="304"/>
    <x v="2"/>
    <x v="2"/>
    <x v="2"/>
    <x v="0"/>
    <x v="1"/>
    <x v="3"/>
    <s v="Jonah Wright"/>
    <n v="5"/>
    <n v="177.99"/>
    <n v="0.3"/>
    <n v="622.97"/>
    <m/>
    <m/>
    <x v="2"/>
  </r>
  <r>
    <s v="K7-11087"/>
    <x v="7"/>
    <x v="13"/>
    <x v="0"/>
    <x v="3"/>
    <x v="1"/>
    <x v="4"/>
    <x v="14"/>
    <s v="Grace Okafor"/>
    <n v="4"/>
    <n v="71.39"/>
    <n v="0.1"/>
    <n v="257"/>
    <m/>
    <m/>
    <x v="5"/>
  </r>
  <r>
    <s v="K7-11088"/>
    <x v="256"/>
    <x v="5"/>
    <x v="0"/>
    <x v="0"/>
    <x v="0"/>
    <x v="5"/>
    <x v="7"/>
    <s v="Ava Brooks"/>
    <n v="1"/>
    <n v="164.66"/>
    <n v="0"/>
    <n v="164.66"/>
    <m/>
    <m/>
    <x v="2"/>
  </r>
  <r>
    <s v="K7-11089"/>
    <x v="281"/>
    <x v="10"/>
    <x v="3"/>
    <x v="0"/>
    <x v="1"/>
    <x v="0"/>
    <x v="20"/>
    <s v="Noor Haddad"/>
    <n v="2"/>
    <n v="69.31"/>
    <n v="0"/>
    <n v="138.62"/>
    <m/>
    <m/>
    <x v="7"/>
  </r>
  <r>
    <s v="K7-11090"/>
    <x v="314"/>
    <x v="28"/>
    <x v="0"/>
    <x v="0"/>
    <x v="0"/>
    <x v="3"/>
    <x v="4"/>
    <s v="Dylan Foster"/>
    <n v="1"/>
    <n v="139.12"/>
    <n v="0"/>
    <n v="139.12"/>
    <m/>
    <m/>
    <x v="9"/>
  </r>
  <r>
    <s v="K7-11091"/>
    <x v="207"/>
    <x v="4"/>
    <x v="3"/>
    <x v="2"/>
    <x v="0"/>
    <x v="5"/>
    <x v="9"/>
    <s v="Elena Vargas"/>
    <n v="4"/>
    <n v="90.1"/>
    <n v="0"/>
    <n v="360.4"/>
    <m/>
    <m/>
    <x v="1"/>
  </r>
  <r>
    <s v="K7-11092"/>
    <x v="346"/>
    <x v="3"/>
    <x v="0"/>
    <x v="3"/>
    <x v="0"/>
    <x v="1"/>
    <x v="8"/>
    <s v="Noor Haddad"/>
    <n v="4"/>
    <n v="236.11"/>
    <n v="0.05"/>
    <n v="897.22"/>
    <m/>
    <m/>
    <x v="10"/>
  </r>
  <r>
    <s v="K7-11093"/>
    <x v="280"/>
    <x v="16"/>
    <x v="0"/>
    <x v="3"/>
    <x v="0"/>
    <x v="4"/>
    <x v="11"/>
    <s v="Elena Vargas"/>
    <n v="3"/>
    <n v="88.48"/>
    <n v="0.1"/>
    <n v="238.9"/>
    <m/>
    <m/>
    <x v="4"/>
  </r>
  <r>
    <s v="K7-11094"/>
    <x v="347"/>
    <x v="9"/>
    <x v="2"/>
    <x v="0"/>
    <x v="0"/>
    <x v="2"/>
    <x v="16"/>
    <s v="Noor Haddad"/>
    <n v="1"/>
    <n v="61.1"/>
    <n v="0.1"/>
    <n v="54.99"/>
    <m/>
    <m/>
    <x v="8"/>
  </r>
  <r>
    <s v="K7-11095"/>
    <x v="187"/>
    <x v="28"/>
    <x v="0"/>
    <x v="1"/>
    <x v="1"/>
    <x v="2"/>
    <x v="2"/>
    <s v="Jonah Wright"/>
    <n v="1"/>
    <n v="26.8"/>
    <n v="0"/>
    <n v="26.8"/>
    <m/>
    <m/>
    <x v="3"/>
  </r>
  <r>
    <s v="K7-11096"/>
    <x v="11"/>
    <x v="15"/>
    <x v="1"/>
    <x v="1"/>
    <x v="1"/>
    <x v="5"/>
    <x v="7"/>
    <s v="Dylan Foster"/>
    <n v="4"/>
    <n v="153.52000000000001"/>
    <n v="0.2"/>
    <n v="491.26"/>
    <m/>
    <m/>
    <x v="8"/>
  </r>
  <r>
    <s v="K7-11097"/>
    <x v="192"/>
    <x v="26"/>
    <x v="2"/>
    <x v="3"/>
    <x v="0"/>
    <x v="4"/>
    <x v="14"/>
    <s v="Grace Okafor"/>
    <n v="1"/>
    <n v="77.12"/>
    <n v="0"/>
    <n v="77.12"/>
    <m/>
    <m/>
    <x v="9"/>
  </r>
  <r>
    <s v="K7-11098"/>
    <x v="179"/>
    <x v="20"/>
    <x v="3"/>
    <x v="0"/>
    <x v="1"/>
    <x v="4"/>
    <x v="13"/>
    <s v="Priya Nair"/>
    <n v="1"/>
    <n v="98.24"/>
    <n v="0"/>
    <n v="98.24"/>
    <m/>
    <m/>
    <x v="5"/>
  </r>
  <r>
    <s v="K7-11099"/>
    <x v="261"/>
    <x v="21"/>
    <x v="0"/>
    <x v="0"/>
    <x v="1"/>
    <x v="2"/>
    <x v="19"/>
    <s v="Priya Nair"/>
    <n v="1"/>
    <n v="44.9"/>
    <n v="0"/>
    <n v="44.9"/>
    <m/>
    <m/>
    <x v="11"/>
  </r>
  <r>
    <s v="K7-11100"/>
    <x v="315"/>
    <x v="1"/>
    <x v="1"/>
    <x v="0"/>
    <x v="1"/>
    <x v="1"/>
    <x v="1"/>
    <s v="Ava Brooks"/>
    <n v="4"/>
    <n v="136.35"/>
    <n v="0"/>
    <n v="545.4"/>
    <m/>
    <m/>
    <x v="6"/>
  </r>
  <r>
    <s v="K7-11101"/>
    <x v="23"/>
    <x v="7"/>
    <x v="2"/>
    <x v="0"/>
    <x v="0"/>
    <x v="0"/>
    <x v="18"/>
    <s v="Priya Nair"/>
    <n v="2"/>
    <n v="32.83"/>
    <n v="0"/>
    <n v="65.66"/>
    <m/>
    <m/>
    <x v="7"/>
  </r>
  <r>
    <s v="K7-11102"/>
    <x v="333"/>
    <x v="1"/>
    <x v="1"/>
    <x v="3"/>
    <x v="0"/>
    <x v="4"/>
    <x v="13"/>
    <s v="Ava Brooks"/>
    <n v="2"/>
    <n v="96.95"/>
    <n v="0"/>
    <n v="193.9"/>
    <m/>
    <m/>
    <x v="3"/>
  </r>
  <r>
    <s v="K7-11103"/>
    <x v="133"/>
    <x v="20"/>
    <x v="3"/>
    <x v="0"/>
    <x v="0"/>
    <x v="1"/>
    <x v="3"/>
    <s v="Dylan Foster"/>
    <n v="4"/>
    <n v="165.9"/>
    <n v="0"/>
    <n v="663.6"/>
    <m/>
    <m/>
    <x v="1"/>
  </r>
  <r>
    <s v="K7-11104"/>
    <x v="84"/>
    <x v="3"/>
    <x v="0"/>
    <x v="0"/>
    <x v="1"/>
    <x v="3"/>
    <x v="4"/>
    <s v="Priya Nair"/>
    <n v="1"/>
    <n v="127.29"/>
    <n v="0"/>
    <n v="127.29"/>
    <m/>
    <m/>
    <x v="10"/>
  </r>
  <r>
    <s v="K7-11105"/>
    <x v="105"/>
    <x v="26"/>
    <x v="2"/>
    <x v="0"/>
    <x v="1"/>
    <x v="1"/>
    <x v="3"/>
    <s v="Elena Vargas"/>
    <n v="1"/>
    <n v="162.97999999999999"/>
    <n v="0"/>
    <n v="162.97999999999999"/>
    <m/>
    <m/>
    <x v="11"/>
  </r>
  <r>
    <s v="K7-11106"/>
    <x v="88"/>
    <x v="7"/>
    <x v="2"/>
    <x v="0"/>
    <x v="1"/>
    <x v="3"/>
    <x v="4"/>
    <s v="Priya Nair"/>
    <n v="3"/>
    <n v="130.32"/>
    <n v="0"/>
    <n v="390.96"/>
    <m/>
    <m/>
    <x v="6"/>
  </r>
  <r>
    <s v="K7-11107"/>
    <x v="89"/>
    <x v="22"/>
    <x v="0"/>
    <x v="1"/>
    <x v="1"/>
    <x v="1"/>
    <x v="8"/>
    <s v="Priya Nair"/>
    <n v="1"/>
    <n v="242.68"/>
    <n v="0"/>
    <n v="242.68"/>
    <m/>
    <m/>
    <x v="5"/>
  </r>
  <r>
    <s v="K7-11108"/>
    <x v="165"/>
    <x v="29"/>
    <x v="1"/>
    <x v="0"/>
    <x v="0"/>
    <x v="0"/>
    <x v="20"/>
    <s v="Dylan Foster"/>
    <n v="10"/>
    <n v="64.989999999999995"/>
    <n v="0"/>
    <n v="649.9"/>
    <m/>
    <m/>
    <x v="1"/>
  </r>
  <r>
    <s v="K7-11109"/>
    <x v="82"/>
    <x v="15"/>
    <x v="1"/>
    <x v="1"/>
    <x v="0"/>
    <x v="5"/>
    <x v="7"/>
    <s v="Priya Nair"/>
    <n v="2"/>
    <n v="170.03"/>
    <n v="0"/>
    <n v="340.06"/>
    <m/>
    <m/>
    <x v="6"/>
  </r>
  <r>
    <s v="K7-11110"/>
    <x v="163"/>
    <x v="29"/>
    <x v="1"/>
    <x v="3"/>
    <x v="0"/>
    <x v="1"/>
    <x v="3"/>
    <s v="Noor Haddad"/>
    <n v="1"/>
    <n v="164.41"/>
    <n v="0"/>
    <n v="164.41"/>
    <m/>
    <m/>
    <x v="10"/>
  </r>
  <r>
    <s v="K7-11111"/>
    <x v="233"/>
    <x v="5"/>
    <x v="0"/>
    <x v="0"/>
    <x v="1"/>
    <x v="3"/>
    <x v="15"/>
    <s v="Ava Brooks"/>
    <n v="1"/>
    <n v="103.86"/>
    <n v="0"/>
    <n v="103.86"/>
    <m/>
    <m/>
    <x v="9"/>
  </r>
  <r>
    <s v="K7-11112"/>
    <x v="217"/>
    <x v="23"/>
    <x v="0"/>
    <x v="0"/>
    <x v="1"/>
    <x v="3"/>
    <x v="4"/>
    <s v="Marcus Reed"/>
    <n v="8"/>
    <n v="144.6"/>
    <n v="0"/>
    <n v="1156.8"/>
    <m/>
    <m/>
    <x v="10"/>
  </r>
  <r>
    <s v="K7-11113"/>
    <x v="56"/>
    <x v="5"/>
    <x v="0"/>
    <x v="0"/>
    <x v="0"/>
    <x v="0"/>
    <x v="21"/>
    <s v="Jonah Wright"/>
    <n v="6"/>
    <n v="44.57"/>
    <n v="0.1"/>
    <n v="240.68"/>
    <m/>
    <m/>
    <x v="1"/>
  </r>
  <r>
    <s v="K7-11114"/>
    <x v="220"/>
    <x v="0"/>
    <x v="0"/>
    <x v="0"/>
    <x v="0"/>
    <x v="0"/>
    <x v="0"/>
    <s v="Noor Haddad"/>
    <n v="1"/>
    <n v="53.83"/>
    <n v="0"/>
    <n v="53.83"/>
    <m/>
    <m/>
    <x v="4"/>
  </r>
  <r>
    <s v="K7-11115"/>
    <x v="139"/>
    <x v="5"/>
    <x v="0"/>
    <x v="3"/>
    <x v="0"/>
    <x v="4"/>
    <x v="14"/>
    <s v="Jonah Wright"/>
    <n v="3"/>
    <n v="79.48"/>
    <n v="0"/>
    <n v="238.44"/>
    <m/>
    <m/>
    <x v="7"/>
  </r>
  <r>
    <s v="K7-11116"/>
    <x v="326"/>
    <x v="5"/>
    <x v="0"/>
    <x v="1"/>
    <x v="1"/>
    <x v="5"/>
    <x v="17"/>
    <s v="Dylan Foster"/>
    <n v="1"/>
    <n v="226.92"/>
    <n v="0.05"/>
    <n v="215.57"/>
    <m/>
    <m/>
    <x v="11"/>
  </r>
  <r>
    <s v="K7-11117"/>
    <x v="53"/>
    <x v="13"/>
    <x v="0"/>
    <x v="1"/>
    <x v="0"/>
    <x v="0"/>
    <x v="21"/>
    <s v="Dylan Foster"/>
    <n v="3"/>
    <n v="46.71"/>
    <n v="0"/>
    <n v="140.13"/>
    <m/>
    <m/>
    <x v="0"/>
  </r>
  <r>
    <s v="K7-11118"/>
    <x v="323"/>
    <x v="5"/>
    <x v="0"/>
    <x v="1"/>
    <x v="1"/>
    <x v="4"/>
    <x v="11"/>
    <s v="Marcus Reed"/>
    <n v="3"/>
    <n v="90.05"/>
    <n v="0"/>
    <n v="270.14999999999998"/>
    <m/>
    <m/>
    <x v="3"/>
  </r>
  <r>
    <s v="K7-11119"/>
    <x v="348"/>
    <x v="25"/>
    <x v="3"/>
    <x v="0"/>
    <x v="0"/>
    <x v="5"/>
    <x v="17"/>
    <s v="Noor Haddad"/>
    <n v="1"/>
    <n v="210.95"/>
    <n v="0"/>
    <n v="210.95"/>
    <m/>
    <m/>
    <x v="0"/>
  </r>
  <r>
    <s v="K7-11120"/>
    <x v="134"/>
    <x v="25"/>
    <x v="3"/>
    <x v="0"/>
    <x v="1"/>
    <x v="2"/>
    <x v="16"/>
    <s v="Jonah Wright"/>
    <n v="6"/>
    <n v="57.3"/>
    <n v="0"/>
    <n v="343.8"/>
    <m/>
    <m/>
    <x v="1"/>
  </r>
  <r>
    <s v="K7-11121"/>
    <x v="212"/>
    <x v="19"/>
    <x v="1"/>
    <x v="1"/>
    <x v="0"/>
    <x v="5"/>
    <x v="9"/>
    <s v="Jonah Wright"/>
    <n v="4"/>
    <n v="86.81"/>
    <n v="0"/>
    <n v="347.24"/>
    <m/>
    <m/>
    <x v="10"/>
  </r>
  <r>
    <s v="K7-11122"/>
    <x v="211"/>
    <x v="8"/>
    <x v="1"/>
    <x v="0"/>
    <x v="0"/>
    <x v="5"/>
    <x v="7"/>
    <s v="Ava Brooks"/>
    <n v="1"/>
    <n v="148.02000000000001"/>
    <n v="0"/>
    <n v="148.02000000000001"/>
    <m/>
    <m/>
    <x v="3"/>
  </r>
  <r>
    <s v="K7-11123"/>
    <x v="154"/>
    <x v="6"/>
    <x v="2"/>
    <x v="1"/>
    <x v="1"/>
    <x v="5"/>
    <x v="7"/>
    <s v="Elena Vargas"/>
    <n v="2"/>
    <n v="170.36"/>
    <n v="0"/>
    <n v="340.72"/>
    <m/>
    <m/>
    <x v="2"/>
  </r>
  <r>
    <s v="K7-11124"/>
    <x v="308"/>
    <x v="7"/>
    <x v="2"/>
    <x v="1"/>
    <x v="1"/>
    <x v="1"/>
    <x v="8"/>
    <s v="Ava Brooks"/>
    <n v="1"/>
    <n v="233.11"/>
    <n v="0"/>
    <n v="233.11"/>
    <m/>
    <m/>
    <x v="11"/>
  </r>
  <r>
    <s v="K7-11125"/>
    <x v="278"/>
    <x v="28"/>
    <x v="0"/>
    <x v="1"/>
    <x v="1"/>
    <x v="3"/>
    <x v="15"/>
    <s v="Grace Okafor"/>
    <n v="1"/>
    <n v="104.01"/>
    <n v="0"/>
    <n v="104.01"/>
    <m/>
    <m/>
    <x v="3"/>
  </r>
  <r>
    <s v="K7-11126"/>
    <x v="70"/>
    <x v="11"/>
    <x v="3"/>
    <x v="1"/>
    <x v="1"/>
    <x v="3"/>
    <x v="4"/>
    <s v="Grace Okafor"/>
    <n v="2"/>
    <n v="137.13999999999999"/>
    <n v="0"/>
    <n v="274.27999999999997"/>
    <m/>
    <m/>
    <x v="8"/>
  </r>
  <r>
    <s v="K7-11127"/>
    <x v="47"/>
    <x v="0"/>
    <x v="0"/>
    <x v="0"/>
    <x v="1"/>
    <x v="3"/>
    <x v="4"/>
    <s v="Jonah Wright"/>
    <n v="3"/>
    <n v="144.36000000000001"/>
    <n v="0"/>
    <n v="433.08"/>
    <m/>
    <m/>
    <x v="2"/>
  </r>
  <r>
    <s v="K7-11128"/>
    <x v="167"/>
    <x v="17"/>
    <x v="0"/>
    <x v="1"/>
    <x v="0"/>
    <x v="2"/>
    <x v="2"/>
    <s v="Ava Brooks"/>
    <n v="5"/>
    <n v="24.81"/>
    <n v="0.05"/>
    <n v="117.85"/>
    <m/>
    <m/>
    <x v="6"/>
  </r>
  <r>
    <s v="K7-11129"/>
    <x v="167"/>
    <x v="23"/>
    <x v="0"/>
    <x v="0"/>
    <x v="1"/>
    <x v="3"/>
    <x v="4"/>
    <s v="Dylan Foster"/>
    <n v="2"/>
    <n v="139.78"/>
    <n v="0"/>
    <n v="279.56"/>
    <m/>
    <m/>
    <x v="6"/>
  </r>
  <r>
    <s v="K7-11130"/>
    <x v="157"/>
    <x v="20"/>
    <x v="3"/>
    <x v="1"/>
    <x v="0"/>
    <x v="1"/>
    <x v="1"/>
    <s v="Priya Nair"/>
    <n v="1"/>
    <n v="126.22"/>
    <n v="0.1"/>
    <n v="113.6"/>
    <m/>
    <m/>
    <x v="6"/>
  </r>
  <r>
    <s v="K7-11131"/>
    <x v="92"/>
    <x v="2"/>
    <x v="2"/>
    <x v="2"/>
    <x v="0"/>
    <x v="0"/>
    <x v="18"/>
    <s v="Elena Vargas"/>
    <n v="2"/>
    <n v="32.6"/>
    <n v="0"/>
    <n v="65.2"/>
    <m/>
    <m/>
    <x v="3"/>
  </r>
  <r>
    <s v="K7-11132"/>
    <x v="216"/>
    <x v="14"/>
    <x v="2"/>
    <x v="1"/>
    <x v="0"/>
    <x v="4"/>
    <x v="6"/>
    <s v="Grace Okafor"/>
    <n v="2"/>
    <n v="58.27"/>
    <n v="0"/>
    <n v="116.54"/>
    <m/>
    <m/>
    <x v="7"/>
  </r>
  <r>
    <s v="K7-11133"/>
    <x v="32"/>
    <x v="9"/>
    <x v="2"/>
    <x v="0"/>
    <x v="0"/>
    <x v="4"/>
    <x v="14"/>
    <s v="Priya Nair"/>
    <n v="3"/>
    <n v="72.3"/>
    <n v="0.3"/>
    <n v="151.83000000000001"/>
    <m/>
    <m/>
    <x v="9"/>
  </r>
  <r>
    <s v="K7-11134"/>
    <x v="183"/>
    <x v="16"/>
    <x v="0"/>
    <x v="0"/>
    <x v="1"/>
    <x v="0"/>
    <x v="21"/>
    <s v="Jonah Wright"/>
    <n v="2"/>
    <n v="49.19"/>
    <n v="0.2"/>
    <n v="78.7"/>
    <m/>
    <m/>
    <x v="4"/>
  </r>
  <r>
    <s v="K7-11135"/>
    <x v="310"/>
    <x v="8"/>
    <x v="1"/>
    <x v="1"/>
    <x v="1"/>
    <x v="2"/>
    <x v="19"/>
    <s v="Jonah Wright"/>
    <n v="3"/>
    <n v="46.94"/>
    <n v="0.15"/>
    <n v="119.7"/>
    <m/>
    <m/>
    <x v="10"/>
  </r>
  <r>
    <s v="K7-11136"/>
    <x v="303"/>
    <x v="0"/>
    <x v="0"/>
    <x v="0"/>
    <x v="0"/>
    <x v="5"/>
    <x v="9"/>
    <s v="Dylan Foster"/>
    <n v="8"/>
    <n v="90.12"/>
    <n v="0"/>
    <n v="720.96"/>
    <m/>
    <m/>
    <x v="3"/>
  </r>
  <r>
    <s v="K7-11137"/>
    <x v="285"/>
    <x v="1"/>
    <x v="1"/>
    <x v="1"/>
    <x v="0"/>
    <x v="0"/>
    <x v="20"/>
    <s v="Jonah Wright"/>
    <n v="5"/>
    <n v="67.040000000000006"/>
    <n v="0.05"/>
    <n v="318.44"/>
    <m/>
    <m/>
    <x v="5"/>
  </r>
  <r>
    <s v="K7-11138"/>
    <x v="265"/>
    <x v="0"/>
    <x v="0"/>
    <x v="0"/>
    <x v="0"/>
    <x v="1"/>
    <x v="8"/>
    <s v="Noor Haddad"/>
    <n v="3"/>
    <n v="224.5"/>
    <n v="0.3"/>
    <n v="471.45"/>
    <m/>
    <m/>
    <x v="9"/>
  </r>
  <r>
    <s v="K7-11139"/>
    <x v="219"/>
    <x v="20"/>
    <x v="3"/>
    <x v="2"/>
    <x v="0"/>
    <x v="4"/>
    <x v="14"/>
    <s v="Dylan Foster"/>
    <n v="1"/>
    <n v="79.760000000000005"/>
    <n v="0.3"/>
    <n v="55.83"/>
    <m/>
    <m/>
    <x v="11"/>
  </r>
  <r>
    <s v="K7-11140"/>
    <x v="235"/>
    <x v="11"/>
    <x v="3"/>
    <x v="0"/>
    <x v="0"/>
    <x v="4"/>
    <x v="13"/>
    <s v="Ava Brooks"/>
    <n v="4"/>
    <n v="95.84"/>
    <n v="0.1"/>
    <n v="345.02"/>
    <m/>
    <m/>
    <x v="11"/>
  </r>
  <r>
    <s v="K7-11141"/>
    <x v="157"/>
    <x v="16"/>
    <x v="0"/>
    <x v="1"/>
    <x v="1"/>
    <x v="1"/>
    <x v="8"/>
    <s v="Elena Vargas"/>
    <n v="11"/>
    <n v="239.79"/>
    <n v="0"/>
    <n v="2637.69"/>
    <m/>
    <m/>
    <x v="6"/>
  </r>
  <r>
    <s v="K7-11142"/>
    <x v="293"/>
    <x v="20"/>
    <x v="3"/>
    <x v="0"/>
    <x v="1"/>
    <x v="3"/>
    <x v="15"/>
    <s v="Dylan Foster"/>
    <n v="2"/>
    <n v="91.23"/>
    <n v="0"/>
    <n v="182.46"/>
    <m/>
    <m/>
    <x v="2"/>
  </r>
  <r>
    <s v="K7-11143"/>
    <x v="195"/>
    <x v="16"/>
    <x v="0"/>
    <x v="0"/>
    <x v="0"/>
    <x v="5"/>
    <x v="17"/>
    <s v="Priya Nair"/>
    <n v="3"/>
    <n v="204"/>
    <n v="0.05"/>
    <n v="581.4"/>
    <m/>
    <m/>
    <x v="3"/>
  </r>
  <r>
    <s v="K7-11144"/>
    <x v="107"/>
    <x v="0"/>
    <x v="0"/>
    <x v="0"/>
    <x v="1"/>
    <x v="0"/>
    <x v="0"/>
    <s v="Ava Brooks"/>
    <n v="6"/>
    <n v="56.41"/>
    <n v="0.15"/>
    <n v="287.69"/>
    <m/>
    <m/>
    <x v="8"/>
  </r>
  <r>
    <s v="K7-11145"/>
    <x v="89"/>
    <x v="5"/>
    <x v="0"/>
    <x v="1"/>
    <x v="1"/>
    <x v="4"/>
    <x v="6"/>
    <s v="Grace Okafor"/>
    <n v="6"/>
    <n v="56.94"/>
    <n v="0"/>
    <n v="341.64"/>
    <m/>
    <m/>
    <x v="5"/>
  </r>
  <r>
    <s v="K7-11146"/>
    <x v="88"/>
    <x v="2"/>
    <x v="2"/>
    <x v="0"/>
    <x v="0"/>
    <x v="3"/>
    <x v="15"/>
    <s v="Dylan Foster"/>
    <n v="4"/>
    <n v="101.9"/>
    <n v="0"/>
    <n v="407.6"/>
    <m/>
    <m/>
    <x v="6"/>
  </r>
  <r>
    <s v="K7-11147"/>
    <x v="338"/>
    <x v="5"/>
    <x v="0"/>
    <x v="1"/>
    <x v="0"/>
    <x v="4"/>
    <x v="14"/>
    <s v="Noor Haddad"/>
    <n v="5"/>
    <n v="74.27"/>
    <n v="0"/>
    <n v="371.35"/>
    <m/>
    <m/>
    <x v="5"/>
  </r>
  <r>
    <s v="K7-11148"/>
    <x v="316"/>
    <x v="16"/>
    <x v="0"/>
    <x v="3"/>
    <x v="0"/>
    <x v="4"/>
    <x v="13"/>
    <s v="Ava Brooks"/>
    <n v="5"/>
    <n v="91.01"/>
    <n v="0"/>
    <n v="455.05"/>
    <m/>
    <m/>
    <x v="6"/>
  </r>
  <r>
    <s v="K7-11149"/>
    <x v="58"/>
    <x v="7"/>
    <x v="2"/>
    <x v="0"/>
    <x v="1"/>
    <x v="5"/>
    <x v="7"/>
    <s v="Dylan Foster"/>
    <n v="1"/>
    <n v="170.56"/>
    <n v="0"/>
    <n v="170.56"/>
    <m/>
    <m/>
    <x v="7"/>
  </r>
  <r>
    <s v="K7-11150"/>
    <x v="12"/>
    <x v="7"/>
    <x v="2"/>
    <x v="1"/>
    <x v="1"/>
    <x v="5"/>
    <x v="17"/>
    <s v="Ava Brooks"/>
    <n v="7"/>
    <n v="217.9"/>
    <n v="0"/>
    <n v="1525.3"/>
    <m/>
    <m/>
    <x v="0"/>
  </r>
  <r>
    <s v="K7-11151"/>
    <x v="275"/>
    <x v="17"/>
    <x v="0"/>
    <x v="0"/>
    <x v="0"/>
    <x v="5"/>
    <x v="17"/>
    <s v="Priya Nair"/>
    <n v="1"/>
    <n v="230.6"/>
    <n v="0"/>
    <n v="230.6"/>
    <m/>
    <m/>
    <x v="5"/>
  </r>
  <r>
    <s v="K7-11152"/>
    <x v="287"/>
    <x v="24"/>
    <x v="2"/>
    <x v="0"/>
    <x v="0"/>
    <x v="4"/>
    <x v="11"/>
    <s v="Priya Nair"/>
    <n v="1"/>
    <n v="79.099999999999994"/>
    <n v="0"/>
    <n v="79.099999999999994"/>
    <m/>
    <m/>
    <x v="2"/>
  </r>
  <r>
    <s v="K7-11153"/>
    <x v="89"/>
    <x v="26"/>
    <x v="2"/>
    <x v="0"/>
    <x v="0"/>
    <x v="4"/>
    <x v="14"/>
    <s v="Dylan Foster"/>
    <n v="1"/>
    <n v="78.22"/>
    <n v="0.1"/>
    <n v="70.400000000000006"/>
    <m/>
    <m/>
    <x v="5"/>
  </r>
  <r>
    <s v="K7-11154"/>
    <x v="7"/>
    <x v="0"/>
    <x v="0"/>
    <x v="1"/>
    <x v="0"/>
    <x v="3"/>
    <x v="15"/>
    <s v="Jonah Wright"/>
    <n v="2"/>
    <n v="101.31"/>
    <n v="0"/>
    <n v="202.62"/>
    <m/>
    <m/>
    <x v="5"/>
  </r>
  <r>
    <s v="K7-11155"/>
    <x v="349"/>
    <x v="10"/>
    <x v="3"/>
    <x v="0"/>
    <x v="0"/>
    <x v="4"/>
    <x v="14"/>
    <s v="Marcus Reed"/>
    <n v="5"/>
    <n v="79.08"/>
    <n v="0"/>
    <n v="395.4"/>
    <m/>
    <m/>
    <x v="9"/>
  </r>
  <r>
    <s v="K7-11156"/>
    <x v="244"/>
    <x v="11"/>
    <x v="3"/>
    <x v="2"/>
    <x v="1"/>
    <x v="2"/>
    <x v="2"/>
    <s v="Priya Nair"/>
    <n v="14"/>
    <n v="24.85"/>
    <n v="0.2"/>
    <n v="278.32"/>
    <m/>
    <m/>
    <x v="4"/>
  </r>
  <r>
    <s v="K7-11157"/>
    <x v="238"/>
    <x v="13"/>
    <x v="0"/>
    <x v="0"/>
    <x v="1"/>
    <x v="1"/>
    <x v="3"/>
    <s v="Grace Okafor"/>
    <n v="4"/>
    <n v="162.74"/>
    <n v="0.15"/>
    <n v="553.32000000000005"/>
    <m/>
    <m/>
    <x v="3"/>
  </r>
  <r>
    <s v="K7-11158"/>
    <x v="78"/>
    <x v="8"/>
    <x v="1"/>
    <x v="2"/>
    <x v="0"/>
    <x v="3"/>
    <x v="15"/>
    <s v="Marcus Reed"/>
    <n v="8"/>
    <n v="93.26"/>
    <n v="0.1"/>
    <n v="671.47"/>
    <m/>
    <m/>
    <x v="2"/>
  </r>
  <r>
    <s v="K7-11159"/>
    <x v="174"/>
    <x v="7"/>
    <x v="2"/>
    <x v="2"/>
    <x v="0"/>
    <x v="1"/>
    <x v="3"/>
    <s v="Marcus Reed"/>
    <n v="4"/>
    <n v="155.9"/>
    <n v="0"/>
    <n v="623.6"/>
    <m/>
    <m/>
    <x v="8"/>
  </r>
  <r>
    <s v="K7-11160"/>
    <x v="65"/>
    <x v="25"/>
    <x v="3"/>
    <x v="0"/>
    <x v="0"/>
    <x v="2"/>
    <x v="5"/>
    <s v="Elena Vargas"/>
    <n v="8"/>
    <n v="36.799999999999997"/>
    <n v="0"/>
    <n v="294.39999999999998"/>
    <m/>
    <m/>
    <x v="4"/>
  </r>
  <r>
    <s v="K7-11161"/>
    <x v="345"/>
    <x v="21"/>
    <x v="0"/>
    <x v="0"/>
    <x v="1"/>
    <x v="5"/>
    <x v="7"/>
    <s v="Grace Okafor"/>
    <n v="3"/>
    <n v="169.57"/>
    <n v="0"/>
    <n v="508.71"/>
    <m/>
    <m/>
    <x v="6"/>
  </r>
  <r>
    <s v="K7-11162"/>
    <x v="287"/>
    <x v="7"/>
    <x v="2"/>
    <x v="3"/>
    <x v="0"/>
    <x v="4"/>
    <x v="13"/>
    <s v="Elena Vargas"/>
    <n v="4"/>
    <n v="93.1"/>
    <n v="0"/>
    <n v="372.4"/>
    <m/>
    <m/>
    <x v="2"/>
  </r>
  <r>
    <s v="K7-11163"/>
    <x v="330"/>
    <x v="9"/>
    <x v="2"/>
    <x v="1"/>
    <x v="0"/>
    <x v="0"/>
    <x v="18"/>
    <s v="Ava Brooks"/>
    <n v="1"/>
    <n v="32.56"/>
    <n v="0.05"/>
    <n v="30.93"/>
    <m/>
    <m/>
    <x v="11"/>
  </r>
  <r>
    <s v="K7-11164"/>
    <x v="350"/>
    <x v="18"/>
    <x v="3"/>
    <x v="0"/>
    <x v="0"/>
    <x v="0"/>
    <x v="21"/>
    <s v="Jonah Wright"/>
    <n v="5"/>
    <n v="49.2"/>
    <n v="0"/>
    <n v="246"/>
    <m/>
    <m/>
    <x v="0"/>
  </r>
  <r>
    <s v="K7-11165"/>
    <x v="333"/>
    <x v="0"/>
    <x v="0"/>
    <x v="1"/>
    <x v="0"/>
    <x v="5"/>
    <x v="7"/>
    <s v="Noor Haddad"/>
    <n v="4"/>
    <n v="158.52000000000001"/>
    <n v="0.1"/>
    <n v="570.66999999999996"/>
    <m/>
    <m/>
    <x v="3"/>
  </r>
  <r>
    <s v="K7-11166"/>
    <x v="304"/>
    <x v="1"/>
    <x v="1"/>
    <x v="0"/>
    <x v="1"/>
    <x v="0"/>
    <x v="18"/>
    <s v="Jonah Wright"/>
    <n v="1"/>
    <n v="29.89"/>
    <n v="0.15"/>
    <n v="25.41"/>
    <m/>
    <m/>
    <x v="2"/>
  </r>
  <r>
    <s v="K7-11167"/>
    <x v="81"/>
    <x v="5"/>
    <x v="0"/>
    <x v="1"/>
    <x v="1"/>
    <x v="0"/>
    <x v="21"/>
    <s v="Grace Okafor"/>
    <n v="6"/>
    <n v="45.19"/>
    <n v="0"/>
    <n v="271.14"/>
    <m/>
    <m/>
    <x v="2"/>
  </r>
  <r>
    <s v="K7-11168"/>
    <x v="135"/>
    <x v="24"/>
    <x v="2"/>
    <x v="1"/>
    <x v="0"/>
    <x v="0"/>
    <x v="20"/>
    <s v="Elena Vargas"/>
    <n v="3"/>
    <n v="66.489999999999995"/>
    <n v="0.05"/>
    <n v="189.5"/>
    <m/>
    <m/>
    <x v="4"/>
  </r>
  <r>
    <s v="K7-11169"/>
    <x v="82"/>
    <x v="23"/>
    <x v="0"/>
    <x v="1"/>
    <x v="1"/>
    <x v="0"/>
    <x v="20"/>
    <s v="Marcus Reed"/>
    <n v="6"/>
    <n v="72.22"/>
    <n v="0"/>
    <n v="433.32"/>
    <m/>
    <m/>
    <x v="6"/>
  </r>
  <r>
    <s v="K7-11170"/>
    <x v="328"/>
    <x v="20"/>
    <x v="3"/>
    <x v="0"/>
    <x v="0"/>
    <x v="5"/>
    <x v="17"/>
    <s v="Jonah Wright"/>
    <n v="5"/>
    <n v="229.87"/>
    <n v="0.1"/>
    <n v="1034.4100000000001"/>
    <m/>
    <m/>
    <x v="9"/>
  </r>
  <r>
    <s v="K7-11171"/>
    <x v="326"/>
    <x v="19"/>
    <x v="1"/>
    <x v="0"/>
    <x v="0"/>
    <x v="1"/>
    <x v="1"/>
    <s v="Jonah Wright"/>
    <n v="7"/>
    <n v="122.73"/>
    <n v="0"/>
    <n v="859.11"/>
    <m/>
    <m/>
    <x v="11"/>
  </r>
  <r>
    <s v="K7-11172"/>
    <x v="206"/>
    <x v="20"/>
    <x v="3"/>
    <x v="0"/>
    <x v="1"/>
    <x v="3"/>
    <x v="4"/>
    <s v="Grace Okafor"/>
    <n v="5"/>
    <n v="126.49"/>
    <n v="0.15"/>
    <n v="537.58000000000004"/>
    <m/>
    <m/>
    <x v="0"/>
  </r>
  <r>
    <s v="K7-11173"/>
    <x v="279"/>
    <x v="24"/>
    <x v="2"/>
    <x v="0"/>
    <x v="0"/>
    <x v="0"/>
    <x v="18"/>
    <s v="Grace Okafor"/>
    <n v="4"/>
    <n v="30.31"/>
    <n v="0"/>
    <n v="121.24"/>
    <m/>
    <m/>
    <x v="5"/>
  </r>
  <r>
    <s v="K7-11174"/>
    <x v="77"/>
    <x v="28"/>
    <x v="0"/>
    <x v="1"/>
    <x v="0"/>
    <x v="4"/>
    <x v="6"/>
    <s v="Priya Nair"/>
    <n v="4"/>
    <n v="56.91"/>
    <n v="0.3"/>
    <n v="159.35"/>
    <m/>
    <m/>
    <x v="9"/>
  </r>
  <r>
    <s v="K7-11175"/>
    <x v="129"/>
    <x v="17"/>
    <x v="0"/>
    <x v="3"/>
    <x v="1"/>
    <x v="0"/>
    <x v="20"/>
    <s v="Ava Brooks"/>
    <n v="3"/>
    <n v="64.22"/>
    <n v="0"/>
    <n v="192.66"/>
    <m/>
    <m/>
    <x v="10"/>
  </r>
  <r>
    <s v="K7-11176"/>
    <x v="100"/>
    <x v="5"/>
    <x v="0"/>
    <x v="0"/>
    <x v="0"/>
    <x v="1"/>
    <x v="12"/>
    <s v="Noor Haddad"/>
    <n v="6"/>
    <n v="288.83999999999997"/>
    <n v="0"/>
    <n v="1733.04"/>
    <m/>
    <m/>
    <x v="5"/>
  </r>
  <r>
    <s v="K7-11177"/>
    <x v="137"/>
    <x v="19"/>
    <x v="1"/>
    <x v="1"/>
    <x v="1"/>
    <x v="2"/>
    <x v="16"/>
    <s v="Ava Brooks"/>
    <n v="3"/>
    <n v="64.88"/>
    <n v="0.3"/>
    <n v="136.25"/>
    <m/>
    <m/>
    <x v="10"/>
  </r>
  <r>
    <s v="K7-11178"/>
    <x v="93"/>
    <x v="2"/>
    <x v="2"/>
    <x v="0"/>
    <x v="0"/>
    <x v="0"/>
    <x v="20"/>
    <s v="Dylan Foster"/>
    <n v="2"/>
    <n v="68.47"/>
    <n v="0"/>
    <n v="136.94"/>
    <m/>
    <m/>
    <x v="2"/>
  </r>
  <r>
    <s v="K7-11179"/>
    <x v="56"/>
    <x v="15"/>
    <x v="1"/>
    <x v="1"/>
    <x v="1"/>
    <x v="0"/>
    <x v="0"/>
    <s v="Elena Vargas"/>
    <n v="2"/>
    <n v="54.17"/>
    <n v="0.15"/>
    <n v="92.09"/>
    <m/>
    <m/>
    <x v="1"/>
  </r>
  <r>
    <s v="K7-11180"/>
    <x v="11"/>
    <x v="7"/>
    <x v="2"/>
    <x v="2"/>
    <x v="0"/>
    <x v="1"/>
    <x v="1"/>
    <s v="Noor Haddad"/>
    <n v="1"/>
    <n v="121.19"/>
    <n v="0"/>
    <n v="121.19"/>
    <m/>
    <m/>
    <x v="8"/>
  </r>
  <r>
    <s v="K7-11181"/>
    <x v="51"/>
    <x v="24"/>
    <x v="2"/>
    <x v="0"/>
    <x v="0"/>
    <x v="2"/>
    <x v="19"/>
    <s v="Marcus Reed"/>
    <n v="5"/>
    <n v="45.48"/>
    <n v="0.05"/>
    <n v="216.03"/>
    <m/>
    <m/>
    <x v="3"/>
  </r>
  <r>
    <s v="K7-11182"/>
    <x v="331"/>
    <x v="25"/>
    <x v="3"/>
    <x v="1"/>
    <x v="0"/>
    <x v="3"/>
    <x v="15"/>
    <s v="Noor Haddad"/>
    <n v="10"/>
    <n v="91.83"/>
    <n v="0"/>
    <n v="918.3"/>
    <m/>
    <m/>
    <x v="4"/>
  </r>
  <r>
    <s v="K7-11183"/>
    <x v="149"/>
    <x v="8"/>
    <x v="1"/>
    <x v="0"/>
    <x v="0"/>
    <x v="4"/>
    <x v="14"/>
    <s v="Grace Okafor"/>
    <n v="6"/>
    <n v="77.180000000000007"/>
    <n v="0"/>
    <n v="463.08"/>
    <m/>
    <m/>
    <x v="2"/>
  </r>
  <r>
    <s v="K7-11184"/>
    <x v="350"/>
    <x v="19"/>
    <x v="1"/>
    <x v="3"/>
    <x v="0"/>
    <x v="1"/>
    <x v="3"/>
    <s v="Elena Vargas"/>
    <n v="1"/>
    <n v="164.79"/>
    <n v="0.15"/>
    <n v="140.07"/>
    <m/>
    <m/>
    <x v="0"/>
  </r>
  <r>
    <s v="K7-11185"/>
    <x v="104"/>
    <x v="17"/>
    <x v="0"/>
    <x v="3"/>
    <x v="1"/>
    <x v="2"/>
    <x v="19"/>
    <s v="Jonah Wright"/>
    <n v="1"/>
    <n v="47.55"/>
    <n v="0.05"/>
    <n v="45.17"/>
    <m/>
    <m/>
    <x v="4"/>
  </r>
  <r>
    <s v="K7-11186"/>
    <x v="219"/>
    <x v="26"/>
    <x v="2"/>
    <x v="2"/>
    <x v="0"/>
    <x v="4"/>
    <x v="11"/>
    <s v="Ava Brooks"/>
    <n v="1"/>
    <n v="89.37"/>
    <n v="0"/>
    <n v="89.37"/>
    <m/>
    <m/>
    <x v="11"/>
  </r>
  <r>
    <s v="K7-11187"/>
    <x v="166"/>
    <x v="11"/>
    <x v="3"/>
    <x v="0"/>
    <x v="0"/>
    <x v="5"/>
    <x v="17"/>
    <s v="Dylan Foster"/>
    <n v="1"/>
    <n v="224.21"/>
    <n v="0"/>
    <n v="224.21"/>
    <m/>
    <m/>
    <x v="8"/>
  </r>
  <r>
    <s v="K7-11188"/>
    <x v="104"/>
    <x v="25"/>
    <x v="3"/>
    <x v="2"/>
    <x v="0"/>
    <x v="0"/>
    <x v="18"/>
    <s v="Elena Vargas"/>
    <n v="1"/>
    <n v="33.590000000000003"/>
    <n v="0"/>
    <n v="33.590000000000003"/>
    <m/>
    <m/>
    <x v="4"/>
  </r>
  <r>
    <s v="K7-11189"/>
    <x v="36"/>
    <x v="5"/>
    <x v="0"/>
    <x v="0"/>
    <x v="0"/>
    <x v="0"/>
    <x v="20"/>
    <s v="Elena Vargas"/>
    <n v="5"/>
    <n v="72.41"/>
    <n v="0"/>
    <n v="362.05"/>
    <m/>
    <m/>
    <x v="2"/>
  </r>
  <r>
    <s v="K7-11190"/>
    <x v="97"/>
    <x v="20"/>
    <x v="3"/>
    <x v="1"/>
    <x v="1"/>
    <x v="4"/>
    <x v="11"/>
    <s v="Grace Okafor"/>
    <n v="3"/>
    <n v="85.29"/>
    <n v="0"/>
    <n v="255.87"/>
    <m/>
    <m/>
    <x v="8"/>
  </r>
  <r>
    <s v="K7-11191"/>
    <x v="19"/>
    <x v="19"/>
    <x v="1"/>
    <x v="3"/>
    <x v="1"/>
    <x v="0"/>
    <x v="0"/>
    <s v="Ava Brooks"/>
    <n v="3"/>
    <n v="57.15"/>
    <n v="0"/>
    <n v="171.45"/>
    <m/>
    <m/>
    <x v="1"/>
  </r>
  <r>
    <s v="K7-11192"/>
    <x v="95"/>
    <x v="0"/>
    <x v="0"/>
    <x v="3"/>
    <x v="1"/>
    <x v="0"/>
    <x v="20"/>
    <s v="Grace Okafor"/>
    <n v="3"/>
    <n v="73.069999999999993"/>
    <n v="0.05"/>
    <n v="208.25"/>
    <m/>
    <m/>
    <x v="3"/>
  </r>
  <r>
    <s v="K7-11193"/>
    <x v="272"/>
    <x v="15"/>
    <x v="1"/>
    <x v="1"/>
    <x v="0"/>
    <x v="4"/>
    <x v="13"/>
    <s v="Elena Vargas"/>
    <n v="5"/>
    <n v="90.98"/>
    <n v="0"/>
    <n v="454.9"/>
    <m/>
    <m/>
    <x v="10"/>
  </r>
  <r>
    <s v="K7-11194"/>
    <x v="103"/>
    <x v="5"/>
    <x v="0"/>
    <x v="0"/>
    <x v="1"/>
    <x v="1"/>
    <x v="12"/>
    <s v="Noor Haddad"/>
    <n v="4"/>
    <n v="298.19"/>
    <n v="0"/>
    <n v="1192.76"/>
    <m/>
    <m/>
    <x v="3"/>
  </r>
  <r>
    <s v="K7-11195"/>
    <x v="42"/>
    <x v="6"/>
    <x v="2"/>
    <x v="3"/>
    <x v="0"/>
    <x v="0"/>
    <x v="20"/>
    <s v="Priya Nair"/>
    <n v="1"/>
    <n v="69.19"/>
    <n v="0.15"/>
    <n v="58.81"/>
    <m/>
    <m/>
    <x v="9"/>
  </r>
  <r>
    <s v="K7-11196"/>
    <x v="90"/>
    <x v="24"/>
    <x v="2"/>
    <x v="0"/>
    <x v="0"/>
    <x v="0"/>
    <x v="18"/>
    <s v="Marcus Reed"/>
    <n v="15"/>
    <n v="34.25"/>
    <n v="0"/>
    <n v="513.75"/>
    <m/>
    <m/>
    <x v="3"/>
  </r>
  <r>
    <s v="K7-11197"/>
    <x v="43"/>
    <x v="7"/>
    <x v="2"/>
    <x v="0"/>
    <x v="1"/>
    <x v="1"/>
    <x v="3"/>
    <s v="Noor Haddad"/>
    <n v="5"/>
    <n v="162.87"/>
    <n v="0"/>
    <n v="814.35"/>
    <m/>
    <m/>
    <x v="5"/>
  </r>
  <r>
    <s v="K7-11198"/>
    <x v="171"/>
    <x v="7"/>
    <x v="2"/>
    <x v="3"/>
    <x v="0"/>
    <x v="0"/>
    <x v="20"/>
    <s v="Grace Okafor"/>
    <n v="1"/>
    <n v="71.92"/>
    <n v="0.2"/>
    <n v="57.54"/>
    <m/>
    <m/>
    <x v="9"/>
  </r>
  <r>
    <s v="K7-11199"/>
    <x v="192"/>
    <x v="24"/>
    <x v="2"/>
    <x v="1"/>
    <x v="1"/>
    <x v="5"/>
    <x v="9"/>
    <s v="Marcus Reed"/>
    <n v="5"/>
    <n v="86.28"/>
    <n v="0"/>
    <n v="431.4"/>
    <m/>
    <m/>
    <x v="9"/>
  </r>
  <r>
    <s v="K7-11200"/>
    <x v="62"/>
    <x v="16"/>
    <x v="0"/>
    <x v="0"/>
    <x v="0"/>
    <x v="0"/>
    <x v="20"/>
    <s v="Dylan Foster"/>
    <n v="3"/>
    <n v="64.28"/>
    <n v="0"/>
    <n v="192.84"/>
    <m/>
    <m/>
    <x v="0"/>
  </r>
  <r>
    <s v="K7-11201"/>
    <x v="250"/>
    <x v="15"/>
    <x v="1"/>
    <x v="0"/>
    <x v="0"/>
    <x v="0"/>
    <x v="0"/>
    <s v="Dylan Foster"/>
    <n v="4"/>
    <n v="54.07"/>
    <n v="0"/>
    <n v="216.28"/>
    <m/>
    <m/>
    <x v="11"/>
  </r>
  <r>
    <s v="K7-11202"/>
    <x v="318"/>
    <x v="18"/>
    <x v="3"/>
    <x v="3"/>
    <x v="0"/>
    <x v="4"/>
    <x v="11"/>
    <s v="Elena Vargas"/>
    <n v="1"/>
    <n v="82.1"/>
    <n v="0"/>
    <n v="82.1"/>
    <m/>
    <m/>
    <x v="6"/>
  </r>
  <r>
    <s v="K7-11203"/>
    <x v="138"/>
    <x v="15"/>
    <x v="1"/>
    <x v="2"/>
    <x v="1"/>
    <x v="1"/>
    <x v="8"/>
    <s v="Noor Haddad"/>
    <n v="2"/>
    <n v="233.11"/>
    <n v="0"/>
    <n v="466.22"/>
    <m/>
    <m/>
    <x v="1"/>
  </r>
  <r>
    <s v="K7-11204"/>
    <x v="319"/>
    <x v="7"/>
    <x v="2"/>
    <x v="2"/>
    <x v="1"/>
    <x v="3"/>
    <x v="4"/>
    <s v="Noor Haddad"/>
    <n v="5"/>
    <n v="131.58000000000001"/>
    <n v="0"/>
    <n v="657.9"/>
    <m/>
    <m/>
    <x v="0"/>
  </r>
  <r>
    <s v="K7-11205"/>
    <x v="343"/>
    <x v="16"/>
    <x v="0"/>
    <x v="0"/>
    <x v="0"/>
    <x v="5"/>
    <x v="17"/>
    <s v="Jonah Wright"/>
    <n v="4"/>
    <n v="209.46"/>
    <n v="0"/>
    <n v="837.84"/>
    <m/>
    <m/>
    <x v="11"/>
  </r>
  <r>
    <s v="K7-11206"/>
    <x v="269"/>
    <x v="1"/>
    <x v="1"/>
    <x v="0"/>
    <x v="0"/>
    <x v="3"/>
    <x v="10"/>
    <s v="Grace Okafor"/>
    <n v="1"/>
    <n v="115.28"/>
    <n v="0"/>
    <n v="115.28"/>
    <m/>
    <m/>
    <x v="6"/>
  </r>
  <r>
    <s v="K7-11207"/>
    <x v="66"/>
    <x v="14"/>
    <x v="2"/>
    <x v="0"/>
    <x v="1"/>
    <x v="2"/>
    <x v="16"/>
    <s v="Elena Vargas"/>
    <n v="1"/>
    <n v="65.069999999999993"/>
    <n v="0"/>
    <n v="65.069999999999993"/>
    <m/>
    <m/>
    <x v="9"/>
  </r>
  <r>
    <s v="K7-11208"/>
    <x v="56"/>
    <x v="16"/>
    <x v="0"/>
    <x v="1"/>
    <x v="0"/>
    <x v="1"/>
    <x v="1"/>
    <s v="Noor Haddad"/>
    <n v="1"/>
    <n v="136.07"/>
    <n v="0"/>
    <n v="136.07"/>
    <m/>
    <m/>
    <x v="1"/>
  </r>
  <r>
    <s v="K7-11209"/>
    <x v="15"/>
    <x v="0"/>
    <x v="0"/>
    <x v="2"/>
    <x v="0"/>
    <x v="1"/>
    <x v="12"/>
    <s v="Marcus Reed"/>
    <n v="1"/>
    <n v="287.8"/>
    <n v="0"/>
    <n v="287.8"/>
    <m/>
    <m/>
    <x v="9"/>
  </r>
  <r>
    <s v="K7-11210"/>
    <x v="177"/>
    <x v="9"/>
    <x v="2"/>
    <x v="2"/>
    <x v="0"/>
    <x v="2"/>
    <x v="2"/>
    <s v="Elena Vargas"/>
    <n v="3"/>
    <n v="25.11"/>
    <n v="0"/>
    <n v="75.33"/>
    <m/>
    <m/>
    <x v="6"/>
  </r>
  <r>
    <s v="K7-11211"/>
    <x v="343"/>
    <x v="7"/>
    <x v="2"/>
    <x v="0"/>
    <x v="0"/>
    <x v="0"/>
    <x v="21"/>
    <s v="Grace Okafor"/>
    <n v="1"/>
    <n v="48.06"/>
    <n v="0"/>
    <n v="48.06"/>
    <m/>
    <m/>
    <x v="11"/>
  </r>
  <r>
    <s v="K7-11212"/>
    <x v="166"/>
    <x v="11"/>
    <x v="3"/>
    <x v="0"/>
    <x v="0"/>
    <x v="2"/>
    <x v="16"/>
    <s v="Grace Okafor"/>
    <n v="1"/>
    <n v="60.56"/>
    <n v="0"/>
    <n v="60.56"/>
    <m/>
    <m/>
    <x v="8"/>
  </r>
  <r>
    <s v="K7-11213"/>
    <x v="74"/>
    <x v="16"/>
    <x v="0"/>
    <x v="3"/>
    <x v="0"/>
    <x v="5"/>
    <x v="17"/>
    <s v="Priya Nair"/>
    <n v="1"/>
    <n v="225.71"/>
    <n v="0"/>
    <n v="225.71"/>
    <m/>
    <m/>
    <x v="5"/>
  </r>
  <r>
    <s v="K7-11214"/>
    <x v="52"/>
    <x v="9"/>
    <x v="2"/>
    <x v="0"/>
    <x v="0"/>
    <x v="0"/>
    <x v="20"/>
    <s v="Dylan Foster"/>
    <n v="5"/>
    <n v="67.66"/>
    <n v="0.05"/>
    <n v="321.38"/>
    <m/>
    <m/>
    <x v="8"/>
  </r>
  <r>
    <s v="K7-11215"/>
    <x v="345"/>
    <x v="16"/>
    <x v="0"/>
    <x v="0"/>
    <x v="0"/>
    <x v="4"/>
    <x v="13"/>
    <s v="Dylan Foster"/>
    <n v="6"/>
    <n v="92.97"/>
    <n v="0"/>
    <n v="557.82000000000005"/>
    <m/>
    <m/>
    <x v="6"/>
  </r>
  <r>
    <s v="K7-11216"/>
    <x v="351"/>
    <x v="16"/>
    <x v="0"/>
    <x v="1"/>
    <x v="1"/>
    <x v="4"/>
    <x v="14"/>
    <s v="Dylan Foster"/>
    <n v="1"/>
    <n v="70.989999999999995"/>
    <n v="0.15"/>
    <n v="60.34"/>
    <m/>
    <m/>
    <x v="7"/>
  </r>
  <r>
    <s v="K7-11217"/>
    <x v="26"/>
    <x v="3"/>
    <x v="0"/>
    <x v="1"/>
    <x v="1"/>
    <x v="1"/>
    <x v="3"/>
    <s v="Marcus Reed"/>
    <n v="1"/>
    <n v="157.76"/>
    <n v="0"/>
    <n v="157.76"/>
    <m/>
    <m/>
    <x v="8"/>
  </r>
  <r>
    <s v="K7-11218"/>
    <x v="275"/>
    <x v="15"/>
    <x v="1"/>
    <x v="3"/>
    <x v="1"/>
    <x v="0"/>
    <x v="21"/>
    <s v="Elena Vargas"/>
    <n v="2"/>
    <n v="47.79"/>
    <n v="0"/>
    <n v="95.58"/>
    <m/>
    <m/>
    <x v="5"/>
  </r>
  <r>
    <s v="K7-11219"/>
    <x v="231"/>
    <x v="16"/>
    <x v="0"/>
    <x v="2"/>
    <x v="0"/>
    <x v="4"/>
    <x v="6"/>
    <s v="Priya Nair"/>
    <n v="5"/>
    <n v="57.94"/>
    <n v="0.1"/>
    <n v="260.73"/>
    <m/>
    <m/>
    <x v="3"/>
  </r>
  <r>
    <s v="K7-11220"/>
    <x v="209"/>
    <x v="15"/>
    <x v="1"/>
    <x v="0"/>
    <x v="0"/>
    <x v="4"/>
    <x v="6"/>
    <s v="Priya Nair"/>
    <n v="1"/>
    <n v="56.47"/>
    <n v="0.1"/>
    <n v="50.82"/>
    <m/>
    <m/>
    <x v="0"/>
  </r>
  <r>
    <s v="K7-11221"/>
    <x v="208"/>
    <x v="1"/>
    <x v="1"/>
    <x v="0"/>
    <x v="0"/>
    <x v="5"/>
    <x v="7"/>
    <s v="Elena Vargas"/>
    <n v="1"/>
    <n v="169.56"/>
    <n v="0.1"/>
    <n v="152.6"/>
    <m/>
    <m/>
    <x v="9"/>
  </r>
  <r>
    <s v="K7-11222"/>
    <x v="105"/>
    <x v="1"/>
    <x v="1"/>
    <x v="0"/>
    <x v="1"/>
    <x v="4"/>
    <x v="11"/>
    <s v="Elena Vargas"/>
    <n v="1"/>
    <n v="87.55"/>
    <n v="0"/>
    <n v="87.55"/>
    <m/>
    <m/>
    <x v="11"/>
  </r>
  <r>
    <s v="K7-11223"/>
    <x v="257"/>
    <x v="16"/>
    <x v="0"/>
    <x v="1"/>
    <x v="1"/>
    <x v="0"/>
    <x v="20"/>
    <s v="Priya Nair"/>
    <n v="2"/>
    <n v="71.239999999999995"/>
    <n v="0.1"/>
    <n v="128.22999999999999"/>
    <m/>
    <m/>
    <x v="0"/>
  </r>
  <r>
    <s v="K7-11224"/>
    <x v="308"/>
    <x v="11"/>
    <x v="3"/>
    <x v="0"/>
    <x v="1"/>
    <x v="2"/>
    <x v="19"/>
    <s v="Jonah Wright"/>
    <n v="2"/>
    <n v="47.66"/>
    <n v="0.1"/>
    <n v="85.79"/>
    <m/>
    <m/>
    <x v="11"/>
  </r>
  <r>
    <s v="K7-11225"/>
    <x v="307"/>
    <x v="9"/>
    <x v="2"/>
    <x v="3"/>
    <x v="1"/>
    <x v="4"/>
    <x v="14"/>
    <s v="Ava Brooks"/>
    <n v="3"/>
    <n v="77.55"/>
    <n v="0"/>
    <n v="232.65"/>
    <m/>
    <m/>
    <x v="6"/>
  </r>
  <r>
    <s v="K7-11226"/>
    <x v="235"/>
    <x v="15"/>
    <x v="1"/>
    <x v="1"/>
    <x v="1"/>
    <x v="0"/>
    <x v="20"/>
    <s v="Noor Haddad"/>
    <n v="1"/>
    <n v="71.010000000000005"/>
    <n v="0"/>
    <n v="71.010000000000005"/>
    <m/>
    <m/>
    <x v="11"/>
  </r>
  <r>
    <s v="K7-11227"/>
    <x v="317"/>
    <x v="2"/>
    <x v="2"/>
    <x v="1"/>
    <x v="1"/>
    <x v="4"/>
    <x v="14"/>
    <s v="Dylan Foster"/>
    <n v="11"/>
    <n v="72.81"/>
    <n v="0.05"/>
    <n v="760.86"/>
    <m/>
    <m/>
    <x v="10"/>
  </r>
  <r>
    <s v="K7-11228"/>
    <x v="300"/>
    <x v="20"/>
    <x v="3"/>
    <x v="2"/>
    <x v="1"/>
    <x v="1"/>
    <x v="12"/>
    <s v="Priya Nair"/>
    <n v="6"/>
    <n v="275.27999999999997"/>
    <n v="0.1"/>
    <n v="1486.51"/>
    <m/>
    <m/>
    <x v="3"/>
  </r>
  <r>
    <s v="K7-11229"/>
    <x v="36"/>
    <x v="15"/>
    <x v="1"/>
    <x v="1"/>
    <x v="1"/>
    <x v="2"/>
    <x v="2"/>
    <s v="Marcus Reed"/>
    <n v="5"/>
    <n v="27.22"/>
    <n v="0.1"/>
    <n v="122.49"/>
    <m/>
    <m/>
    <x v="2"/>
  </r>
  <r>
    <s v="K7-11230"/>
    <x v="136"/>
    <x v="15"/>
    <x v="1"/>
    <x v="0"/>
    <x v="0"/>
    <x v="0"/>
    <x v="18"/>
    <s v="Priya Nair"/>
    <n v="1"/>
    <n v="32.729999999999997"/>
    <n v="0"/>
    <n v="32.729999999999997"/>
    <m/>
    <m/>
    <x v="0"/>
  </r>
  <r>
    <s v="K7-11231"/>
    <x v="188"/>
    <x v="4"/>
    <x v="3"/>
    <x v="0"/>
    <x v="0"/>
    <x v="1"/>
    <x v="8"/>
    <s v="Dylan Foster"/>
    <n v="3"/>
    <n v="253.74"/>
    <n v="0.1"/>
    <n v="685.1"/>
    <m/>
    <m/>
    <x v="3"/>
  </r>
  <r>
    <s v="K7-11232"/>
    <x v="18"/>
    <x v="0"/>
    <x v="0"/>
    <x v="0"/>
    <x v="0"/>
    <x v="3"/>
    <x v="4"/>
    <s v="Noor Haddad"/>
    <n v="5"/>
    <n v="135.6"/>
    <n v="0"/>
    <n v="678"/>
    <m/>
    <m/>
    <x v="10"/>
  </r>
  <r>
    <s v="K7-11233"/>
    <x v="239"/>
    <x v="8"/>
    <x v="1"/>
    <x v="1"/>
    <x v="0"/>
    <x v="5"/>
    <x v="9"/>
    <s v="Dylan Foster"/>
    <n v="8"/>
    <n v="91.38"/>
    <n v="0"/>
    <n v="731.04"/>
    <m/>
    <m/>
    <x v="2"/>
  </r>
  <r>
    <s v="K7-11234"/>
    <x v="64"/>
    <x v="5"/>
    <x v="0"/>
    <x v="3"/>
    <x v="0"/>
    <x v="2"/>
    <x v="16"/>
    <s v="Priya Nair"/>
    <n v="2"/>
    <n v="66.489999999999995"/>
    <n v="0"/>
    <n v="132.97999999999999"/>
    <m/>
    <m/>
    <x v="8"/>
  </r>
  <r>
    <s v="K7-11235"/>
    <x v="40"/>
    <x v="20"/>
    <x v="3"/>
    <x v="0"/>
    <x v="0"/>
    <x v="3"/>
    <x v="10"/>
    <s v="Jonah Wright"/>
    <n v="4"/>
    <n v="118.76"/>
    <n v="0"/>
    <n v="475.04"/>
    <m/>
    <m/>
    <x v="8"/>
  </r>
  <r>
    <s v="K7-11236"/>
    <x v="209"/>
    <x v="20"/>
    <x v="3"/>
    <x v="1"/>
    <x v="0"/>
    <x v="4"/>
    <x v="6"/>
    <s v="Dylan Foster"/>
    <n v="3"/>
    <n v="57.78"/>
    <n v="0.15"/>
    <n v="147.34"/>
    <m/>
    <m/>
    <x v="0"/>
  </r>
  <r>
    <s v="K7-11237"/>
    <x v="246"/>
    <x v="0"/>
    <x v="0"/>
    <x v="0"/>
    <x v="0"/>
    <x v="2"/>
    <x v="19"/>
    <s v="Priya Nair"/>
    <n v="8"/>
    <n v="51.35"/>
    <n v="0"/>
    <n v="410.8"/>
    <m/>
    <m/>
    <x v="1"/>
  </r>
  <r>
    <s v="K7-11238"/>
    <x v="206"/>
    <x v="5"/>
    <x v="0"/>
    <x v="0"/>
    <x v="1"/>
    <x v="0"/>
    <x v="0"/>
    <s v="Ava Brooks"/>
    <n v="13"/>
    <n v="51.72"/>
    <n v="0"/>
    <n v="672.36"/>
    <m/>
    <m/>
    <x v="0"/>
  </r>
  <r>
    <s v="K7-11239"/>
    <x v="28"/>
    <x v="13"/>
    <x v="0"/>
    <x v="2"/>
    <x v="1"/>
    <x v="1"/>
    <x v="12"/>
    <s v="Noor Haddad"/>
    <n v="1"/>
    <n v="279.54000000000002"/>
    <n v="0"/>
    <n v="279.54000000000002"/>
    <m/>
    <m/>
    <x v="0"/>
  </r>
  <r>
    <s v="K7-11240"/>
    <x v="41"/>
    <x v="0"/>
    <x v="0"/>
    <x v="0"/>
    <x v="0"/>
    <x v="4"/>
    <x v="6"/>
    <s v="Ava Brooks"/>
    <n v="1"/>
    <n v="55.55"/>
    <n v="0"/>
    <n v="55.55"/>
    <m/>
    <m/>
    <x v="4"/>
  </r>
  <r>
    <s v="K7-11241"/>
    <x v="328"/>
    <x v="28"/>
    <x v="0"/>
    <x v="0"/>
    <x v="0"/>
    <x v="1"/>
    <x v="8"/>
    <s v="Priya Nair"/>
    <n v="2"/>
    <n v="251.66"/>
    <n v="0"/>
    <n v="503.32"/>
    <m/>
    <m/>
    <x v="9"/>
  </r>
  <r>
    <s v="K7-11242"/>
    <x v="203"/>
    <x v="3"/>
    <x v="0"/>
    <x v="0"/>
    <x v="1"/>
    <x v="2"/>
    <x v="19"/>
    <s v="Elena Vargas"/>
    <n v="10"/>
    <n v="51.47"/>
    <n v="0"/>
    <n v="514.70000000000005"/>
    <m/>
    <m/>
    <x v="0"/>
  </r>
  <r>
    <s v="K7-11243"/>
    <x v="233"/>
    <x v="1"/>
    <x v="1"/>
    <x v="0"/>
    <x v="1"/>
    <x v="2"/>
    <x v="5"/>
    <s v="Ava Brooks"/>
    <n v="1"/>
    <n v="37.51"/>
    <n v="0"/>
    <n v="37.51"/>
    <m/>
    <m/>
    <x v="9"/>
  </r>
  <r>
    <s v="K7-11244"/>
    <x v="226"/>
    <x v="1"/>
    <x v="1"/>
    <x v="1"/>
    <x v="0"/>
    <x v="4"/>
    <x v="13"/>
    <s v="Dylan Foster"/>
    <n v="8"/>
    <n v="92.54"/>
    <n v="0.1"/>
    <n v="666.29"/>
    <m/>
    <m/>
    <x v="3"/>
  </r>
  <r>
    <s v="K7-11245"/>
    <x v="131"/>
    <x v="17"/>
    <x v="0"/>
    <x v="0"/>
    <x v="0"/>
    <x v="1"/>
    <x v="1"/>
    <s v="Dylan Foster"/>
    <n v="1"/>
    <n v="131.02000000000001"/>
    <n v="0"/>
    <n v="131.02000000000001"/>
    <m/>
    <m/>
    <x v="7"/>
  </r>
  <r>
    <s v="K7-11246"/>
    <x v="352"/>
    <x v="0"/>
    <x v="0"/>
    <x v="0"/>
    <x v="1"/>
    <x v="3"/>
    <x v="15"/>
    <s v="Dylan Foster"/>
    <n v="8"/>
    <n v="95.01"/>
    <n v="0"/>
    <n v="760.08"/>
    <m/>
    <m/>
    <x v="4"/>
  </r>
  <r>
    <s v="K7-11247"/>
    <x v="38"/>
    <x v="1"/>
    <x v="1"/>
    <x v="0"/>
    <x v="1"/>
    <x v="3"/>
    <x v="10"/>
    <s v="Dylan Foster"/>
    <n v="5"/>
    <n v="115.92"/>
    <n v="0"/>
    <n v="579.6"/>
    <m/>
    <m/>
    <x v="3"/>
  </r>
  <r>
    <s v="K7-11248"/>
    <x v="267"/>
    <x v="0"/>
    <x v="0"/>
    <x v="0"/>
    <x v="1"/>
    <x v="4"/>
    <x v="14"/>
    <s v="Grace Okafor"/>
    <n v="2"/>
    <n v="79.010000000000005"/>
    <n v="0"/>
    <n v="158.02000000000001"/>
    <m/>
    <m/>
    <x v="7"/>
  </r>
  <r>
    <s v="K7-11249"/>
    <x v="332"/>
    <x v="9"/>
    <x v="2"/>
    <x v="1"/>
    <x v="1"/>
    <x v="4"/>
    <x v="6"/>
    <s v="Grace Okafor"/>
    <n v="6"/>
    <n v="54.94"/>
    <n v="0.1"/>
    <n v="296.68"/>
    <m/>
    <m/>
    <x v="10"/>
  </r>
  <r>
    <s v="K7-11250"/>
    <x v="4"/>
    <x v="7"/>
    <x v="2"/>
    <x v="0"/>
    <x v="0"/>
    <x v="0"/>
    <x v="20"/>
    <s v="Noor Haddad"/>
    <n v="4"/>
    <n v="73.33"/>
    <n v="0"/>
    <n v="293.32"/>
    <m/>
    <m/>
    <x v="2"/>
  </r>
  <r>
    <s v="K7-11251"/>
    <x v="316"/>
    <x v="0"/>
    <x v="0"/>
    <x v="1"/>
    <x v="0"/>
    <x v="4"/>
    <x v="13"/>
    <s v="Dylan Foster"/>
    <n v="2"/>
    <n v="93.07"/>
    <n v="0"/>
    <n v="186.14"/>
    <m/>
    <m/>
    <x v="6"/>
  </r>
  <r>
    <s v="K7-11252"/>
    <x v="103"/>
    <x v="14"/>
    <x v="2"/>
    <x v="2"/>
    <x v="1"/>
    <x v="1"/>
    <x v="1"/>
    <s v="Grace Okafor"/>
    <n v="1"/>
    <n v="129.80000000000001"/>
    <n v="0.05"/>
    <n v="123.31"/>
    <m/>
    <m/>
    <x v="3"/>
  </r>
  <r>
    <s v="K7-11253"/>
    <x v="38"/>
    <x v="5"/>
    <x v="0"/>
    <x v="0"/>
    <x v="0"/>
    <x v="2"/>
    <x v="19"/>
    <s v="Ava Brooks"/>
    <n v="1"/>
    <n v="46.31"/>
    <n v="0.05"/>
    <n v="43.99"/>
    <m/>
    <m/>
    <x v="3"/>
  </r>
  <r>
    <s v="K7-11254"/>
    <x v="115"/>
    <x v="0"/>
    <x v="0"/>
    <x v="3"/>
    <x v="0"/>
    <x v="5"/>
    <x v="17"/>
    <s v="Ava Brooks"/>
    <n v="5"/>
    <n v="203.13"/>
    <n v="0"/>
    <n v="1015.65"/>
    <m/>
    <m/>
    <x v="4"/>
  </r>
  <r>
    <s v="K7-11255"/>
    <x v="16"/>
    <x v="1"/>
    <x v="1"/>
    <x v="0"/>
    <x v="1"/>
    <x v="3"/>
    <x v="10"/>
    <s v="Marcus Reed"/>
    <n v="2"/>
    <n v="119.25"/>
    <n v="0.05"/>
    <n v="226.57"/>
    <m/>
    <m/>
    <x v="3"/>
  </r>
  <r>
    <s v="K7-11256"/>
    <x v="134"/>
    <x v="25"/>
    <x v="3"/>
    <x v="0"/>
    <x v="0"/>
    <x v="2"/>
    <x v="16"/>
    <s v="Jonah Wright"/>
    <n v="1"/>
    <n v="59.07"/>
    <n v="0"/>
    <n v="59.07"/>
    <m/>
    <m/>
    <x v="1"/>
  </r>
  <r>
    <s v="K7-11257"/>
    <x v="182"/>
    <x v="15"/>
    <x v="1"/>
    <x v="0"/>
    <x v="0"/>
    <x v="0"/>
    <x v="21"/>
    <s v="Grace Okafor"/>
    <n v="3"/>
    <n v="49.27"/>
    <n v="0.05"/>
    <n v="140.41999999999999"/>
    <m/>
    <m/>
    <x v="6"/>
  </r>
  <r>
    <s v="K7-11258"/>
    <x v="269"/>
    <x v="3"/>
    <x v="0"/>
    <x v="0"/>
    <x v="0"/>
    <x v="0"/>
    <x v="21"/>
    <s v="Priya Nair"/>
    <n v="1"/>
    <n v="46.28"/>
    <n v="0"/>
    <n v="46.28"/>
    <m/>
    <m/>
    <x v="6"/>
  </r>
  <r>
    <s v="K7-11259"/>
    <x v="177"/>
    <x v="17"/>
    <x v="0"/>
    <x v="3"/>
    <x v="0"/>
    <x v="5"/>
    <x v="17"/>
    <s v="Grace Okafor"/>
    <n v="5"/>
    <n v="206.71"/>
    <n v="0.05"/>
    <n v="981.87"/>
    <m/>
    <m/>
    <x v="6"/>
  </r>
  <r>
    <s v="K7-11260"/>
    <x v="307"/>
    <x v="1"/>
    <x v="1"/>
    <x v="2"/>
    <x v="0"/>
    <x v="2"/>
    <x v="5"/>
    <s v="Grace Okafor"/>
    <n v="3"/>
    <n v="39.369999999999997"/>
    <n v="0.05"/>
    <n v="112.2"/>
    <m/>
    <m/>
    <x v="6"/>
  </r>
  <r>
    <s v="K7-11261"/>
    <x v="320"/>
    <x v="1"/>
    <x v="1"/>
    <x v="0"/>
    <x v="1"/>
    <x v="3"/>
    <x v="10"/>
    <s v="Dylan Foster"/>
    <n v="2"/>
    <n v="122.24"/>
    <n v="0"/>
    <n v="244.48"/>
    <m/>
    <m/>
    <x v="6"/>
  </r>
  <r>
    <s v="K7-11262"/>
    <x v="249"/>
    <x v="4"/>
    <x v="3"/>
    <x v="0"/>
    <x v="1"/>
    <x v="4"/>
    <x v="11"/>
    <s v="Jonah Wright"/>
    <n v="1"/>
    <n v="81.08"/>
    <n v="0"/>
    <n v="81.08"/>
    <m/>
    <m/>
    <x v="7"/>
  </r>
  <r>
    <s v="K7-11263"/>
    <x v="55"/>
    <x v="21"/>
    <x v="0"/>
    <x v="0"/>
    <x v="1"/>
    <x v="1"/>
    <x v="8"/>
    <s v="Jonah Wright"/>
    <n v="9"/>
    <n v="248.43"/>
    <n v="0.15"/>
    <n v="1900.49"/>
    <m/>
    <m/>
    <x v="11"/>
  </r>
  <r>
    <s v="K7-11264"/>
    <x v="147"/>
    <x v="13"/>
    <x v="0"/>
    <x v="3"/>
    <x v="0"/>
    <x v="2"/>
    <x v="16"/>
    <s v="Noor Haddad"/>
    <n v="1"/>
    <n v="62.06"/>
    <n v="0"/>
    <n v="62.06"/>
    <m/>
    <m/>
    <x v="4"/>
  </r>
  <r>
    <s v="K7-11265"/>
    <x v="96"/>
    <x v="0"/>
    <x v="0"/>
    <x v="3"/>
    <x v="0"/>
    <x v="2"/>
    <x v="19"/>
    <s v="Ava Brooks"/>
    <n v="4"/>
    <n v="49.66"/>
    <n v="0.3"/>
    <n v="139.05000000000001"/>
    <m/>
    <m/>
    <x v="3"/>
  </r>
  <r>
    <s v="K7-11266"/>
    <x v="57"/>
    <x v="5"/>
    <x v="0"/>
    <x v="1"/>
    <x v="0"/>
    <x v="4"/>
    <x v="6"/>
    <s v="Marcus Reed"/>
    <n v="2"/>
    <n v="59"/>
    <n v="0"/>
    <n v="118"/>
    <m/>
    <m/>
    <x v="1"/>
  </r>
  <r>
    <s v="K7-11267"/>
    <x v="94"/>
    <x v="29"/>
    <x v="1"/>
    <x v="0"/>
    <x v="0"/>
    <x v="3"/>
    <x v="10"/>
    <s v="Elena Vargas"/>
    <n v="2"/>
    <n v="114.15"/>
    <n v="0"/>
    <n v="228.3"/>
    <m/>
    <m/>
    <x v="6"/>
  </r>
  <r>
    <s v="K7-11268"/>
    <x v="222"/>
    <x v="17"/>
    <x v="0"/>
    <x v="1"/>
    <x v="0"/>
    <x v="0"/>
    <x v="21"/>
    <s v="Jonah Wright"/>
    <n v="1"/>
    <n v="43.01"/>
    <n v="0.15"/>
    <n v="36.56"/>
    <m/>
    <m/>
    <x v="5"/>
  </r>
  <r>
    <s v="K7-11269"/>
    <x v="27"/>
    <x v="25"/>
    <x v="3"/>
    <x v="3"/>
    <x v="0"/>
    <x v="5"/>
    <x v="9"/>
    <s v="Elena Vargas"/>
    <n v="2"/>
    <n v="84.49"/>
    <n v="0.15"/>
    <n v="143.63"/>
    <m/>
    <m/>
    <x v="2"/>
  </r>
  <r>
    <s v="K7-11270"/>
    <x v="343"/>
    <x v="0"/>
    <x v="0"/>
    <x v="1"/>
    <x v="1"/>
    <x v="2"/>
    <x v="5"/>
    <s v="Noor Haddad"/>
    <n v="4"/>
    <n v="39.909999999999997"/>
    <n v="0"/>
    <n v="159.63999999999999"/>
    <m/>
    <m/>
    <x v="11"/>
  </r>
  <r>
    <s v="K7-11271"/>
    <x v="22"/>
    <x v="20"/>
    <x v="3"/>
    <x v="1"/>
    <x v="0"/>
    <x v="3"/>
    <x v="15"/>
    <s v="Noor Haddad"/>
    <n v="1"/>
    <n v="92.61"/>
    <n v="0.15"/>
    <n v="78.72"/>
    <m/>
    <m/>
    <x v="3"/>
  </r>
  <r>
    <s v="K7-11272"/>
    <x v="344"/>
    <x v="2"/>
    <x v="2"/>
    <x v="0"/>
    <x v="1"/>
    <x v="2"/>
    <x v="2"/>
    <s v="Jonah Wright"/>
    <n v="3"/>
    <n v="27.87"/>
    <n v="0"/>
    <n v="83.61"/>
    <m/>
    <m/>
    <x v="8"/>
  </r>
  <r>
    <s v="K7-11273"/>
    <x v="167"/>
    <x v="19"/>
    <x v="1"/>
    <x v="0"/>
    <x v="1"/>
    <x v="5"/>
    <x v="7"/>
    <s v="Noor Haddad"/>
    <n v="2"/>
    <n v="157.61000000000001"/>
    <n v="0"/>
    <n v="315.22000000000003"/>
    <m/>
    <m/>
    <x v="6"/>
  </r>
  <r>
    <s v="K7-11274"/>
    <x v="348"/>
    <x v="19"/>
    <x v="1"/>
    <x v="0"/>
    <x v="1"/>
    <x v="3"/>
    <x v="15"/>
    <s v="Jonah Wright"/>
    <n v="3"/>
    <n v="101.16"/>
    <n v="0"/>
    <n v="303.48"/>
    <m/>
    <m/>
    <x v="0"/>
  </r>
  <r>
    <s v="K7-11275"/>
    <x v="248"/>
    <x v="0"/>
    <x v="0"/>
    <x v="0"/>
    <x v="1"/>
    <x v="1"/>
    <x v="3"/>
    <s v="Noor Haddad"/>
    <n v="5"/>
    <n v="170.16"/>
    <n v="0.05"/>
    <n v="808.26"/>
    <m/>
    <m/>
    <x v="1"/>
  </r>
  <r>
    <s v="K7-11276"/>
    <x v="211"/>
    <x v="9"/>
    <x v="2"/>
    <x v="1"/>
    <x v="0"/>
    <x v="5"/>
    <x v="7"/>
    <s v="Marcus Reed"/>
    <n v="3"/>
    <n v="170.54"/>
    <n v="0.1"/>
    <n v="460.46"/>
    <m/>
    <m/>
    <x v="3"/>
  </r>
  <r>
    <s v="K7-11277"/>
    <x v="66"/>
    <x v="14"/>
    <x v="2"/>
    <x v="3"/>
    <x v="1"/>
    <x v="0"/>
    <x v="20"/>
    <s v="Marcus Reed"/>
    <n v="1"/>
    <n v="71.48"/>
    <n v="0"/>
    <n v="71.48"/>
    <m/>
    <m/>
    <x v="9"/>
  </r>
  <r>
    <s v="K7-11278"/>
    <x v="259"/>
    <x v="15"/>
    <x v="1"/>
    <x v="3"/>
    <x v="0"/>
    <x v="4"/>
    <x v="11"/>
    <s v="Ava Brooks"/>
    <n v="9"/>
    <n v="80.63"/>
    <n v="0"/>
    <n v="725.67"/>
    <m/>
    <m/>
    <x v="9"/>
  </r>
  <r>
    <s v="K7-11279"/>
    <x v="76"/>
    <x v="1"/>
    <x v="1"/>
    <x v="1"/>
    <x v="0"/>
    <x v="0"/>
    <x v="20"/>
    <s v="Noor Haddad"/>
    <n v="2"/>
    <n v="70.38"/>
    <n v="0"/>
    <n v="140.76"/>
    <m/>
    <m/>
    <x v="4"/>
  </r>
  <r>
    <s v="K7-11280"/>
    <x v="192"/>
    <x v="15"/>
    <x v="1"/>
    <x v="1"/>
    <x v="0"/>
    <x v="5"/>
    <x v="17"/>
    <s v="Dylan Foster"/>
    <n v="13"/>
    <n v="215.04"/>
    <n v="0"/>
    <n v="2795.52"/>
    <m/>
    <m/>
    <x v="9"/>
  </r>
  <r>
    <s v="K7-11281"/>
    <x v="47"/>
    <x v="4"/>
    <x v="3"/>
    <x v="0"/>
    <x v="0"/>
    <x v="5"/>
    <x v="9"/>
    <s v="Grace Okafor"/>
    <n v="2"/>
    <n v="87.84"/>
    <n v="0"/>
    <n v="175.68"/>
    <m/>
    <m/>
    <x v="2"/>
  </r>
  <r>
    <s v="K7-11282"/>
    <x v="133"/>
    <x v="6"/>
    <x v="2"/>
    <x v="0"/>
    <x v="1"/>
    <x v="2"/>
    <x v="16"/>
    <s v="Jonah Wright"/>
    <n v="4"/>
    <n v="57.25"/>
    <n v="0"/>
    <n v="229"/>
    <m/>
    <m/>
    <x v="1"/>
  </r>
  <r>
    <s v="K7-11283"/>
    <x v="201"/>
    <x v="5"/>
    <x v="0"/>
    <x v="1"/>
    <x v="0"/>
    <x v="5"/>
    <x v="17"/>
    <s v="Elena Vargas"/>
    <n v="1"/>
    <n v="226.29"/>
    <n v="0"/>
    <n v="226.29"/>
    <m/>
    <m/>
    <x v="6"/>
  </r>
  <r>
    <s v="K7-11284"/>
    <x v="184"/>
    <x v="10"/>
    <x v="3"/>
    <x v="3"/>
    <x v="0"/>
    <x v="1"/>
    <x v="3"/>
    <s v="Jonah Wright"/>
    <n v="2"/>
    <n v="162.38999999999999"/>
    <n v="0"/>
    <n v="324.77999999999997"/>
    <m/>
    <m/>
    <x v="10"/>
  </r>
  <r>
    <s v="K7-11285"/>
    <x v="131"/>
    <x v="7"/>
    <x v="2"/>
    <x v="0"/>
    <x v="0"/>
    <x v="4"/>
    <x v="11"/>
    <s v="Dylan Foster"/>
    <n v="1"/>
    <n v="83.12"/>
    <n v="0.05"/>
    <n v="78.959999999999994"/>
    <m/>
    <m/>
    <x v="7"/>
  </r>
  <r>
    <s v="K7-11286"/>
    <x v="57"/>
    <x v="26"/>
    <x v="2"/>
    <x v="0"/>
    <x v="0"/>
    <x v="4"/>
    <x v="11"/>
    <s v="Noor Haddad"/>
    <n v="2"/>
    <n v="78.72"/>
    <n v="0.05"/>
    <n v="149.57"/>
    <m/>
    <m/>
    <x v="1"/>
  </r>
  <r>
    <s v="K7-11287"/>
    <x v="165"/>
    <x v="1"/>
    <x v="1"/>
    <x v="0"/>
    <x v="0"/>
    <x v="1"/>
    <x v="3"/>
    <s v="Ava Brooks"/>
    <n v="3"/>
    <n v="158.13999999999999"/>
    <n v="0"/>
    <n v="474.42"/>
    <m/>
    <m/>
    <x v="1"/>
  </r>
  <r>
    <s v="K7-11288"/>
    <x v="142"/>
    <x v="8"/>
    <x v="1"/>
    <x v="2"/>
    <x v="0"/>
    <x v="2"/>
    <x v="16"/>
    <s v="Jonah Wright"/>
    <n v="5"/>
    <n v="66.06"/>
    <n v="0"/>
    <n v="330.3"/>
    <m/>
    <m/>
    <x v="9"/>
  </r>
  <r>
    <s v="K7-11289"/>
    <x v="17"/>
    <x v="25"/>
    <x v="3"/>
    <x v="1"/>
    <x v="0"/>
    <x v="4"/>
    <x v="11"/>
    <s v="Jonah Wright"/>
    <n v="2"/>
    <n v="78"/>
    <n v="0.2"/>
    <n v="124.8"/>
    <m/>
    <m/>
    <x v="8"/>
  </r>
  <r>
    <s v="K7-11290"/>
    <x v="65"/>
    <x v="23"/>
    <x v="0"/>
    <x v="0"/>
    <x v="0"/>
    <x v="2"/>
    <x v="19"/>
    <s v="Jonah Wright"/>
    <n v="2"/>
    <n v="51"/>
    <n v="0"/>
    <n v="102"/>
    <m/>
    <m/>
    <x v="4"/>
  </r>
  <r>
    <s v="K7-11291"/>
    <x v="342"/>
    <x v="14"/>
    <x v="2"/>
    <x v="0"/>
    <x v="1"/>
    <x v="1"/>
    <x v="12"/>
    <s v="Priya Nair"/>
    <n v="6"/>
    <n v="297.05"/>
    <n v="0.05"/>
    <n v="1693.19"/>
    <m/>
    <m/>
    <x v="5"/>
  </r>
  <r>
    <s v="K7-11292"/>
    <x v="3"/>
    <x v="0"/>
    <x v="0"/>
    <x v="2"/>
    <x v="0"/>
    <x v="4"/>
    <x v="14"/>
    <s v="Jonah Wright"/>
    <n v="1"/>
    <n v="78"/>
    <n v="0.15"/>
    <n v="66.3"/>
    <m/>
    <m/>
    <x v="1"/>
  </r>
  <r>
    <s v="K7-11293"/>
    <x v="148"/>
    <x v="14"/>
    <x v="2"/>
    <x v="1"/>
    <x v="0"/>
    <x v="3"/>
    <x v="10"/>
    <s v="Ava Brooks"/>
    <n v="13"/>
    <n v="125.17"/>
    <n v="0.1"/>
    <n v="1464.49"/>
    <m/>
    <m/>
    <x v="0"/>
  </r>
  <r>
    <s v="K7-11294"/>
    <x v="43"/>
    <x v="7"/>
    <x v="2"/>
    <x v="2"/>
    <x v="0"/>
    <x v="0"/>
    <x v="18"/>
    <s v="Noor Haddad"/>
    <n v="2"/>
    <n v="32.130000000000003"/>
    <n v="0"/>
    <n v="64.260000000000005"/>
    <m/>
    <m/>
    <x v="5"/>
  </r>
  <r>
    <s v="K7-11295"/>
    <x v="136"/>
    <x v="29"/>
    <x v="1"/>
    <x v="0"/>
    <x v="1"/>
    <x v="0"/>
    <x v="18"/>
    <s v="Dylan Foster"/>
    <n v="2"/>
    <n v="30.51"/>
    <n v="0"/>
    <n v="61.02"/>
    <m/>
    <m/>
    <x v="0"/>
  </r>
  <r>
    <s v="K7-11296"/>
    <x v="294"/>
    <x v="10"/>
    <x v="3"/>
    <x v="0"/>
    <x v="0"/>
    <x v="2"/>
    <x v="5"/>
    <s v="Grace Okafor"/>
    <n v="1"/>
    <n v="39.39"/>
    <n v="0.1"/>
    <n v="35.450000000000003"/>
    <m/>
    <m/>
    <x v="7"/>
  </r>
  <r>
    <s v="K7-11297"/>
    <x v="353"/>
    <x v="20"/>
    <x v="3"/>
    <x v="2"/>
    <x v="0"/>
    <x v="0"/>
    <x v="0"/>
    <s v="Priya Nair"/>
    <n v="5"/>
    <n v="52.68"/>
    <n v="0"/>
    <n v="263.39999999999998"/>
    <m/>
    <m/>
    <x v="3"/>
  </r>
  <r>
    <s v="K7-11298"/>
    <x v="274"/>
    <x v="2"/>
    <x v="2"/>
    <x v="0"/>
    <x v="1"/>
    <x v="3"/>
    <x v="15"/>
    <s v="Grace Okafor"/>
    <n v="1"/>
    <n v="99.03"/>
    <n v="0.15"/>
    <n v="84.18"/>
    <m/>
    <m/>
    <x v="7"/>
  </r>
  <r>
    <s v="K7-11299"/>
    <x v="344"/>
    <x v="0"/>
    <x v="0"/>
    <x v="0"/>
    <x v="1"/>
    <x v="1"/>
    <x v="1"/>
    <s v="Dylan Foster"/>
    <n v="2"/>
    <n v="121.34"/>
    <n v="0"/>
    <n v="242.68"/>
    <m/>
    <m/>
    <x v="8"/>
  </r>
  <r>
    <s v="K7-11300"/>
    <x v="185"/>
    <x v="13"/>
    <x v="0"/>
    <x v="1"/>
    <x v="1"/>
    <x v="5"/>
    <x v="9"/>
    <s v="Priya Nair"/>
    <n v="1"/>
    <n v="89.05"/>
    <n v="0"/>
    <n v="89.05"/>
    <m/>
    <m/>
    <x v="11"/>
  </r>
  <r>
    <s v="K7-11301"/>
    <x v="352"/>
    <x v="9"/>
    <x v="2"/>
    <x v="1"/>
    <x v="0"/>
    <x v="0"/>
    <x v="18"/>
    <s v="Priya Nair"/>
    <n v="4"/>
    <n v="29.97"/>
    <n v="0.2"/>
    <n v="95.9"/>
    <m/>
    <m/>
    <x v="4"/>
  </r>
  <r>
    <s v="K7-11302"/>
    <x v="288"/>
    <x v="13"/>
    <x v="0"/>
    <x v="2"/>
    <x v="1"/>
    <x v="4"/>
    <x v="6"/>
    <s v="Dylan Foster"/>
    <n v="2"/>
    <n v="56.35"/>
    <n v="0"/>
    <n v="112.7"/>
    <m/>
    <m/>
    <x v="2"/>
  </r>
  <r>
    <s v="K7-11303"/>
    <x v="157"/>
    <x v="7"/>
    <x v="2"/>
    <x v="1"/>
    <x v="1"/>
    <x v="2"/>
    <x v="16"/>
    <s v="Marcus Reed"/>
    <n v="3"/>
    <n v="66.900000000000006"/>
    <n v="0"/>
    <n v="200.7"/>
    <m/>
    <m/>
    <x v="6"/>
  </r>
  <r>
    <s v="K7-11304"/>
    <x v="270"/>
    <x v="0"/>
    <x v="0"/>
    <x v="1"/>
    <x v="0"/>
    <x v="2"/>
    <x v="19"/>
    <s v="Noor Haddad"/>
    <n v="1"/>
    <n v="50.29"/>
    <n v="0.05"/>
    <n v="47.78"/>
    <m/>
    <m/>
    <x v="8"/>
  </r>
  <r>
    <s v="K7-11305"/>
    <x v="227"/>
    <x v="15"/>
    <x v="1"/>
    <x v="0"/>
    <x v="1"/>
    <x v="4"/>
    <x v="13"/>
    <s v="Noor Haddad"/>
    <n v="2"/>
    <n v="94.69"/>
    <n v="0"/>
    <n v="189.38"/>
    <m/>
    <m/>
    <x v="10"/>
  </r>
  <r>
    <s v="K7-11306"/>
    <x v="143"/>
    <x v="10"/>
    <x v="3"/>
    <x v="2"/>
    <x v="1"/>
    <x v="4"/>
    <x v="6"/>
    <s v="Priya Nair"/>
    <n v="1"/>
    <n v="54.32"/>
    <n v="0"/>
    <n v="54.32"/>
    <m/>
    <m/>
    <x v="10"/>
  </r>
  <r>
    <s v="K7-11307"/>
    <x v="9"/>
    <x v="7"/>
    <x v="2"/>
    <x v="0"/>
    <x v="1"/>
    <x v="1"/>
    <x v="8"/>
    <s v="Noor Haddad"/>
    <n v="4"/>
    <n v="237.4"/>
    <n v="0"/>
    <n v="949.6"/>
    <m/>
    <m/>
    <x v="7"/>
  </r>
  <r>
    <s v="K7-11308"/>
    <x v="169"/>
    <x v="20"/>
    <x v="3"/>
    <x v="1"/>
    <x v="0"/>
    <x v="0"/>
    <x v="20"/>
    <s v="Elena Vargas"/>
    <n v="11"/>
    <n v="73.400000000000006"/>
    <n v="0"/>
    <n v="807.4"/>
    <m/>
    <m/>
    <x v="6"/>
  </r>
  <r>
    <s v="K7-11309"/>
    <x v="258"/>
    <x v="16"/>
    <x v="0"/>
    <x v="2"/>
    <x v="1"/>
    <x v="5"/>
    <x v="7"/>
    <s v="Dylan Foster"/>
    <n v="1"/>
    <n v="168.21"/>
    <n v="0.05"/>
    <n v="159.80000000000001"/>
    <m/>
    <m/>
    <x v="7"/>
  </r>
  <r>
    <s v="K7-11310"/>
    <x v="86"/>
    <x v="14"/>
    <x v="2"/>
    <x v="0"/>
    <x v="0"/>
    <x v="2"/>
    <x v="5"/>
    <s v="Jonah Wright"/>
    <n v="1"/>
    <n v="36.119999999999997"/>
    <n v="0"/>
    <n v="36.119999999999997"/>
    <m/>
    <m/>
    <x v="0"/>
  </r>
  <r>
    <s v="K7-11311"/>
    <x v="280"/>
    <x v="3"/>
    <x v="0"/>
    <x v="2"/>
    <x v="0"/>
    <x v="5"/>
    <x v="17"/>
    <s v="Elena Vargas"/>
    <n v="2"/>
    <n v="227.6"/>
    <n v="0"/>
    <n v="455.2"/>
    <m/>
    <m/>
    <x v="4"/>
  </r>
  <r>
    <s v="K7-11312"/>
    <x v="319"/>
    <x v="15"/>
    <x v="1"/>
    <x v="0"/>
    <x v="0"/>
    <x v="1"/>
    <x v="1"/>
    <s v="Elena Vargas"/>
    <n v="3"/>
    <n v="131.5"/>
    <n v="0.1"/>
    <n v="355.05"/>
    <m/>
    <m/>
    <x v="0"/>
  </r>
  <r>
    <s v="K7-11313"/>
    <x v="304"/>
    <x v="7"/>
    <x v="2"/>
    <x v="0"/>
    <x v="0"/>
    <x v="0"/>
    <x v="20"/>
    <s v="Elena Vargas"/>
    <n v="2"/>
    <n v="64.55"/>
    <n v="0"/>
    <n v="129.1"/>
    <m/>
    <m/>
    <x v="2"/>
  </r>
  <r>
    <s v="K7-11314"/>
    <x v="72"/>
    <x v="7"/>
    <x v="2"/>
    <x v="0"/>
    <x v="0"/>
    <x v="4"/>
    <x v="11"/>
    <s v="Marcus Reed"/>
    <n v="1"/>
    <n v="86.53"/>
    <n v="0"/>
    <n v="86.53"/>
    <m/>
    <m/>
    <x v="8"/>
  </r>
  <r>
    <s v="K7-11315"/>
    <x v="97"/>
    <x v="9"/>
    <x v="2"/>
    <x v="2"/>
    <x v="1"/>
    <x v="4"/>
    <x v="6"/>
    <s v="Ava Brooks"/>
    <n v="5"/>
    <n v="60.35"/>
    <n v="0"/>
    <n v="301.75"/>
    <m/>
    <m/>
    <x v="8"/>
  </r>
  <r>
    <s v="K7-11316"/>
    <x v="213"/>
    <x v="13"/>
    <x v="0"/>
    <x v="1"/>
    <x v="1"/>
    <x v="4"/>
    <x v="6"/>
    <s v="Dylan Foster"/>
    <n v="5"/>
    <n v="55.7"/>
    <n v="0"/>
    <n v="278.5"/>
    <m/>
    <m/>
    <x v="10"/>
  </r>
  <r>
    <s v="K7-11317"/>
    <x v="231"/>
    <x v="15"/>
    <x v="1"/>
    <x v="0"/>
    <x v="0"/>
    <x v="4"/>
    <x v="13"/>
    <s v="Priya Nair"/>
    <n v="2"/>
    <n v="86.85"/>
    <n v="0.05"/>
    <n v="165.01"/>
    <m/>
    <m/>
    <x v="3"/>
  </r>
  <r>
    <s v="K7-11318"/>
    <x v="264"/>
    <x v="7"/>
    <x v="2"/>
    <x v="1"/>
    <x v="0"/>
    <x v="3"/>
    <x v="15"/>
    <s v="Grace Okafor"/>
    <n v="8"/>
    <n v="100.7"/>
    <n v="0"/>
    <n v="805.6"/>
    <m/>
    <m/>
    <x v="5"/>
  </r>
  <r>
    <s v="K7-11319"/>
    <x v="154"/>
    <x v="27"/>
    <x v="2"/>
    <x v="3"/>
    <x v="0"/>
    <x v="5"/>
    <x v="17"/>
    <s v="Grace Okafor"/>
    <n v="2"/>
    <n v="197.93"/>
    <n v="0"/>
    <n v="395.86"/>
    <m/>
    <m/>
    <x v="2"/>
  </r>
  <r>
    <s v="K7-11320"/>
    <x v="85"/>
    <x v="13"/>
    <x v="0"/>
    <x v="0"/>
    <x v="1"/>
    <x v="0"/>
    <x v="21"/>
    <s v="Priya Nair"/>
    <n v="1"/>
    <n v="45.23"/>
    <n v="0"/>
    <n v="45.23"/>
    <m/>
    <m/>
    <x v="8"/>
  </r>
  <r>
    <s v="K7-11321"/>
    <x v="300"/>
    <x v="1"/>
    <x v="1"/>
    <x v="0"/>
    <x v="1"/>
    <x v="3"/>
    <x v="15"/>
    <s v="Ava Brooks"/>
    <n v="4"/>
    <n v="104.92"/>
    <n v="0"/>
    <n v="419.68"/>
    <m/>
    <m/>
    <x v="3"/>
  </r>
  <r>
    <s v="K7-11322"/>
    <x v="175"/>
    <x v="3"/>
    <x v="0"/>
    <x v="1"/>
    <x v="1"/>
    <x v="4"/>
    <x v="13"/>
    <s v="Marcus Reed"/>
    <n v="9"/>
    <n v="89.05"/>
    <n v="0"/>
    <n v="801.45"/>
    <m/>
    <m/>
    <x v="11"/>
  </r>
  <r>
    <s v="K7-11323"/>
    <x v="91"/>
    <x v="29"/>
    <x v="1"/>
    <x v="3"/>
    <x v="1"/>
    <x v="0"/>
    <x v="20"/>
    <s v="Grace Okafor"/>
    <n v="1"/>
    <n v="62.99"/>
    <n v="0"/>
    <n v="62.99"/>
    <m/>
    <m/>
    <x v="4"/>
  </r>
  <r>
    <s v="K7-11324"/>
    <x v="10"/>
    <x v="5"/>
    <x v="0"/>
    <x v="2"/>
    <x v="0"/>
    <x v="2"/>
    <x v="2"/>
    <s v="Priya Nair"/>
    <n v="10"/>
    <n v="26.78"/>
    <n v="0"/>
    <n v="267.8"/>
    <m/>
    <m/>
    <x v="5"/>
  </r>
  <r>
    <s v="K7-11325"/>
    <x v="296"/>
    <x v="16"/>
    <x v="0"/>
    <x v="0"/>
    <x v="0"/>
    <x v="2"/>
    <x v="2"/>
    <s v="Grace Okafor"/>
    <n v="1"/>
    <n v="27.89"/>
    <n v="0"/>
    <n v="27.89"/>
    <m/>
    <m/>
    <x v="6"/>
  </r>
  <r>
    <s v="K7-11326"/>
    <x v="27"/>
    <x v="20"/>
    <x v="3"/>
    <x v="2"/>
    <x v="1"/>
    <x v="1"/>
    <x v="1"/>
    <s v="Priya Nair"/>
    <n v="2"/>
    <n v="122.15"/>
    <n v="0"/>
    <n v="244.3"/>
    <m/>
    <m/>
    <x v="2"/>
  </r>
  <r>
    <s v="K7-11327"/>
    <x v="232"/>
    <x v="16"/>
    <x v="0"/>
    <x v="0"/>
    <x v="1"/>
    <x v="1"/>
    <x v="3"/>
    <s v="Grace Okafor"/>
    <n v="6"/>
    <n v="167.45"/>
    <n v="0"/>
    <n v="1004.7"/>
    <m/>
    <m/>
    <x v="0"/>
  </r>
  <r>
    <s v="K7-11328"/>
    <x v="139"/>
    <x v="15"/>
    <x v="1"/>
    <x v="2"/>
    <x v="0"/>
    <x v="0"/>
    <x v="21"/>
    <s v="Grace Okafor"/>
    <n v="2"/>
    <n v="47.16"/>
    <n v="0"/>
    <n v="94.32"/>
    <m/>
    <m/>
    <x v="7"/>
  </r>
  <r>
    <s v="K7-11329"/>
    <x v="354"/>
    <x v="20"/>
    <x v="3"/>
    <x v="0"/>
    <x v="1"/>
    <x v="3"/>
    <x v="4"/>
    <s v="Marcus Reed"/>
    <n v="2"/>
    <n v="135.41999999999999"/>
    <n v="0"/>
    <n v="270.83999999999997"/>
    <m/>
    <m/>
    <x v="3"/>
  </r>
  <r>
    <s v="K7-11330"/>
    <x v="301"/>
    <x v="2"/>
    <x v="2"/>
    <x v="0"/>
    <x v="0"/>
    <x v="4"/>
    <x v="11"/>
    <s v="Marcus Reed"/>
    <n v="8"/>
    <n v="86.35"/>
    <n v="0.05"/>
    <n v="656.26"/>
    <m/>
    <m/>
    <x v="1"/>
  </r>
  <r>
    <s v="K7-11331"/>
    <x v="247"/>
    <x v="1"/>
    <x v="1"/>
    <x v="1"/>
    <x v="0"/>
    <x v="2"/>
    <x v="16"/>
    <s v="Jonah Wright"/>
    <n v="6"/>
    <n v="65.260000000000005"/>
    <n v="0"/>
    <n v="391.56"/>
    <m/>
    <m/>
    <x v="2"/>
  </r>
  <r>
    <s v="K7-11332"/>
    <x v="51"/>
    <x v="7"/>
    <x v="2"/>
    <x v="1"/>
    <x v="0"/>
    <x v="2"/>
    <x v="2"/>
    <s v="Jonah Wright"/>
    <n v="1"/>
    <n v="25.63"/>
    <n v="0"/>
    <n v="25.63"/>
    <m/>
    <m/>
    <x v="3"/>
  </r>
  <r>
    <s v="K7-11333"/>
    <x v="261"/>
    <x v="4"/>
    <x v="3"/>
    <x v="0"/>
    <x v="0"/>
    <x v="3"/>
    <x v="4"/>
    <s v="Jonah Wright"/>
    <n v="1"/>
    <n v="140.65"/>
    <n v="0.15"/>
    <n v="119.55"/>
    <m/>
    <m/>
    <x v="11"/>
  </r>
  <r>
    <s v="K7-11334"/>
    <x v="262"/>
    <x v="7"/>
    <x v="2"/>
    <x v="3"/>
    <x v="1"/>
    <x v="3"/>
    <x v="15"/>
    <s v="Ava Brooks"/>
    <n v="5"/>
    <n v="91.35"/>
    <n v="0.2"/>
    <n v="365.4"/>
    <m/>
    <m/>
    <x v="8"/>
  </r>
  <r>
    <s v="K7-11335"/>
    <x v="21"/>
    <x v="13"/>
    <x v="0"/>
    <x v="3"/>
    <x v="0"/>
    <x v="2"/>
    <x v="19"/>
    <s v="Noor Haddad"/>
    <n v="1"/>
    <n v="50.01"/>
    <n v="0"/>
    <n v="50.01"/>
    <m/>
    <m/>
    <x v="9"/>
  </r>
  <r>
    <s v="K7-11336"/>
    <x v="6"/>
    <x v="2"/>
    <x v="2"/>
    <x v="0"/>
    <x v="0"/>
    <x v="0"/>
    <x v="20"/>
    <s v="Dylan Foster"/>
    <n v="3"/>
    <n v="68.31"/>
    <n v="0"/>
    <n v="204.93"/>
    <m/>
    <m/>
    <x v="4"/>
  </r>
  <r>
    <s v="K7-11337"/>
    <x v="232"/>
    <x v="13"/>
    <x v="0"/>
    <x v="1"/>
    <x v="1"/>
    <x v="3"/>
    <x v="10"/>
    <s v="Jonah Wright"/>
    <n v="2"/>
    <n v="116.4"/>
    <n v="0.2"/>
    <n v="186.24"/>
    <m/>
    <m/>
    <x v="0"/>
  </r>
  <r>
    <s v="K7-11338"/>
    <x v="138"/>
    <x v="6"/>
    <x v="2"/>
    <x v="2"/>
    <x v="1"/>
    <x v="1"/>
    <x v="8"/>
    <s v="Grace Okafor"/>
    <n v="2"/>
    <n v="237.12"/>
    <n v="0"/>
    <n v="474.24"/>
    <m/>
    <m/>
    <x v="1"/>
  </r>
  <r>
    <s v="K7-11339"/>
    <x v="290"/>
    <x v="1"/>
    <x v="1"/>
    <x v="0"/>
    <x v="1"/>
    <x v="1"/>
    <x v="12"/>
    <s v="Marcus Reed"/>
    <n v="6"/>
    <n v="318.56"/>
    <n v="0"/>
    <n v="1911.36"/>
    <m/>
    <m/>
    <x v="8"/>
  </r>
  <r>
    <s v="K7-11340"/>
    <x v="154"/>
    <x v="23"/>
    <x v="0"/>
    <x v="1"/>
    <x v="1"/>
    <x v="1"/>
    <x v="1"/>
    <s v="Elena Vargas"/>
    <n v="2"/>
    <n v="130.15"/>
    <n v="0.15"/>
    <n v="221.25"/>
    <m/>
    <m/>
    <x v="2"/>
  </r>
  <r>
    <s v="K7-11341"/>
    <x v="48"/>
    <x v="4"/>
    <x v="3"/>
    <x v="1"/>
    <x v="1"/>
    <x v="5"/>
    <x v="17"/>
    <s v="Dylan Foster"/>
    <n v="1"/>
    <n v="226.91"/>
    <n v="0.2"/>
    <n v="181.53"/>
    <m/>
    <m/>
    <x v="7"/>
  </r>
  <r>
    <s v="K7-11342"/>
    <x v="289"/>
    <x v="7"/>
    <x v="2"/>
    <x v="0"/>
    <x v="1"/>
    <x v="0"/>
    <x v="20"/>
    <s v="Elena Vargas"/>
    <n v="5"/>
    <n v="72.81"/>
    <n v="0"/>
    <n v="364.05"/>
    <m/>
    <m/>
    <x v="1"/>
  </r>
  <r>
    <s v="K7-11343"/>
    <x v="153"/>
    <x v="22"/>
    <x v="0"/>
    <x v="0"/>
    <x v="1"/>
    <x v="0"/>
    <x v="0"/>
    <s v="Ava Brooks"/>
    <n v="1"/>
    <n v="58.21"/>
    <n v="0.15"/>
    <n v="49.48"/>
    <m/>
    <m/>
    <x v="4"/>
  </r>
  <r>
    <s v="K7-11344"/>
    <x v="86"/>
    <x v="28"/>
    <x v="0"/>
    <x v="3"/>
    <x v="1"/>
    <x v="1"/>
    <x v="8"/>
    <s v="Priya Nair"/>
    <n v="5"/>
    <n v="251.09"/>
    <n v="0"/>
    <n v="1255.45"/>
    <m/>
    <m/>
    <x v="0"/>
  </r>
  <r>
    <s v="K7-11345"/>
    <x v="338"/>
    <x v="15"/>
    <x v="1"/>
    <x v="0"/>
    <x v="0"/>
    <x v="0"/>
    <x v="21"/>
    <s v="Jonah Wright"/>
    <n v="8"/>
    <n v="46.36"/>
    <n v="0"/>
    <n v="370.88"/>
    <m/>
    <m/>
    <x v="5"/>
  </r>
  <r>
    <s v="K7-11346"/>
    <x v="341"/>
    <x v="14"/>
    <x v="2"/>
    <x v="0"/>
    <x v="0"/>
    <x v="2"/>
    <x v="5"/>
    <s v="Marcus Reed"/>
    <n v="2"/>
    <n v="37.89"/>
    <n v="0.15"/>
    <n v="64.41"/>
    <m/>
    <m/>
    <x v="0"/>
  </r>
  <r>
    <s v="K7-11347"/>
    <x v="129"/>
    <x v="3"/>
    <x v="0"/>
    <x v="1"/>
    <x v="0"/>
    <x v="0"/>
    <x v="20"/>
    <s v="Marcus Reed"/>
    <n v="6"/>
    <n v="71.08"/>
    <n v="0"/>
    <n v="426.48"/>
    <m/>
    <m/>
    <x v="10"/>
  </r>
  <r>
    <s v="K7-11348"/>
    <x v="92"/>
    <x v="8"/>
    <x v="1"/>
    <x v="1"/>
    <x v="0"/>
    <x v="4"/>
    <x v="14"/>
    <s v="Grace Okafor"/>
    <n v="8"/>
    <n v="72.72"/>
    <n v="0"/>
    <n v="581.76"/>
    <m/>
    <m/>
    <x v="3"/>
  </r>
  <r>
    <s v="K7-11349"/>
    <x v="257"/>
    <x v="20"/>
    <x v="3"/>
    <x v="1"/>
    <x v="0"/>
    <x v="5"/>
    <x v="17"/>
    <s v="Elena Vargas"/>
    <n v="1"/>
    <n v="204.61"/>
    <n v="0.05"/>
    <n v="194.38"/>
    <m/>
    <m/>
    <x v="0"/>
  </r>
  <r>
    <s v="K7-11350"/>
    <x v="10"/>
    <x v="11"/>
    <x v="3"/>
    <x v="1"/>
    <x v="1"/>
    <x v="3"/>
    <x v="15"/>
    <s v="Noor Haddad"/>
    <n v="2"/>
    <n v="93.67"/>
    <n v="0.1"/>
    <n v="168.61"/>
    <m/>
    <m/>
    <x v="5"/>
  </r>
  <r>
    <s v="K7-11351"/>
    <x v="271"/>
    <x v="0"/>
    <x v="0"/>
    <x v="2"/>
    <x v="0"/>
    <x v="0"/>
    <x v="0"/>
    <s v="Marcus Reed"/>
    <n v="3"/>
    <n v="54.73"/>
    <n v="0.05"/>
    <n v="155.97999999999999"/>
    <m/>
    <m/>
    <x v="2"/>
  </r>
  <r>
    <s v="K7-11352"/>
    <x v="68"/>
    <x v="5"/>
    <x v="0"/>
    <x v="0"/>
    <x v="1"/>
    <x v="4"/>
    <x v="13"/>
    <s v="Grace Okafor"/>
    <n v="3"/>
    <n v="97.48"/>
    <n v="0"/>
    <n v="292.44"/>
    <m/>
    <m/>
    <x v="3"/>
  </r>
  <r>
    <s v="K7-11353"/>
    <x v="193"/>
    <x v="13"/>
    <x v="0"/>
    <x v="3"/>
    <x v="0"/>
    <x v="4"/>
    <x v="6"/>
    <s v="Elena Vargas"/>
    <n v="1"/>
    <n v="57.54"/>
    <n v="0"/>
    <n v="57.54"/>
    <m/>
    <m/>
    <x v="9"/>
  </r>
  <r>
    <s v="K7-11354"/>
    <x v="291"/>
    <x v="2"/>
    <x v="2"/>
    <x v="1"/>
    <x v="0"/>
    <x v="5"/>
    <x v="9"/>
    <s v="Grace Okafor"/>
    <n v="2"/>
    <n v="95.41"/>
    <n v="0"/>
    <n v="190.82"/>
    <m/>
    <m/>
    <x v="6"/>
  </r>
  <r>
    <s v="K7-11355"/>
    <x v="154"/>
    <x v="17"/>
    <x v="0"/>
    <x v="3"/>
    <x v="0"/>
    <x v="5"/>
    <x v="17"/>
    <s v="Elena Vargas"/>
    <n v="3"/>
    <n v="206.82"/>
    <n v="0"/>
    <n v="620.46"/>
    <m/>
    <m/>
    <x v="2"/>
  </r>
  <r>
    <s v="K7-11356"/>
    <x v="260"/>
    <x v="0"/>
    <x v="0"/>
    <x v="0"/>
    <x v="1"/>
    <x v="0"/>
    <x v="0"/>
    <s v="Grace Okafor"/>
    <n v="3"/>
    <n v="56.53"/>
    <n v="0"/>
    <n v="169.59"/>
    <m/>
    <m/>
    <x v="4"/>
  </r>
  <r>
    <s v="K7-11357"/>
    <x v="323"/>
    <x v="7"/>
    <x v="2"/>
    <x v="0"/>
    <x v="0"/>
    <x v="5"/>
    <x v="7"/>
    <s v="Elena Vargas"/>
    <n v="6"/>
    <n v="155.31"/>
    <n v="0"/>
    <n v="931.86"/>
    <m/>
    <m/>
    <x v="3"/>
  </r>
  <r>
    <s v="K7-11358"/>
    <x v="355"/>
    <x v="23"/>
    <x v="0"/>
    <x v="1"/>
    <x v="0"/>
    <x v="1"/>
    <x v="1"/>
    <s v="Marcus Reed"/>
    <n v="9"/>
    <n v="119.09"/>
    <n v="0.15"/>
    <n v="911.04"/>
    <m/>
    <m/>
    <x v="9"/>
  </r>
  <r>
    <s v="K7-11359"/>
    <x v="50"/>
    <x v="9"/>
    <x v="2"/>
    <x v="1"/>
    <x v="1"/>
    <x v="5"/>
    <x v="7"/>
    <s v="Noor Haddad"/>
    <n v="2"/>
    <n v="159.61000000000001"/>
    <n v="0"/>
    <n v="319.22000000000003"/>
    <m/>
    <m/>
    <x v="11"/>
  </r>
  <r>
    <s v="K7-11360"/>
    <x v="257"/>
    <x v="5"/>
    <x v="0"/>
    <x v="2"/>
    <x v="0"/>
    <x v="4"/>
    <x v="11"/>
    <s v="Jonah Wright"/>
    <n v="1"/>
    <n v="88.74"/>
    <n v="0.05"/>
    <n v="84.3"/>
    <m/>
    <m/>
    <x v="0"/>
  </r>
  <r>
    <s v="K7-11361"/>
    <x v="41"/>
    <x v="6"/>
    <x v="2"/>
    <x v="0"/>
    <x v="0"/>
    <x v="2"/>
    <x v="5"/>
    <s v="Elena Vargas"/>
    <n v="5"/>
    <n v="37.6"/>
    <n v="0"/>
    <n v="188"/>
    <m/>
    <m/>
    <x v="4"/>
  </r>
  <r>
    <s v="K7-11362"/>
    <x v="330"/>
    <x v="25"/>
    <x v="3"/>
    <x v="1"/>
    <x v="0"/>
    <x v="4"/>
    <x v="11"/>
    <s v="Noor Haddad"/>
    <n v="1"/>
    <n v="89.03"/>
    <n v="0"/>
    <n v="89.03"/>
    <m/>
    <m/>
    <x v="11"/>
  </r>
  <r>
    <s v="K7-11363"/>
    <x v="311"/>
    <x v="7"/>
    <x v="2"/>
    <x v="2"/>
    <x v="0"/>
    <x v="5"/>
    <x v="9"/>
    <s v="Ava Brooks"/>
    <n v="1"/>
    <n v="86.76"/>
    <n v="0"/>
    <n v="86.76"/>
    <m/>
    <m/>
    <x v="10"/>
  </r>
  <r>
    <s v="K7-11364"/>
    <x v="200"/>
    <x v="13"/>
    <x v="0"/>
    <x v="0"/>
    <x v="0"/>
    <x v="4"/>
    <x v="6"/>
    <s v="Priya Nair"/>
    <n v="5"/>
    <n v="54.85"/>
    <n v="0"/>
    <n v="274.25"/>
    <m/>
    <m/>
    <x v="0"/>
  </r>
  <r>
    <s v="K7-11365"/>
    <x v="193"/>
    <x v="5"/>
    <x v="0"/>
    <x v="0"/>
    <x v="0"/>
    <x v="3"/>
    <x v="4"/>
    <s v="Dylan Foster"/>
    <n v="2"/>
    <n v="135.49"/>
    <n v="0"/>
    <n v="270.98"/>
    <m/>
    <m/>
    <x v="9"/>
  </r>
  <r>
    <s v="K7-11366"/>
    <x v="29"/>
    <x v="0"/>
    <x v="0"/>
    <x v="0"/>
    <x v="0"/>
    <x v="5"/>
    <x v="9"/>
    <s v="Noor Haddad"/>
    <n v="2"/>
    <n v="82.52"/>
    <n v="0.3"/>
    <n v="115.53"/>
    <m/>
    <m/>
    <x v="11"/>
  </r>
  <r>
    <s v="K7-11367"/>
    <x v="20"/>
    <x v="1"/>
    <x v="1"/>
    <x v="3"/>
    <x v="1"/>
    <x v="0"/>
    <x v="18"/>
    <s v="Jonah Wright"/>
    <n v="1"/>
    <n v="31.44"/>
    <n v="0.2"/>
    <n v="25.15"/>
    <m/>
    <m/>
    <x v="5"/>
  </r>
  <r>
    <s v="K7-11368"/>
    <x v="351"/>
    <x v="7"/>
    <x v="2"/>
    <x v="1"/>
    <x v="0"/>
    <x v="4"/>
    <x v="6"/>
    <s v="Noor Haddad"/>
    <n v="1"/>
    <n v="57.24"/>
    <n v="0"/>
    <n v="57.24"/>
    <m/>
    <m/>
    <x v="7"/>
  </r>
  <r>
    <s v="K7-11369"/>
    <x v="189"/>
    <x v="17"/>
    <x v="0"/>
    <x v="0"/>
    <x v="0"/>
    <x v="4"/>
    <x v="13"/>
    <s v="Jonah Wright"/>
    <n v="1"/>
    <n v="89.18"/>
    <n v="0"/>
    <n v="89.18"/>
    <m/>
    <m/>
    <x v="11"/>
  </r>
  <r>
    <s v="K7-11370"/>
    <x v="299"/>
    <x v="20"/>
    <x v="3"/>
    <x v="1"/>
    <x v="0"/>
    <x v="4"/>
    <x v="6"/>
    <s v="Noor Haddad"/>
    <n v="1"/>
    <n v="53.37"/>
    <n v="0"/>
    <n v="53.37"/>
    <m/>
    <m/>
    <x v="5"/>
  </r>
  <r>
    <s v="K7-11371"/>
    <x v="176"/>
    <x v="17"/>
    <x v="0"/>
    <x v="0"/>
    <x v="0"/>
    <x v="3"/>
    <x v="10"/>
    <s v="Marcus Reed"/>
    <n v="1"/>
    <n v="126.07"/>
    <n v="0"/>
    <n v="126.07"/>
    <m/>
    <m/>
    <x v="5"/>
  </r>
  <r>
    <s v="K7-11372"/>
    <x v="326"/>
    <x v="7"/>
    <x v="2"/>
    <x v="0"/>
    <x v="1"/>
    <x v="0"/>
    <x v="20"/>
    <s v="Jonah Wright"/>
    <n v="1"/>
    <n v="72.489999999999995"/>
    <n v="0"/>
    <n v="72.489999999999995"/>
    <m/>
    <m/>
    <x v="11"/>
  </r>
  <r>
    <s v="K7-11373"/>
    <x v="222"/>
    <x v="7"/>
    <x v="2"/>
    <x v="2"/>
    <x v="0"/>
    <x v="5"/>
    <x v="17"/>
    <s v="Ava Brooks"/>
    <n v="1"/>
    <n v="230.06"/>
    <n v="0"/>
    <n v="230.06"/>
    <m/>
    <m/>
    <x v="5"/>
  </r>
  <r>
    <s v="K7-11374"/>
    <x v="346"/>
    <x v="4"/>
    <x v="3"/>
    <x v="0"/>
    <x v="1"/>
    <x v="4"/>
    <x v="14"/>
    <s v="Elena Vargas"/>
    <n v="2"/>
    <n v="72.8"/>
    <n v="0"/>
    <n v="145.6"/>
    <m/>
    <m/>
    <x v="10"/>
  </r>
  <r>
    <s v="K7-11375"/>
    <x v="287"/>
    <x v="13"/>
    <x v="0"/>
    <x v="1"/>
    <x v="1"/>
    <x v="1"/>
    <x v="8"/>
    <s v="Elena Vargas"/>
    <n v="4"/>
    <n v="228.45"/>
    <n v="0"/>
    <n v="913.8"/>
    <m/>
    <m/>
    <x v="2"/>
  </r>
  <r>
    <s v="K7-11376"/>
    <x v="245"/>
    <x v="16"/>
    <x v="0"/>
    <x v="0"/>
    <x v="0"/>
    <x v="3"/>
    <x v="4"/>
    <s v="Grace Okafor"/>
    <n v="3"/>
    <n v="137.22999999999999"/>
    <n v="0.2"/>
    <n v="329.35"/>
    <m/>
    <m/>
    <x v="1"/>
  </r>
  <r>
    <s v="K7-11377"/>
    <x v="226"/>
    <x v="7"/>
    <x v="2"/>
    <x v="0"/>
    <x v="0"/>
    <x v="5"/>
    <x v="7"/>
    <s v="Noor Haddad"/>
    <n v="1"/>
    <n v="158.54"/>
    <n v="0.05"/>
    <n v="150.61000000000001"/>
    <m/>
    <m/>
    <x v="3"/>
  </r>
  <r>
    <s v="K7-11378"/>
    <x v="294"/>
    <x v="5"/>
    <x v="0"/>
    <x v="0"/>
    <x v="1"/>
    <x v="5"/>
    <x v="7"/>
    <s v="Noor Haddad"/>
    <n v="1"/>
    <n v="161.01"/>
    <n v="0.1"/>
    <n v="144.91"/>
    <m/>
    <m/>
    <x v="7"/>
  </r>
  <r>
    <s v="K7-11379"/>
    <x v="172"/>
    <x v="20"/>
    <x v="3"/>
    <x v="2"/>
    <x v="0"/>
    <x v="0"/>
    <x v="18"/>
    <s v="Priya Nair"/>
    <n v="3"/>
    <n v="29.93"/>
    <n v="0"/>
    <n v="89.79"/>
    <m/>
    <m/>
    <x v="8"/>
  </r>
  <r>
    <s v="K7-11380"/>
    <x v="54"/>
    <x v="15"/>
    <x v="1"/>
    <x v="2"/>
    <x v="1"/>
    <x v="3"/>
    <x v="4"/>
    <s v="Grace Okafor"/>
    <n v="4"/>
    <n v="133.77000000000001"/>
    <n v="0"/>
    <n v="535.08000000000004"/>
    <m/>
    <m/>
    <x v="1"/>
  </r>
  <r>
    <s v="K7-11381"/>
    <x v="237"/>
    <x v="6"/>
    <x v="2"/>
    <x v="1"/>
    <x v="0"/>
    <x v="4"/>
    <x v="6"/>
    <s v="Noor Haddad"/>
    <n v="6"/>
    <n v="60.32"/>
    <n v="0"/>
    <n v="361.92"/>
    <m/>
    <m/>
    <x v="4"/>
  </r>
  <r>
    <s v="K7-11382"/>
    <x v="225"/>
    <x v="13"/>
    <x v="0"/>
    <x v="0"/>
    <x v="1"/>
    <x v="3"/>
    <x v="15"/>
    <s v="Grace Okafor"/>
    <n v="4"/>
    <n v="100.85"/>
    <n v="0"/>
    <n v="403.4"/>
    <m/>
    <m/>
    <x v="7"/>
  </r>
  <r>
    <s v="K7-11383"/>
    <x v="25"/>
    <x v="7"/>
    <x v="2"/>
    <x v="0"/>
    <x v="0"/>
    <x v="1"/>
    <x v="12"/>
    <s v="Grace Okafor"/>
    <n v="2"/>
    <n v="317.44"/>
    <n v="0"/>
    <n v="634.88"/>
    <m/>
    <m/>
    <x v="4"/>
  </r>
  <r>
    <s v="K7-11384"/>
    <x v="356"/>
    <x v="7"/>
    <x v="2"/>
    <x v="0"/>
    <x v="1"/>
    <x v="5"/>
    <x v="7"/>
    <s v="Priya Nair"/>
    <n v="2"/>
    <n v="146.63999999999999"/>
    <n v="0"/>
    <n v="293.27999999999997"/>
    <m/>
    <m/>
    <x v="7"/>
  </r>
  <r>
    <s v="K7-11385"/>
    <x v="198"/>
    <x v="20"/>
    <x v="3"/>
    <x v="1"/>
    <x v="0"/>
    <x v="2"/>
    <x v="16"/>
    <s v="Ava Brooks"/>
    <n v="6"/>
    <n v="62.16"/>
    <n v="0.05"/>
    <n v="354.31"/>
    <m/>
    <m/>
    <x v="2"/>
  </r>
  <r>
    <s v="K7-11386"/>
    <x v="320"/>
    <x v="13"/>
    <x v="0"/>
    <x v="3"/>
    <x v="0"/>
    <x v="5"/>
    <x v="9"/>
    <s v="Grace Okafor"/>
    <n v="2"/>
    <n v="89.87"/>
    <n v="0.3"/>
    <n v="125.82"/>
    <m/>
    <m/>
    <x v="6"/>
  </r>
  <r>
    <s v="K7-11387"/>
    <x v="184"/>
    <x v="7"/>
    <x v="2"/>
    <x v="3"/>
    <x v="1"/>
    <x v="4"/>
    <x v="11"/>
    <s v="Noor Haddad"/>
    <n v="15"/>
    <n v="87.33"/>
    <n v="0"/>
    <n v="1309.95"/>
    <m/>
    <m/>
    <x v="10"/>
  </r>
  <r>
    <s v="K7-11388"/>
    <x v="8"/>
    <x v="11"/>
    <x v="3"/>
    <x v="0"/>
    <x v="0"/>
    <x v="1"/>
    <x v="3"/>
    <s v="Ava Brooks"/>
    <n v="3"/>
    <n v="173.03"/>
    <n v="0.1"/>
    <n v="467.18"/>
    <m/>
    <m/>
    <x v="6"/>
  </r>
  <r>
    <s v="K7-11389"/>
    <x v="190"/>
    <x v="9"/>
    <x v="2"/>
    <x v="1"/>
    <x v="1"/>
    <x v="5"/>
    <x v="17"/>
    <s v="Jonah Wright"/>
    <n v="16"/>
    <n v="210.29"/>
    <n v="0"/>
    <n v="3364.64"/>
    <m/>
    <m/>
    <x v="6"/>
  </r>
  <r>
    <s v="K7-11390"/>
    <x v="100"/>
    <x v="20"/>
    <x v="3"/>
    <x v="1"/>
    <x v="1"/>
    <x v="4"/>
    <x v="14"/>
    <s v="Ava Brooks"/>
    <n v="1"/>
    <n v="75.290000000000006"/>
    <n v="0.05"/>
    <n v="71.53"/>
    <m/>
    <m/>
    <x v="5"/>
  </r>
  <r>
    <s v="K7-11391"/>
    <x v="88"/>
    <x v="9"/>
    <x v="2"/>
    <x v="3"/>
    <x v="0"/>
    <x v="3"/>
    <x v="10"/>
    <s v="Priya Nair"/>
    <n v="9"/>
    <n v="113.86"/>
    <n v="0"/>
    <n v="1024.74"/>
    <m/>
    <m/>
    <x v="6"/>
  </r>
  <r>
    <s v="K7-11392"/>
    <x v="108"/>
    <x v="7"/>
    <x v="2"/>
    <x v="0"/>
    <x v="1"/>
    <x v="4"/>
    <x v="6"/>
    <s v="Jonah Wright"/>
    <n v="3"/>
    <n v="61.9"/>
    <n v="0"/>
    <n v="185.7"/>
    <m/>
    <m/>
    <x v="6"/>
  </r>
  <r>
    <s v="K7-11393"/>
    <x v="269"/>
    <x v="9"/>
    <x v="2"/>
    <x v="0"/>
    <x v="0"/>
    <x v="1"/>
    <x v="12"/>
    <s v="Grace Okafor"/>
    <n v="2"/>
    <n v="281.13"/>
    <n v="0"/>
    <n v="562.26"/>
    <m/>
    <m/>
    <x v="6"/>
  </r>
  <r>
    <s v="K7-11394"/>
    <x v="34"/>
    <x v="5"/>
    <x v="0"/>
    <x v="0"/>
    <x v="1"/>
    <x v="4"/>
    <x v="14"/>
    <s v="Priya Nair"/>
    <n v="14"/>
    <n v="70.38"/>
    <n v="0"/>
    <n v="985.32"/>
    <m/>
    <m/>
    <x v="4"/>
  </r>
  <r>
    <s v="K7-11395"/>
    <x v="43"/>
    <x v="1"/>
    <x v="1"/>
    <x v="0"/>
    <x v="0"/>
    <x v="0"/>
    <x v="20"/>
    <s v="Ava Brooks"/>
    <n v="4"/>
    <n v="64.22"/>
    <n v="0"/>
    <n v="256.88"/>
    <m/>
    <m/>
    <x v="5"/>
  </r>
  <r>
    <s v="K7-11396"/>
    <x v="149"/>
    <x v="3"/>
    <x v="0"/>
    <x v="0"/>
    <x v="1"/>
    <x v="1"/>
    <x v="3"/>
    <s v="Ava Brooks"/>
    <n v="1"/>
    <n v="173.44"/>
    <n v="0.05"/>
    <n v="164.77"/>
    <m/>
    <m/>
    <x v="2"/>
  </r>
  <r>
    <s v="K7-11397"/>
    <x v="357"/>
    <x v="20"/>
    <x v="3"/>
    <x v="3"/>
    <x v="1"/>
    <x v="5"/>
    <x v="17"/>
    <s v="Jonah Wright"/>
    <n v="1"/>
    <n v="205.8"/>
    <n v="0"/>
    <n v="205.8"/>
    <m/>
    <m/>
    <x v="0"/>
  </r>
  <r>
    <s v="K7-11398"/>
    <x v="247"/>
    <x v="3"/>
    <x v="0"/>
    <x v="1"/>
    <x v="0"/>
    <x v="0"/>
    <x v="0"/>
    <s v="Elena Vargas"/>
    <n v="8"/>
    <n v="49.82"/>
    <n v="0"/>
    <n v="398.56"/>
    <m/>
    <m/>
    <x v="2"/>
  </r>
  <r>
    <s v="K7-11399"/>
    <x v="184"/>
    <x v="5"/>
    <x v="0"/>
    <x v="1"/>
    <x v="1"/>
    <x v="1"/>
    <x v="1"/>
    <s v="Noor Haddad"/>
    <n v="1"/>
    <n v="119.67"/>
    <n v="0"/>
    <n v="119.67"/>
    <m/>
    <m/>
    <x v="10"/>
  </r>
  <r>
    <s v="K7-11400"/>
    <x v="107"/>
    <x v="15"/>
    <x v="1"/>
    <x v="1"/>
    <x v="1"/>
    <x v="5"/>
    <x v="17"/>
    <s v="Marcus Reed"/>
    <n v="1"/>
    <n v="224.79"/>
    <n v="0"/>
    <n v="224.79"/>
    <m/>
    <m/>
    <x v="8"/>
  </r>
  <r>
    <s v="K7-11401"/>
    <x v="328"/>
    <x v="24"/>
    <x v="2"/>
    <x v="1"/>
    <x v="1"/>
    <x v="5"/>
    <x v="9"/>
    <s v="Jonah Wright"/>
    <n v="2"/>
    <n v="89.02"/>
    <n v="0.05"/>
    <n v="169.14"/>
    <m/>
    <m/>
    <x v="9"/>
  </r>
  <r>
    <s v="K7-11402"/>
    <x v="277"/>
    <x v="7"/>
    <x v="2"/>
    <x v="1"/>
    <x v="0"/>
    <x v="0"/>
    <x v="20"/>
    <s v="Grace Okafor"/>
    <n v="2"/>
    <n v="72.900000000000006"/>
    <n v="0"/>
    <n v="145.80000000000001"/>
    <m/>
    <m/>
    <x v="11"/>
  </r>
  <r>
    <s v="K7-11403"/>
    <x v="340"/>
    <x v="21"/>
    <x v="0"/>
    <x v="3"/>
    <x v="1"/>
    <x v="5"/>
    <x v="17"/>
    <s v="Dylan Foster"/>
    <n v="1"/>
    <n v="206.09"/>
    <n v="0.3"/>
    <n v="144.26"/>
    <m/>
    <m/>
    <x v="7"/>
  </r>
  <r>
    <s v="K7-11404"/>
    <x v="278"/>
    <x v="16"/>
    <x v="0"/>
    <x v="3"/>
    <x v="0"/>
    <x v="5"/>
    <x v="17"/>
    <s v="Dylan Foster"/>
    <n v="4"/>
    <n v="221.75"/>
    <n v="0.05"/>
    <n v="842.65"/>
    <m/>
    <m/>
    <x v="3"/>
  </r>
  <r>
    <s v="K7-11405"/>
    <x v="29"/>
    <x v="24"/>
    <x v="2"/>
    <x v="1"/>
    <x v="1"/>
    <x v="4"/>
    <x v="6"/>
    <s v="Ava Brooks"/>
    <n v="2"/>
    <n v="61.73"/>
    <n v="0"/>
    <n v="123.46"/>
    <m/>
    <m/>
    <x v="11"/>
  </r>
  <r>
    <s v="K7-11406"/>
    <x v="169"/>
    <x v="26"/>
    <x v="2"/>
    <x v="0"/>
    <x v="1"/>
    <x v="1"/>
    <x v="8"/>
    <s v="Grace Okafor"/>
    <n v="1"/>
    <n v="232.63"/>
    <n v="0"/>
    <n v="232.63"/>
    <m/>
    <m/>
    <x v="6"/>
  </r>
  <r>
    <s v="K7-11407"/>
    <x v="158"/>
    <x v="3"/>
    <x v="0"/>
    <x v="0"/>
    <x v="1"/>
    <x v="0"/>
    <x v="18"/>
    <s v="Ava Brooks"/>
    <n v="2"/>
    <n v="32.450000000000003"/>
    <n v="0.1"/>
    <n v="58.41"/>
    <m/>
    <m/>
    <x v="8"/>
  </r>
  <r>
    <s v="K7-11408"/>
    <x v="2"/>
    <x v="5"/>
    <x v="0"/>
    <x v="3"/>
    <x v="1"/>
    <x v="2"/>
    <x v="16"/>
    <s v="Marcus Reed"/>
    <n v="13"/>
    <n v="59.2"/>
    <n v="0"/>
    <n v="769.6"/>
    <m/>
    <m/>
    <x v="0"/>
  </r>
  <r>
    <s v="K7-11409"/>
    <x v="340"/>
    <x v="0"/>
    <x v="0"/>
    <x v="0"/>
    <x v="0"/>
    <x v="0"/>
    <x v="18"/>
    <s v="Dylan Foster"/>
    <n v="4"/>
    <n v="33.159999999999997"/>
    <n v="0"/>
    <n v="132.63999999999999"/>
    <m/>
    <m/>
    <x v="7"/>
  </r>
  <r>
    <s v="K7-11410"/>
    <x v="68"/>
    <x v="13"/>
    <x v="0"/>
    <x v="3"/>
    <x v="1"/>
    <x v="0"/>
    <x v="18"/>
    <s v="Marcus Reed"/>
    <n v="2"/>
    <n v="34"/>
    <n v="0"/>
    <n v="68"/>
    <m/>
    <m/>
    <x v="3"/>
  </r>
  <r>
    <s v="K7-11411"/>
    <x v="63"/>
    <x v="29"/>
    <x v="1"/>
    <x v="0"/>
    <x v="0"/>
    <x v="4"/>
    <x v="11"/>
    <s v="Marcus Reed"/>
    <n v="15"/>
    <n v="84.04"/>
    <n v="0.05"/>
    <n v="1197.57"/>
    <m/>
    <m/>
    <x v="3"/>
  </r>
  <r>
    <s v="K7-11412"/>
    <x v="134"/>
    <x v="18"/>
    <x v="3"/>
    <x v="1"/>
    <x v="1"/>
    <x v="1"/>
    <x v="1"/>
    <s v="Marcus Reed"/>
    <n v="3"/>
    <n v="125.3"/>
    <n v="0.1"/>
    <n v="338.31"/>
    <m/>
    <m/>
    <x v="1"/>
  </r>
  <r>
    <s v="K7-11413"/>
    <x v="143"/>
    <x v="10"/>
    <x v="3"/>
    <x v="0"/>
    <x v="0"/>
    <x v="1"/>
    <x v="8"/>
    <s v="Grace Okafor"/>
    <n v="4"/>
    <n v="245.37"/>
    <n v="0"/>
    <n v="981.48"/>
    <m/>
    <m/>
    <x v="10"/>
  </r>
  <r>
    <s v="K7-11414"/>
    <x v="39"/>
    <x v="4"/>
    <x v="3"/>
    <x v="0"/>
    <x v="0"/>
    <x v="2"/>
    <x v="19"/>
    <s v="Ava Brooks"/>
    <n v="18"/>
    <n v="48.85"/>
    <n v="0"/>
    <n v="879.3"/>
    <m/>
    <m/>
    <x v="5"/>
  </r>
  <r>
    <s v="K7-11415"/>
    <x v="322"/>
    <x v="29"/>
    <x v="1"/>
    <x v="1"/>
    <x v="1"/>
    <x v="1"/>
    <x v="8"/>
    <s v="Elena Vargas"/>
    <n v="16"/>
    <n v="243.23"/>
    <n v="0.1"/>
    <n v="3502.51"/>
    <m/>
    <m/>
    <x v="6"/>
  </r>
  <r>
    <s v="K7-11416"/>
    <x v="149"/>
    <x v="20"/>
    <x v="3"/>
    <x v="0"/>
    <x v="1"/>
    <x v="4"/>
    <x v="14"/>
    <s v="Ava Brooks"/>
    <n v="14"/>
    <n v="71.709999999999994"/>
    <n v="0"/>
    <n v="1003.94"/>
    <m/>
    <m/>
    <x v="2"/>
  </r>
  <r>
    <s v="K7-11417"/>
    <x v="229"/>
    <x v="0"/>
    <x v="0"/>
    <x v="0"/>
    <x v="1"/>
    <x v="0"/>
    <x v="0"/>
    <s v="Elena Vargas"/>
    <n v="3"/>
    <n v="51.23"/>
    <n v="0.1"/>
    <n v="138.32"/>
    <m/>
    <m/>
    <x v="9"/>
  </r>
  <r>
    <s v="K7-11418"/>
    <x v="158"/>
    <x v="0"/>
    <x v="0"/>
    <x v="0"/>
    <x v="0"/>
    <x v="0"/>
    <x v="18"/>
    <s v="Marcus Reed"/>
    <n v="2"/>
    <n v="32.25"/>
    <n v="0"/>
    <n v="64.5"/>
    <m/>
    <m/>
    <x v="8"/>
  </r>
  <r>
    <s v="K7-11419"/>
    <x v="229"/>
    <x v="3"/>
    <x v="0"/>
    <x v="0"/>
    <x v="1"/>
    <x v="0"/>
    <x v="0"/>
    <s v="Priya Nair"/>
    <n v="1"/>
    <n v="52.87"/>
    <n v="0"/>
    <n v="52.87"/>
    <m/>
    <m/>
    <x v="9"/>
  </r>
  <r>
    <s v="K7-11420"/>
    <x v="347"/>
    <x v="7"/>
    <x v="2"/>
    <x v="1"/>
    <x v="1"/>
    <x v="2"/>
    <x v="5"/>
    <s v="Elena Vargas"/>
    <n v="1"/>
    <n v="37.15"/>
    <n v="0.05"/>
    <n v="35.29"/>
    <m/>
    <m/>
    <x v="8"/>
  </r>
  <r>
    <s v="K7-11421"/>
    <x v="358"/>
    <x v="3"/>
    <x v="0"/>
    <x v="0"/>
    <x v="0"/>
    <x v="1"/>
    <x v="12"/>
    <s v="Grace Okafor"/>
    <n v="1"/>
    <n v="282.08"/>
    <n v="0.05"/>
    <n v="267.98"/>
    <m/>
    <m/>
    <x v="5"/>
  </r>
  <r>
    <s v="K7-11422"/>
    <x v="331"/>
    <x v="29"/>
    <x v="1"/>
    <x v="3"/>
    <x v="0"/>
    <x v="4"/>
    <x v="11"/>
    <s v="Marcus Reed"/>
    <n v="1"/>
    <n v="81.13"/>
    <n v="0"/>
    <n v="81.13"/>
    <m/>
    <m/>
    <x v="4"/>
  </r>
  <r>
    <s v="K7-11423"/>
    <x v="105"/>
    <x v="19"/>
    <x v="1"/>
    <x v="1"/>
    <x v="1"/>
    <x v="1"/>
    <x v="8"/>
    <s v="Noor Haddad"/>
    <n v="5"/>
    <n v="241.26"/>
    <n v="0"/>
    <n v="1206.3"/>
    <m/>
    <m/>
    <x v="11"/>
  </r>
  <r>
    <s v="K7-11424"/>
    <x v="159"/>
    <x v="10"/>
    <x v="3"/>
    <x v="0"/>
    <x v="0"/>
    <x v="3"/>
    <x v="10"/>
    <s v="Jonah Wright"/>
    <n v="3"/>
    <n v="112.69"/>
    <n v="0"/>
    <n v="338.07"/>
    <m/>
    <m/>
    <x v="10"/>
  </r>
  <r>
    <s v="K7-11425"/>
    <x v="46"/>
    <x v="28"/>
    <x v="0"/>
    <x v="1"/>
    <x v="1"/>
    <x v="5"/>
    <x v="9"/>
    <s v="Grace Okafor"/>
    <n v="5"/>
    <n v="84.78"/>
    <n v="0.15"/>
    <n v="360.31"/>
    <m/>
    <m/>
    <x v="4"/>
  </r>
  <r>
    <s v="K7-11426"/>
    <x v="305"/>
    <x v="25"/>
    <x v="3"/>
    <x v="0"/>
    <x v="0"/>
    <x v="3"/>
    <x v="15"/>
    <s v="Noor Haddad"/>
    <n v="4"/>
    <n v="92.52"/>
    <n v="0"/>
    <n v="370.08"/>
    <m/>
    <m/>
    <x v="6"/>
  </r>
  <r>
    <s v="K7-11427"/>
    <x v="66"/>
    <x v="20"/>
    <x v="3"/>
    <x v="0"/>
    <x v="1"/>
    <x v="1"/>
    <x v="8"/>
    <s v="Priya Nair"/>
    <n v="4"/>
    <n v="230.45"/>
    <n v="0"/>
    <n v="921.8"/>
    <m/>
    <m/>
    <x v="9"/>
  </r>
  <r>
    <s v="K7-11428"/>
    <x v="154"/>
    <x v="5"/>
    <x v="0"/>
    <x v="1"/>
    <x v="1"/>
    <x v="2"/>
    <x v="2"/>
    <s v="Elena Vargas"/>
    <n v="1"/>
    <n v="25.06"/>
    <n v="0"/>
    <n v="25.06"/>
    <m/>
    <m/>
    <x v="2"/>
  </r>
  <r>
    <s v="K7-11429"/>
    <x v="153"/>
    <x v="19"/>
    <x v="1"/>
    <x v="2"/>
    <x v="0"/>
    <x v="4"/>
    <x v="13"/>
    <s v="Noor Haddad"/>
    <n v="2"/>
    <n v="91.53"/>
    <n v="0"/>
    <n v="183.06"/>
    <m/>
    <m/>
    <x v="4"/>
  </r>
  <r>
    <s v="K7-11430"/>
    <x v="268"/>
    <x v="19"/>
    <x v="1"/>
    <x v="0"/>
    <x v="1"/>
    <x v="1"/>
    <x v="12"/>
    <s v="Ava Brooks"/>
    <n v="10"/>
    <n v="285.64999999999998"/>
    <n v="0.05"/>
    <n v="2713.67"/>
    <m/>
    <m/>
    <x v="1"/>
  </r>
  <r>
    <s v="K7-11431"/>
    <x v="130"/>
    <x v="12"/>
    <x v="3"/>
    <x v="3"/>
    <x v="1"/>
    <x v="3"/>
    <x v="15"/>
    <s v="Dylan Foster"/>
    <n v="1"/>
    <n v="95.21"/>
    <n v="0.3"/>
    <n v="66.650000000000006"/>
    <m/>
    <m/>
    <x v="9"/>
  </r>
  <r>
    <s v="K7-11432"/>
    <x v="340"/>
    <x v="10"/>
    <x v="3"/>
    <x v="1"/>
    <x v="0"/>
    <x v="1"/>
    <x v="8"/>
    <s v="Priya Nair"/>
    <n v="4"/>
    <n v="241.99"/>
    <n v="0.15"/>
    <n v="822.77"/>
    <m/>
    <m/>
    <x v="7"/>
  </r>
  <r>
    <s v="K7-11433"/>
    <x v="264"/>
    <x v="0"/>
    <x v="0"/>
    <x v="3"/>
    <x v="0"/>
    <x v="0"/>
    <x v="0"/>
    <s v="Dylan Foster"/>
    <n v="1"/>
    <n v="54.23"/>
    <n v="0.1"/>
    <n v="48.81"/>
    <m/>
    <m/>
    <x v="5"/>
  </r>
  <r>
    <s v="K7-11434"/>
    <x v="226"/>
    <x v="29"/>
    <x v="1"/>
    <x v="3"/>
    <x v="0"/>
    <x v="1"/>
    <x v="12"/>
    <s v="Jonah Wright"/>
    <n v="3"/>
    <n v="284.27999999999997"/>
    <n v="0"/>
    <n v="852.84"/>
    <m/>
    <m/>
    <x v="3"/>
  </r>
  <r>
    <s v="K7-11435"/>
    <x v="145"/>
    <x v="25"/>
    <x v="3"/>
    <x v="3"/>
    <x v="0"/>
    <x v="2"/>
    <x v="16"/>
    <s v="Marcus Reed"/>
    <n v="5"/>
    <n v="63.31"/>
    <n v="0.1"/>
    <n v="284.89999999999998"/>
    <m/>
    <m/>
    <x v="3"/>
  </r>
  <r>
    <s v="K7-11436"/>
    <x v="299"/>
    <x v="29"/>
    <x v="1"/>
    <x v="1"/>
    <x v="1"/>
    <x v="5"/>
    <x v="17"/>
    <s v="Dylan Foster"/>
    <n v="2"/>
    <n v="211.01"/>
    <n v="0"/>
    <n v="422.02"/>
    <m/>
    <m/>
    <x v="5"/>
  </r>
  <r>
    <s v="K7-11437"/>
    <x v="57"/>
    <x v="29"/>
    <x v="1"/>
    <x v="3"/>
    <x v="1"/>
    <x v="0"/>
    <x v="20"/>
    <s v="Marcus Reed"/>
    <n v="2"/>
    <n v="63.11"/>
    <n v="0"/>
    <n v="126.22"/>
    <m/>
    <m/>
    <x v="1"/>
  </r>
  <r>
    <s v="K7-11438"/>
    <x v="314"/>
    <x v="21"/>
    <x v="0"/>
    <x v="1"/>
    <x v="0"/>
    <x v="2"/>
    <x v="2"/>
    <s v="Grace Okafor"/>
    <n v="1"/>
    <n v="26.52"/>
    <n v="0"/>
    <n v="26.52"/>
    <m/>
    <m/>
    <x v="9"/>
  </r>
  <r>
    <s v="K7-11439"/>
    <x v="63"/>
    <x v="20"/>
    <x v="3"/>
    <x v="1"/>
    <x v="0"/>
    <x v="1"/>
    <x v="1"/>
    <s v="Marcus Reed"/>
    <n v="6"/>
    <n v="137.49"/>
    <n v="0.2"/>
    <n v="659.95"/>
    <m/>
    <m/>
    <x v="3"/>
  </r>
  <r>
    <s v="K7-11440"/>
    <x v="140"/>
    <x v="28"/>
    <x v="0"/>
    <x v="1"/>
    <x v="0"/>
    <x v="4"/>
    <x v="14"/>
    <s v="Priya Nair"/>
    <n v="2"/>
    <n v="79.459999999999994"/>
    <n v="0"/>
    <n v="158.91999999999999"/>
    <m/>
    <m/>
    <x v="2"/>
  </r>
  <r>
    <s v="K7-11441"/>
    <x v="358"/>
    <x v="8"/>
    <x v="1"/>
    <x v="1"/>
    <x v="1"/>
    <x v="4"/>
    <x v="11"/>
    <s v="Jonah Wright"/>
    <n v="2"/>
    <n v="82.71"/>
    <n v="0.05"/>
    <n v="157.15"/>
    <m/>
    <m/>
    <x v="5"/>
  </r>
  <r>
    <s v="K7-11442"/>
    <x v="189"/>
    <x v="3"/>
    <x v="0"/>
    <x v="1"/>
    <x v="1"/>
    <x v="2"/>
    <x v="16"/>
    <s v="Dylan Foster"/>
    <n v="12"/>
    <n v="57.7"/>
    <n v="0.2"/>
    <n v="553.91999999999996"/>
    <m/>
    <m/>
    <x v="11"/>
  </r>
  <r>
    <s v="K7-11443"/>
    <x v="289"/>
    <x v="19"/>
    <x v="1"/>
    <x v="0"/>
    <x v="1"/>
    <x v="1"/>
    <x v="12"/>
    <s v="Jonah Wright"/>
    <n v="4"/>
    <n v="295.61"/>
    <n v="0"/>
    <n v="1182.44"/>
    <m/>
    <m/>
    <x v="1"/>
  </r>
  <r>
    <s v="K7-11444"/>
    <x v="342"/>
    <x v="7"/>
    <x v="2"/>
    <x v="3"/>
    <x v="0"/>
    <x v="4"/>
    <x v="11"/>
    <s v="Elena Vargas"/>
    <n v="1"/>
    <n v="82.13"/>
    <n v="0"/>
    <n v="82.13"/>
    <m/>
    <m/>
    <x v="5"/>
  </r>
  <r>
    <s v="K7-11445"/>
    <x v="222"/>
    <x v="22"/>
    <x v="0"/>
    <x v="0"/>
    <x v="0"/>
    <x v="5"/>
    <x v="9"/>
    <s v="Elena Vargas"/>
    <n v="8"/>
    <n v="84.3"/>
    <n v="0.2"/>
    <n v="539.52"/>
    <m/>
    <m/>
    <x v="5"/>
  </r>
  <r>
    <s v="K7-11446"/>
    <x v="19"/>
    <x v="17"/>
    <x v="0"/>
    <x v="0"/>
    <x v="1"/>
    <x v="5"/>
    <x v="7"/>
    <s v="Noor Haddad"/>
    <n v="10"/>
    <n v="160.82"/>
    <n v="0"/>
    <n v="1608.2"/>
    <m/>
    <m/>
    <x v="1"/>
  </r>
  <r>
    <s v="K7-11447"/>
    <x v="76"/>
    <x v="20"/>
    <x v="3"/>
    <x v="3"/>
    <x v="1"/>
    <x v="4"/>
    <x v="6"/>
    <s v="Elena Vargas"/>
    <n v="2"/>
    <n v="60.69"/>
    <n v="0"/>
    <n v="121.38"/>
    <m/>
    <m/>
    <x v="4"/>
  </r>
  <r>
    <s v="K7-11448"/>
    <x v="318"/>
    <x v="17"/>
    <x v="0"/>
    <x v="0"/>
    <x v="0"/>
    <x v="3"/>
    <x v="4"/>
    <s v="Jonah Wright"/>
    <n v="3"/>
    <n v="128.04"/>
    <n v="0"/>
    <n v="384.12"/>
    <m/>
    <m/>
    <x v="6"/>
  </r>
  <r>
    <s v="K7-11449"/>
    <x v="276"/>
    <x v="3"/>
    <x v="0"/>
    <x v="0"/>
    <x v="0"/>
    <x v="3"/>
    <x v="15"/>
    <s v="Priya Nair"/>
    <n v="6"/>
    <n v="101.94"/>
    <n v="0.1"/>
    <n v="550.48"/>
    <m/>
    <m/>
    <x v="6"/>
  </r>
  <r>
    <s v="K7-11450"/>
    <x v="65"/>
    <x v="1"/>
    <x v="1"/>
    <x v="0"/>
    <x v="0"/>
    <x v="2"/>
    <x v="5"/>
    <s v="Noor Haddad"/>
    <n v="2"/>
    <n v="38.44"/>
    <n v="0"/>
    <n v="76.88"/>
    <m/>
    <m/>
    <x v="4"/>
  </r>
  <r>
    <s v="K7-11451"/>
    <x v="269"/>
    <x v="20"/>
    <x v="3"/>
    <x v="0"/>
    <x v="0"/>
    <x v="0"/>
    <x v="0"/>
    <s v="Grace Okafor"/>
    <n v="5"/>
    <n v="50.61"/>
    <n v="0"/>
    <n v="253.05"/>
    <m/>
    <m/>
    <x v="6"/>
  </r>
  <r>
    <s v="K7-11452"/>
    <x v="314"/>
    <x v="14"/>
    <x v="2"/>
    <x v="1"/>
    <x v="1"/>
    <x v="5"/>
    <x v="9"/>
    <s v="Elena Vargas"/>
    <n v="1"/>
    <n v="84.13"/>
    <n v="0"/>
    <n v="84.13"/>
    <m/>
    <m/>
    <x v="9"/>
  </r>
  <r>
    <s v="K7-11453"/>
    <x v="32"/>
    <x v="25"/>
    <x v="3"/>
    <x v="1"/>
    <x v="1"/>
    <x v="0"/>
    <x v="21"/>
    <s v="Jonah Wright"/>
    <n v="2"/>
    <n v="42.59"/>
    <n v="0.05"/>
    <n v="80.92"/>
    <m/>
    <m/>
    <x v="9"/>
  </r>
  <r>
    <s v="K7-11454"/>
    <x v="147"/>
    <x v="20"/>
    <x v="3"/>
    <x v="0"/>
    <x v="1"/>
    <x v="0"/>
    <x v="21"/>
    <s v="Noor Haddad"/>
    <n v="3"/>
    <n v="44.05"/>
    <n v="0"/>
    <n v="132.15"/>
    <m/>
    <m/>
    <x v="4"/>
  </r>
  <r>
    <s v="K7-11455"/>
    <x v="128"/>
    <x v="8"/>
    <x v="1"/>
    <x v="0"/>
    <x v="0"/>
    <x v="4"/>
    <x v="14"/>
    <s v="Ava Brooks"/>
    <n v="1"/>
    <n v="72.61"/>
    <n v="0"/>
    <n v="72.61"/>
    <m/>
    <m/>
    <x v="7"/>
  </r>
  <r>
    <s v="K7-11456"/>
    <x v="8"/>
    <x v="11"/>
    <x v="3"/>
    <x v="2"/>
    <x v="0"/>
    <x v="4"/>
    <x v="11"/>
    <s v="Ava Brooks"/>
    <n v="2"/>
    <n v="89.9"/>
    <n v="0"/>
    <n v="179.8"/>
    <m/>
    <m/>
    <x v="6"/>
  </r>
  <r>
    <s v="K7-11457"/>
    <x v="169"/>
    <x v="13"/>
    <x v="0"/>
    <x v="3"/>
    <x v="1"/>
    <x v="0"/>
    <x v="21"/>
    <s v="Priya Nair"/>
    <n v="1"/>
    <n v="48.05"/>
    <n v="0"/>
    <n v="48.05"/>
    <m/>
    <m/>
    <x v="6"/>
  </r>
  <r>
    <s v="K7-11458"/>
    <x v="145"/>
    <x v="14"/>
    <x v="2"/>
    <x v="3"/>
    <x v="1"/>
    <x v="0"/>
    <x v="21"/>
    <s v="Noor Haddad"/>
    <n v="11"/>
    <n v="43.92"/>
    <n v="0.05"/>
    <n v="458.96"/>
    <m/>
    <m/>
    <x v="3"/>
  </r>
  <r>
    <s v="K7-11459"/>
    <x v="145"/>
    <x v="8"/>
    <x v="1"/>
    <x v="1"/>
    <x v="0"/>
    <x v="0"/>
    <x v="21"/>
    <s v="Jonah Wright"/>
    <n v="2"/>
    <n v="44.16"/>
    <n v="0"/>
    <n v="88.32"/>
    <m/>
    <m/>
    <x v="3"/>
  </r>
  <r>
    <s v="K7-11460"/>
    <x v="121"/>
    <x v="1"/>
    <x v="1"/>
    <x v="2"/>
    <x v="0"/>
    <x v="2"/>
    <x v="16"/>
    <s v="Ava Brooks"/>
    <n v="4"/>
    <n v="66.3"/>
    <n v="0"/>
    <n v="265.2"/>
    <m/>
    <m/>
    <x v="10"/>
  </r>
  <r>
    <s v="K7-11461"/>
    <x v="254"/>
    <x v="2"/>
    <x v="2"/>
    <x v="0"/>
    <x v="1"/>
    <x v="0"/>
    <x v="21"/>
    <s v="Dylan Foster"/>
    <n v="1"/>
    <n v="43.85"/>
    <n v="0.1"/>
    <n v="39.47"/>
    <m/>
    <m/>
    <x v="8"/>
  </r>
  <r>
    <s v="K7-11462"/>
    <x v="144"/>
    <x v="5"/>
    <x v="0"/>
    <x v="3"/>
    <x v="0"/>
    <x v="0"/>
    <x v="18"/>
    <s v="Marcus Reed"/>
    <n v="2"/>
    <n v="29.69"/>
    <n v="0"/>
    <n v="59.38"/>
    <m/>
    <m/>
    <x v="11"/>
  </r>
  <r>
    <s v="K7-11463"/>
    <x v="55"/>
    <x v="9"/>
    <x v="2"/>
    <x v="0"/>
    <x v="0"/>
    <x v="2"/>
    <x v="5"/>
    <s v="Noor Haddad"/>
    <n v="1"/>
    <n v="38.93"/>
    <n v="0"/>
    <n v="38.93"/>
    <m/>
    <m/>
    <x v="11"/>
  </r>
  <r>
    <s v="K7-11464"/>
    <x v="118"/>
    <x v="3"/>
    <x v="0"/>
    <x v="1"/>
    <x v="0"/>
    <x v="1"/>
    <x v="12"/>
    <s v="Priya Nair"/>
    <n v="8"/>
    <n v="276.94"/>
    <n v="0"/>
    <n v="2215.52"/>
    <m/>
    <m/>
    <x v="5"/>
  </r>
  <r>
    <s v="K7-11465"/>
    <x v="103"/>
    <x v="3"/>
    <x v="0"/>
    <x v="1"/>
    <x v="0"/>
    <x v="1"/>
    <x v="12"/>
    <s v="Elena Vargas"/>
    <n v="2"/>
    <n v="318.48"/>
    <n v="0.15"/>
    <n v="541.41999999999996"/>
    <m/>
    <m/>
    <x v="3"/>
  </r>
  <r>
    <s v="K7-11466"/>
    <x v="34"/>
    <x v="7"/>
    <x v="2"/>
    <x v="0"/>
    <x v="1"/>
    <x v="4"/>
    <x v="11"/>
    <s v="Ava Brooks"/>
    <n v="6"/>
    <n v="77.739999999999995"/>
    <n v="0"/>
    <n v="466.44"/>
    <m/>
    <m/>
    <x v="4"/>
  </r>
  <r>
    <s v="K7-11467"/>
    <x v="267"/>
    <x v="4"/>
    <x v="3"/>
    <x v="0"/>
    <x v="1"/>
    <x v="0"/>
    <x v="20"/>
    <s v="Noor Haddad"/>
    <n v="1"/>
    <n v="62.77"/>
    <n v="0.1"/>
    <n v="56.49"/>
    <m/>
    <m/>
    <x v="7"/>
  </r>
  <r>
    <s v="K7-11468"/>
    <x v="102"/>
    <x v="7"/>
    <x v="2"/>
    <x v="0"/>
    <x v="0"/>
    <x v="4"/>
    <x v="6"/>
    <s v="Noor Haddad"/>
    <n v="3"/>
    <n v="59.71"/>
    <n v="0.15"/>
    <n v="152.26"/>
    <m/>
    <m/>
    <x v="6"/>
  </r>
  <r>
    <s v="K7-11469"/>
    <x v="61"/>
    <x v="0"/>
    <x v="0"/>
    <x v="0"/>
    <x v="1"/>
    <x v="4"/>
    <x v="11"/>
    <s v="Elena Vargas"/>
    <n v="4"/>
    <n v="87.17"/>
    <n v="0"/>
    <n v="348.68"/>
    <m/>
    <m/>
    <x v="7"/>
  </r>
  <r>
    <s v="K7-11470"/>
    <x v="19"/>
    <x v="0"/>
    <x v="0"/>
    <x v="1"/>
    <x v="1"/>
    <x v="0"/>
    <x v="21"/>
    <s v="Ava Brooks"/>
    <n v="2"/>
    <n v="47.49"/>
    <n v="0"/>
    <n v="94.98"/>
    <m/>
    <m/>
    <x v="1"/>
  </r>
  <r>
    <s v="K7-11471"/>
    <x v="193"/>
    <x v="3"/>
    <x v="0"/>
    <x v="2"/>
    <x v="1"/>
    <x v="3"/>
    <x v="15"/>
    <s v="Grace Okafor"/>
    <n v="5"/>
    <n v="98.28"/>
    <n v="0"/>
    <n v="491.4"/>
    <m/>
    <m/>
    <x v="9"/>
  </r>
  <r>
    <s v="K7-11472"/>
    <x v="290"/>
    <x v="11"/>
    <x v="3"/>
    <x v="0"/>
    <x v="0"/>
    <x v="0"/>
    <x v="0"/>
    <s v="Jonah Wright"/>
    <n v="3"/>
    <n v="52.62"/>
    <n v="0"/>
    <n v="157.86000000000001"/>
    <m/>
    <m/>
    <x v="8"/>
  </r>
  <r>
    <s v="K7-11473"/>
    <x v="340"/>
    <x v="17"/>
    <x v="0"/>
    <x v="3"/>
    <x v="1"/>
    <x v="1"/>
    <x v="1"/>
    <s v="Dylan Foster"/>
    <n v="2"/>
    <n v="134.19"/>
    <n v="0.1"/>
    <n v="241.54"/>
    <m/>
    <m/>
    <x v="7"/>
  </r>
  <r>
    <s v="K7-11474"/>
    <x v="8"/>
    <x v="15"/>
    <x v="1"/>
    <x v="1"/>
    <x v="0"/>
    <x v="3"/>
    <x v="4"/>
    <s v="Elena Vargas"/>
    <n v="4"/>
    <n v="124.69"/>
    <n v="0.05"/>
    <n v="473.82"/>
    <m/>
    <m/>
    <x v="6"/>
  </r>
  <r>
    <s v="K7-11475"/>
    <x v="124"/>
    <x v="1"/>
    <x v="1"/>
    <x v="3"/>
    <x v="1"/>
    <x v="0"/>
    <x v="0"/>
    <s v="Elena Vargas"/>
    <n v="2"/>
    <n v="52.66"/>
    <n v="0"/>
    <n v="105.32"/>
    <m/>
    <m/>
    <x v="10"/>
  </r>
  <r>
    <s v="K7-11476"/>
    <x v="327"/>
    <x v="7"/>
    <x v="2"/>
    <x v="1"/>
    <x v="1"/>
    <x v="1"/>
    <x v="1"/>
    <s v="Elena Vargas"/>
    <n v="1"/>
    <n v="127.96"/>
    <n v="0"/>
    <n v="127.96"/>
    <m/>
    <m/>
    <x v="8"/>
  </r>
  <r>
    <s v="K7-11477"/>
    <x v="118"/>
    <x v="5"/>
    <x v="0"/>
    <x v="0"/>
    <x v="0"/>
    <x v="1"/>
    <x v="1"/>
    <s v="Noor Haddad"/>
    <n v="1"/>
    <n v="139.09"/>
    <n v="0"/>
    <n v="139.09"/>
    <m/>
    <m/>
    <x v="5"/>
  </r>
  <r>
    <s v="K7-11478"/>
    <x v="297"/>
    <x v="13"/>
    <x v="0"/>
    <x v="2"/>
    <x v="0"/>
    <x v="1"/>
    <x v="1"/>
    <s v="Marcus Reed"/>
    <n v="18"/>
    <n v="126.84"/>
    <n v="0"/>
    <n v="2283.12"/>
    <m/>
    <m/>
    <x v="0"/>
  </r>
  <r>
    <s v="K7-11479"/>
    <x v="46"/>
    <x v="1"/>
    <x v="1"/>
    <x v="0"/>
    <x v="1"/>
    <x v="1"/>
    <x v="8"/>
    <s v="Priya Nair"/>
    <n v="10"/>
    <n v="247.68"/>
    <n v="0"/>
    <n v="2476.8000000000002"/>
    <m/>
    <m/>
    <x v="4"/>
  </r>
  <r>
    <s v="K7-11480"/>
    <x v="107"/>
    <x v="14"/>
    <x v="2"/>
    <x v="0"/>
    <x v="0"/>
    <x v="3"/>
    <x v="4"/>
    <s v="Jonah Wright"/>
    <n v="1"/>
    <n v="124.94"/>
    <n v="0"/>
    <n v="124.94"/>
    <m/>
    <m/>
    <x v="8"/>
  </r>
  <r>
    <s v="K7-11481"/>
    <x v="89"/>
    <x v="0"/>
    <x v="0"/>
    <x v="0"/>
    <x v="0"/>
    <x v="5"/>
    <x v="7"/>
    <s v="Grace Okafor"/>
    <n v="2"/>
    <n v="148.31"/>
    <n v="0.2"/>
    <n v="237.3"/>
    <m/>
    <m/>
    <x v="5"/>
  </r>
  <r>
    <s v="K7-11482"/>
    <x v="259"/>
    <x v="15"/>
    <x v="1"/>
    <x v="3"/>
    <x v="1"/>
    <x v="4"/>
    <x v="13"/>
    <s v="Jonah Wright"/>
    <n v="13"/>
    <n v="85.26"/>
    <n v="0"/>
    <n v="1108.3800000000001"/>
    <m/>
    <m/>
    <x v="9"/>
  </r>
  <r>
    <s v="K7-11483"/>
    <x v="146"/>
    <x v="0"/>
    <x v="0"/>
    <x v="1"/>
    <x v="0"/>
    <x v="2"/>
    <x v="2"/>
    <s v="Jonah Wright"/>
    <n v="1"/>
    <n v="24.34"/>
    <n v="0"/>
    <n v="24.34"/>
    <m/>
    <m/>
    <x v="6"/>
  </r>
  <r>
    <s v="K7-11484"/>
    <x v="157"/>
    <x v="5"/>
    <x v="0"/>
    <x v="3"/>
    <x v="0"/>
    <x v="4"/>
    <x v="13"/>
    <s v="Grace Okafor"/>
    <n v="5"/>
    <n v="87.89"/>
    <n v="0"/>
    <n v="439.45"/>
    <m/>
    <m/>
    <x v="6"/>
  </r>
  <r>
    <s v="K7-11485"/>
    <x v="259"/>
    <x v="25"/>
    <x v="3"/>
    <x v="0"/>
    <x v="1"/>
    <x v="4"/>
    <x v="14"/>
    <s v="Ava Brooks"/>
    <n v="1"/>
    <n v="71.66"/>
    <n v="0"/>
    <n v="71.66"/>
    <m/>
    <m/>
    <x v="9"/>
  </r>
  <r>
    <s v="K7-11486"/>
    <x v="120"/>
    <x v="24"/>
    <x v="2"/>
    <x v="0"/>
    <x v="1"/>
    <x v="4"/>
    <x v="13"/>
    <s v="Noor Haddad"/>
    <n v="5"/>
    <n v="93.38"/>
    <n v="0.3"/>
    <n v="326.83"/>
    <m/>
    <m/>
    <x v="1"/>
  </r>
  <r>
    <s v="K7-11487"/>
    <x v="6"/>
    <x v="12"/>
    <x v="3"/>
    <x v="1"/>
    <x v="0"/>
    <x v="0"/>
    <x v="0"/>
    <s v="Noor Haddad"/>
    <n v="2"/>
    <n v="50.49"/>
    <n v="0"/>
    <n v="100.98"/>
    <m/>
    <m/>
    <x v="4"/>
  </r>
  <r>
    <s v="K7-11488"/>
    <x v="274"/>
    <x v="1"/>
    <x v="1"/>
    <x v="1"/>
    <x v="0"/>
    <x v="0"/>
    <x v="21"/>
    <s v="Dylan Foster"/>
    <n v="4"/>
    <n v="48.98"/>
    <n v="0.1"/>
    <n v="176.33"/>
    <m/>
    <m/>
    <x v="7"/>
  </r>
  <r>
    <s v="K7-11489"/>
    <x v="101"/>
    <x v="13"/>
    <x v="0"/>
    <x v="1"/>
    <x v="0"/>
    <x v="4"/>
    <x v="6"/>
    <s v="Jonah Wright"/>
    <n v="1"/>
    <n v="60.87"/>
    <n v="0"/>
    <n v="60.87"/>
    <m/>
    <m/>
    <x v="11"/>
  </r>
  <r>
    <s v="K7-11490"/>
    <x v="222"/>
    <x v="4"/>
    <x v="3"/>
    <x v="3"/>
    <x v="0"/>
    <x v="0"/>
    <x v="18"/>
    <s v="Grace Okafor"/>
    <n v="2"/>
    <n v="32.18"/>
    <n v="0.05"/>
    <n v="61.14"/>
    <m/>
    <m/>
    <x v="5"/>
  </r>
  <r>
    <s v="K7-11491"/>
    <x v="62"/>
    <x v="7"/>
    <x v="2"/>
    <x v="3"/>
    <x v="0"/>
    <x v="3"/>
    <x v="4"/>
    <s v="Jonah Wright"/>
    <n v="3"/>
    <n v="138.26"/>
    <n v="0.15"/>
    <n v="352.56"/>
    <m/>
    <m/>
    <x v="0"/>
  </r>
  <r>
    <s v="K7-11492"/>
    <x v="198"/>
    <x v="13"/>
    <x v="0"/>
    <x v="0"/>
    <x v="1"/>
    <x v="0"/>
    <x v="21"/>
    <s v="Priya Nair"/>
    <n v="8"/>
    <n v="49.46"/>
    <n v="0"/>
    <n v="395.68"/>
    <m/>
    <m/>
    <x v="2"/>
  </r>
  <r>
    <s v="K7-11493"/>
    <x v="314"/>
    <x v="24"/>
    <x v="2"/>
    <x v="0"/>
    <x v="0"/>
    <x v="5"/>
    <x v="9"/>
    <s v="Ava Brooks"/>
    <n v="1"/>
    <n v="89.2"/>
    <n v="0.2"/>
    <n v="71.36"/>
    <m/>
    <m/>
    <x v="9"/>
  </r>
  <r>
    <s v="K7-11494"/>
    <x v="212"/>
    <x v="15"/>
    <x v="1"/>
    <x v="0"/>
    <x v="0"/>
    <x v="4"/>
    <x v="11"/>
    <s v="Noor Haddad"/>
    <n v="1"/>
    <n v="81.52"/>
    <n v="0"/>
    <n v="81.52"/>
    <m/>
    <m/>
    <x v="10"/>
  </r>
  <r>
    <s v="K7-11495"/>
    <x v="261"/>
    <x v="2"/>
    <x v="2"/>
    <x v="0"/>
    <x v="1"/>
    <x v="5"/>
    <x v="9"/>
    <s v="Marcus Reed"/>
    <n v="5"/>
    <n v="94.15"/>
    <n v="0"/>
    <n v="470.75"/>
    <m/>
    <m/>
    <x v="11"/>
  </r>
  <r>
    <s v="K7-11496"/>
    <x v="358"/>
    <x v="12"/>
    <x v="3"/>
    <x v="3"/>
    <x v="1"/>
    <x v="5"/>
    <x v="7"/>
    <s v="Ava Brooks"/>
    <n v="5"/>
    <n v="157.41999999999999"/>
    <n v="0"/>
    <n v="787.1"/>
    <m/>
    <m/>
    <x v="5"/>
  </r>
  <r>
    <s v="K7-11497"/>
    <x v="267"/>
    <x v="2"/>
    <x v="2"/>
    <x v="3"/>
    <x v="1"/>
    <x v="4"/>
    <x v="6"/>
    <s v="Grace Okafor"/>
    <n v="2"/>
    <n v="55.18"/>
    <n v="0.05"/>
    <n v="104.84"/>
    <m/>
    <m/>
    <x v="7"/>
  </r>
  <r>
    <s v="K7-11498"/>
    <x v="43"/>
    <x v="14"/>
    <x v="2"/>
    <x v="2"/>
    <x v="0"/>
    <x v="5"/>
    <x v="7"/>
    <s v="Elena Vargas"/>
    <n v="4"/>
    <n v="158.13999999999999"/>
    <n v="0"/>
    <n v="632.55999999999995"/>
    <m/>
    <m/>
    <x v="5"/>
  </r>
  <r>
    <s v="K7-11499"/>
    <x v="97"/>
    <x v="20"/>
    <x v="3"/>
    <x v="2"/>
    <x v="0"/>
    <x v="3"/>
    <x v="4"/>
    <s v="Jonah Wright"/>
    <n v="2"/>
    <n v="131.52000000000001"/>
    <n v="0"/>
    <n v="263.04000000000002"/>
    <m/>
    <m/>
    <x v="8"/>
  </r>
  <r>
    <s v="K7-11500"/>
    <x v="131"/>
    <x v="25"/>
    <x v="3"/>
    <x v="2"/>
    <x v="0"/>
    <x v="2"/>
    <x v="19"/>
    <s v="Grace Okafor"/>
    <n v="1"/>
    <n v="50.89"/>
    <n v="0"/>
    <n v="50.89"/>
    <m/>
    <m/>
    <x v="7"/>
  </r>
  <r>
    <s v="K7-11501"/>
    <x v="21"/>
    <x v="2"/>
    <x v="2"/>
    <x v="1"/>
    <x v="0"/>
    <x v="3"/>
    <x v="4"/>
    <s v="Ava Brooks"/>
    <n v="1"/>
    <n v="128.02000000000001"/>
    <n v="0"/>
    <n v="128.02000000000001"/>
    <m/>
    <m/>
    <x v="9"/>
  </r>
  <r>
    <s v="K7-11502"/>
    <x v="45"/>
    <x v="1"/>
    <x v="1"/>
    <x v="2"/>
    <x v="1"/>
    <x v="4"/>
    <x v="11"/>
    <s v="Priya Nair"/>
    <n v="4"/>
    <n v="82.04"/>
    <n v="0.05"/>
    <n v="311.75"/>
    <m/>
    <m/>
    <x v="6"/>
  </r>
  <r>
    <s v="K7-11503"/>
    <x v="248"/>
    <x v="26"/>
    <x v="2"/>
    <x v="0"/>
    <x v="1"/>
    <x v="5"/>
    <x v="7"/>
    <s v="Ava Brooks"/>
    <n v="1"/>
    <n v="156.03"/>
    <n v="0"/>
    <n v="156.03"/>
    <m/>
    <m/>
    <x v="1"/>
  </r>
  <r>
    <s v="K7-11504"/>
    <x v="210"/>
    <x v="5"/>
    <x v="0"/>
    <x v="1"/>
    <x v="1"/>
    <x v="4"/>
    <x v="14"/>
    <s v="Noor Haddad"/>
    <n v="5"/>
    <n v="70.02"/>
    <n v="0"/>
    <n v="350.1"/>
    <m/>
    <m/>
    <x v="0"/>
  </r>
  <r>
    <s v="K7-11505"/>
    <x v="108"/>
    <x v="7"/>
    <x v="2"/>
    <x v="0"/>
    <x v="1"/>
    <x v="5"/>
    <x v="9"/>
    <s v="Jonah Wright"/>
    <n v="3"/>
    <n v="95.07"/>
    <n v="0"/>
    <n v="285.20999999999998"/>
    <m/>
    <m/>
    <x v="6"/>
  </r>
  <r>
    <s v="K7-11506"/>
    <x v="357"/>
    <x v="7"/>
    <x v="2"/>
    <x v="0"/>
    <x v="1"/>
    <x v="5"/>
    <x v="9"/>
    <s v="Priya Nair"/>
    <n v="18"/>
    <n v="82.35"/>
    <n v="0"/>
    <n v="1482.3"/>
    <m/>
    <m/>
    <x v="0"/>
  </r>
  <r>
    <s v="K7-11507"/>
    <x v="175"/>
    <x v="23"/>
    <x v="0"/>
    <x v="0"/>
    <x v="0"/>
    <x v="1"/>
    <x v="8"/>
    <s v="Marcus Reed"/>
    <n v="1"/>
    <n v="236.38"/>
    <n v="0.05"/>
    <n v="224.56"/>
    <m/>
    <m/>
    <x v="11"/>
  </r>
  <r>
    <s v="K7-11508"/>
    <x v="336"/>
    <x v="20"/>
    <x v="3"/>
    <x v="3"/>
    <x v="0"/>
    <x v="3"/>
    <x v="15"/>
    <s v="Priya Nair"/>
    <n v="4"/>
    <n v="101.02"/>
    <n v="0"/>
    <n v="404.08"/>
    <m/>
    <m/>
    <x v="7"/>
  </r>
  <r>
    <s v="K7-11509"/>
    <x v="51"/>
    <x v="16"/>
    <x v="0"/>
    <x v="3"/>
    <x v="0"/>
    <x v="4"/>
    <x v="11"/>
    <s v="Ava Brooks"/>
    <n v="4"/>
    <n v="83.35"/>
    <n v="0"/>
    <n v="333.4"/>
    <m/>
    <m/>
    <x v="3"/>
  </r>
  <r>
    <s v="K7-11510"/>
    <x v="2"/>
    <x v="8"/>
    <x v="1"/>
    <x v="0"/>
    <x v="0"/>
    <x v="0"/>
    <x v="18"/>
    <s v="Priya Nair"/>
    <n v="18"/>
    <n v="30.84"/>
    <n v="0.05"/>
    <n v="527.36"/>
    <m/>
    <m/>
    <x v="0"/>
  </r>
  <r>
    <s v="K7-11511"/>
    <x v="336"/>
    <x v="8"/>
    <x v="1"/>
    <x v="2"/>
    <x v="1"/>
    <x v="4"/>
    <x v="13"/>
    <s v="Elena Vargas"/>
    <n v="1"/>
    <n v="92.07"/>
    <n v="0.1"/>
    <n v="82.86"/>
    <m/>
    <m/>
    <x v="7"/>
  </r>
  <r>
    <s v="K7-11512"/>
    <x v="337"/>
    <x v="10"/>
    <x v="3"/>
    <x v="0"/>
    <x v="0"/>
    <x v="2"/>
    <x v="16"/>
    <s v="Elena Vargas"/>
    <n v="1"/>
    <n v="61.03"/>
    <n v="0"/>
    <n v="61.03"/>
    <m/>
    <m/>
    <x v="9"/>
  </r>
  <r>
    <s v="K7-11513"/>
    <x v="221"/>
    <x v="0"/>
    <x v="0"/>
    <x v="1"/>
    <x v="0"/>
    <x v="3"/>
    <x v="15"/>
    <s v="Elena Vargas"/>
    <n v="3"/>
    <n v="93.18"/>
    <n v="0"/>
    <n v="279.54000000000002"/>
    <m/>
    <m/>
    <x v="6"/>
  </r>
  <r>
    <s v="K7-11514"/>
    <x v="169"/>
    <x v="16"/>
    <x v="0"/>
    <x v="1"/>
    <x v="1"/>
    <x v="2"/>
    <x v="16"/>
    <s v="Dylan Foster"/>
    <n v="3"/>
    <n v="62.85"/>
    <n v="0"/>
    <n v="188.55"/>
    <m/>
    <m/>
    <x v="6"/>
  </r>
  <r>
    <s v="K7-11515"/>
    <x v="79"/>
    <x v="7"/>
    <x v="2"/>
    <x v="3"/>
    <x v="0"/>
    <x v="3"/>
    <x v="10"/>
    <s v="Noor Haddad"/>
    <n v="1"/>
    <n v="122.34"/>
    <n v="0"/>
    <n v="122.34"/>
    <m/>
    <m/>
    <x v="11"/>
  </r>
  <r>
    <s v="K7-11516"/>
    <x v="62"/>
    <x v="11"/>
    <x v="3"/>
    <x v="2"/>
    <x v="0"/>
    <x v="1"/>
    <x v="3"/>
    <s v="Priya Nair"/>
    <n v="5"/>
    <n v="178.9"/>
    <n v="0.05"/>
    <n v="849.77"/>
    <m/>
    <m/>
    <x v="0"/>
  </r>
  <r>
    <s v="K7-11517"/>
    <x v="345"/>
    <x v="0"/>
    <x v="0"/>
    <x v="0"/>
    <x v="0"/>
    <x v="1"/>
    <x v="1"/>
    <s v="Jonah Wright"/>
    <n v="2"/>
    <n v="132.27000000000001"/>
    <n v="0"/>
    <n v="264.54000000000002"/>
    <m/>
    <m/>
    <x v="6"/>
  </r>
  <r>
    <s v="K7-11518"/>
    <x v="3"/>
    <x v="2"/>
    <x v="2"/>
    <x v="1"/>
    <x v="0"/>
    <x v="5"/>
    <x v="7"/>
    <s v="Jonah Wright"/>
    <n v="2"/>
    <n v="171.39"/>
    <n v="0.15"/>
    <n v="291.36"/>
    <m/>
    <m/>
    <x v="1"/>
  </r>
  <r>
    <s v="K7-11519"/>
    <x v="359"/>
    <x v="16"/>
    <x v="0"/>
    <x v="0"/>
    <x v="0"/>
    <x v="5"/>
    <x v="17"/>
    <s v="Marcus Reed"/>
    <n v="1"/>
    <n v="225.23"/>
    <n v="0"/>
    <n v="225.23"/>
    <m/>
    <m/>
    <x v="4"/>
  </r>
  <r>
    <s v="K7-11520"/>
    <x v="167"/>
    <x v="0"/>
    <x v="0"/>
    <x v="0"/>
    <x v="1"/>
    <x v="1"/>
    <x v="3"/>
    <s v="Grace Okafor"/>
    <n v="2"/>
    <n v="177.46"/>
    <n v="0"/>
    <n v="354.92"/>
    <m/>
    <m/>
    <x v="6"/>
  </r>
  <r>
    <s v="K7-11521"/>
    <x v="209"/>
    <x v="10"/>
    <x v="3"/>
    <x v="1"/>
    <x v="0"/>
    <x v="0"/>
    <x v="18"/>
    <s v="Ava Brooks"/>
    <n v="5"/>
    <n v="30.17"/>
    <n v="0.3"/>
    <n v="105.6"/>
    <m/>
    <m/>
    <x v="0"/>
  </r>
  <r>
    <s v="K7-11522"/>
    <x v="204"/>
    <x v="14"/>
    <x v="2"/>
    <x v="0"/>
    <x v="0"/>
    <x v="1"/>
    <x v="1"/>
    <s v="Grace Okafor"/>
    <n v="3"/>
    <n v="124.14"/>
    <n v="0"/>
    <n v="372.42"/>
    <m/>
    <m/>
    <x v="7"/>
  </r>
  <r>
    <s v="K7-11523"/>
    <x v="269"/>
    <x v="10"/>
    <x v="3"/>
    <x v="3"/>
    <x v="1"/>
    <x v="1"/>
    <x v="12"/>
    <s v="Marcus Reed"/>
    <n v="3"/>
    <n v="301.14999999999998"/>
    <n v="0.1"/>
    <n v="813.1"/>
    <m/>
    <m/>
    <x v="6"/>
  </r>
  <r>
    <s v="K7-11524"/>
    <x v="103"/>
    <x v="25"/>
    <x v="3"/>
    <x v="1"/>
    <x v="1"/>
    <x v="0"/>
    <x v="20"/>
    <s v="Ava Brooks"/>
    <n v="6"/>
    <n v="73.209999999999994"/>
    <n v="0"/>
    <n v="439.26"/>
    <m/>
    <m/>
    <x v="3"/>
  </r>
  <r>
    <s v="K7-11525"/>
    <x v="124"/>
    <x v="15"/>
    <x v="1"/>
    <x v="2"/>
    <x v="1"/>
    <x v="3"/>
    <x v="15"/>
    <s v="Grace Okafor"/>
    <n v="4"/>
    <n v="94.4"/>
    <n v="0"/>
    <n v="377.6"/>
    <m/>
    <m/>
    <x v="10"/>
  </r>
  <r>
    <s v="K7-11526"/>
    <x v="298"/>
    <x v="12"/>
    <x v="3"/>
    <x v="0"/>
    <x v="1"/>
    <x v="4"/>
    <x v="13"/>
    <s v="Grace Okafor"/>
    <n v="5"/>
    <n v="93.82"/>
    <n v="0"/>
    <n v="469.1"/>
    <m/>
    <m/>
    <x v="1"/>
  </r>
  <r>
    <s v="K7-11527"/>
    <x v="120"/>
    <x v="16"/>
    <x v="0"/>
    <x v="2"/>
    <x v="1"/>
    <x v="0"/>
    <x v="20"/>
    <s v="Elena Vargas"/>
    <n v="4"/>
    <n v="72.27"/>
    <n v="0"/>
    <n v="289.08"/>
    <m/>
    <m/>
    <x v="1"/>
  </r>
  <r>
    <s v="K7-11528"/>
    <x v="58"/>
    <x v="18"/>
    <x v="3"/>
    <x v="3"/>
    <x v="1"/>
    <x v="0"/>
    <x v="18"/>
    <s v="Ava Brooks"/>
    <n v="1"/>
    <n v="33.14"/>
    <n v="0"/>
    <n v="33.14"/>
    <m/>
    <m/>
    <x v="7"/>
  </r>
  <r>
    <s v="K7-11529"/>
    <x v="271"/>
    <x v="15"/>
    <x v="1"/>
    <x v="0"/>
    <x v="1"/>
    <x v="3"/>
    <x v="10"/>
    <s v="Grace Okafor"/>
    <n v="2"/>
    <n v="115.15"/>
    <n v="0"/>
    <n v="230.3"/>
    <m/>
    <m/>
    <x v="2"/>
  </r>
  <r>
    <s v="K7-11530"/>
    <x v="317"/>
    <x v="8"/>
    <x v="1"/>
    <x v="0"/>
    <x v="0"/>
    <x v="5"/>
    <x v="7"/>
    <s v="Priya Nair"/>
    <n v="1"/>
    <n v="155.19999999999999"/>
    <n v="0"/>
    <n v="155.19999999999999"/>
    <m/>
    <m/>
    <x v="10"/>
  </r>
  <r>
    <s v="K7-11531"/>
    <x v="198"/>
    <x v="5"/>
    <x v="0"/>
    <x v="0"/>
    <x v="0"/>
    <x v="3"/>
    <x v="15"/>
    <s v="Grace Okafor"/>
    <n v="6"/>
    <n v="100.67"/>
    <n v="0"/>
    <n v="604.02"/>
    <m/>
    <m/>
    <x v="2"/>
  </r>
  <r>
    <s v="K7-11532"/>
    <x v="28"/>
    <x v="12"/>
    <x v="3"/>
    <x v="1"/>
    <x v="1"/>
    <x v="2"/>
    <x v="19"/>
    <s v="Marcus Reed"/>
    <n v="1"/>
    <n v="45.85"/>
    <n v="0"/>
    <n v="45.85"/>
    <m/>
    <m/>
    <x v="0"/>
  </r>
  <r>
    <s v="K7-11533"/>
    <x v="76"/>
    <x v="10"/>
    <x v="3"/>
    <x v="0"/>
    <x v="1"/>
    <x v="3"/>
    <x v="15"/>
    <s v="Jonah Wright"/>
    <n v="8"/>
    <n v="97.16"/>
    <n v="0.05"/>
    <n v="738.42"/>
    <m/>
    <m/>
    <x v="4"/>
  </r>
  <r>
    <s v="K7-11534"/>
    <x v="259"/>
    <x v="20"/>
    <x v="3"/>
    <x v="1"/>
    <x v="1"/>
    <x v="1"/>
    <x v="8"/>
    <s v="Noor Haddad"/>
    <n v="1"/>
    <n v="237.08"/>
    <n v="0.15"/>
    <n v="201.52"/>
    <m/>
    <m/>
    <x v="9"/>
  </r>
  <r>
    <s v="K7-11535"/>
    <x v="353"/>
    <x v="1"/>
    <x v="1"/>
    <x v="1"/>
    <x v="1"/>
    <x v="5"/>
    <x v="7"/>
    <s v="Ava Brooks"/>
    <n v="5"/>
    <n v="158.94999999999999"/>
    <n v="0"/>
    <n v="794.75"/>
    <m/>
    <m/>
    <x v="3"/>
  </r>
  <r>
    <s v="K7-11536"/>
    <x v="165"/>
    <x v="2"/>
    <x v="2"/>
    <x v="0"/>
    <x v="0"/>
    <x v="2"/>
    <x v="16"/>
    <s v="Noor Haddad"/>
    <n v="2"/>
    <n v="61.13"/>
    <n v="0"/>
    <n v="122.26"/>
    <m/>
    <m/>
    <x v="1"/>
  </r>
  <r>
    <s v="K7-11537"/>
    <x v="237"/>
    <x v="0"/>
    <x v="0"/>
    <x v="2"/>
    <x v="0"/>
    <x v="3"/>
    <x v="10"/>
    <s v="Priya Nair"/>
    <n v="10"/>
    <n v="115.92"/>
    <n v="0"/>
    <n v="1159.2"/>
    <m/>
    <m/>
    <x v="4"/>
  </r>
  <r>
    <s v="K7-11538"/>
    <x v="240"/>
    <x v="28"/>
    <x v="0"/>
    <x v="0"/>
    <x v="0"/>
    <x v="1"/>
    <x v="1"/>
    <s v="Dylan Foster"/>
    <n v="1"/>
    <n v="119.66"/>
    <n v="0.1"/>
    <n v="107.69"/>
    <m/>
    <m/>
    <x v="10"/>
  </r>
  <r>
    <s v="K7-11539"/>
    <x v="94"/>
    <x v="25"/>
    <x v="3"/>
    <x v="1"/>
    <x v="0"/>
    <x v="0"/>
    <x v="20"/>
    <s v="Marcus Reed"/>
    <n v="16"/>
    <n v="66.55"/>
    <n v="0.05"/>
    <n v="1011.56"/>
    <m/>
    <m/>
    <x v="6"/>
  </r>
  <r>
    <s v="K7-11540"/>
    <x v="239"/>
    <x v="14"/>
    <x v="2"/>
    <x v="1"/>
    <x v="1"/>
    <x v="0"/>
    <x v="21"/>
    <s v="Ava Brooks"/>
    <n v="14"/>
    <n v="47.37"/>
    <n v="0.05"/>
    <n v="630.02"/>
    <m/>
    <m/>
    <x v="2"/>
  </r>
  <r>
    <s v="K7-11541"/>
    <x v="179"/>
    <x v="7"/>
    <x v="2"/>
    <x v="1"/>
    <x v="0"/>
    <x v="1"/>
    <x v="12"/>
    <s v="Ava Brooks"/>
    <n v="1"/>
    <n v="296.32"/>
    <n v="0"/>
    <n v="296.32"/>
    <m/>
    <m/>
    <x v="5"/>
  </r>
  <r>
    <s v="K7-11542"/>
    <x v="47"/>
    <x v="7"/>
    <x v="2"/>
    <x v="0"/>
    <x v="1"/>
    <x v="2"/>
    <x v="5"/>
    <s v="Noor Haddad"/>
    <n v="5"/>
    <n v="40.159999999999997"/>
    <n v="0"/>
    <n v="200.8"/>
    <m/>
    <m/>
    <x v="2"/>
  </r>
  <r>
    <s v="K7-11543"/>
    <x v="16"/>
    <x v="22"/>
    <x v="0"/>
    <x v="3"/>
    <x v="1"/>
    <x v="1"/>
    <x v="8"/>
    <s v="Grace Okafor"/>
    <n v="3"/>
    <n v="220.47"/>
    <n v="0"/>
    <n v="661.41"/>
    <m/>
    <m/>
    <x v="3"/>
  </r>
  <r>
    <s v="K7-11544"/>
    <x v="198"/>
    <x v="7"/>
    <x v="2"/>
    <x v="3"/>
    <x v="0"/>
    <x v="1"/>
    <x v="3"/>
    <s v="Priya Nair"/>
    <n v="4"/>
    <n v="174.49"/>
    <n v="0"/>
    <n v="697.96"/>
    <m/>
    <m/>
    <x v="2"/>
  </r>
  <r>
    <s v="K7-11545"/>
    <x v="69"/>
    <x v="23"/>
    <x v="0"/>
    <x v="1"/>
    <x v="0"/>
    <x v="5"/>
    <x v="17"/>
    <s v="Grace Okafor"/>
    <n v="10"/>
    <n v="225.74"/>
    <n v="0"/>
    <n v="2257.4"/>
    <m/>
    <m/>
    <x v="1"/>
  </r>
  <r>
    <s v="K7-11546"/>
    <x v="87"/>
    <x v="10"/>
    <x v="3"/>
    <x v="3"/>
    <x v="1"/>
    <x v="4"/>
    <x v="11"/>
    <s v="Elena Vargas"/>
    <n v="12"/>
    <n v="79.569999999999993"/>
    <n v="0"/>
    <n v="954.84"/>
    <m/>
    <m/>
    <x v="11"/>
  </r>
  <r>
    <s v="K7-11547"/>
    <x v="298"/>
    <x v="7"/>
    <x v="2"/>
    <x v="0"/>
    <x v="1"/>
    <x v="5"/>
    <x v="9"/>
    <s v="Grace Okafor"/>
    <n v="6"/>
    <n v="94.6"/>
    <n v="0.05"/>
    <n v="539.22"/>
    <m/>
    <m/>
    <x v="1"/>
  </r>
  <r>
    <s v="K7-11548"/>
    <x v="78"/>
    <x v="0"/>
    <x v="0"/>
    <x v="3"/>
    <x v="1"/>
    <x v="0"/>
    <x v="18"/>
    <s v="Marcus Reed"/>
    <n v="3"/>
    <n v="33.049999999999997"/>
    <n v="0"/>
    <n v="99.15"/>
    <m/>
    <m/>
    <x v="2"/>
  </r>
  <r>
    <s v="K7-11549"/>
    <x v="139"/>
    <x v="14"/>
    <x v="2"/>
    <x v="0"/>
    <x v="0"/>
    <x v="5"/>
    <x v="7"/>
    <s v="Grace Okafor"/>
    <n v="1"/>
    <n v="159.82"/>
    <n v="0"/>
    <n v="159.82"/>
    <m/>
    <m/>
    <x v="7"/>
  </r>
  <r>
    <s v="K7-11550"/>
    <x v="160"/>
    <x v="23"/>
    <x v="0"/>
    <x v="0"/>
    <x v="1"/>
    <x v="0"/>
    <x v="18"/>
    <s v="Elena Vargas"/>
    <n v="2"/>
    <n v="34.04"/>
    <n v="0"/>
    <n v="68.08"/>
    <m/>
    <m/>
    <x v="7"/>
  </r>
  <r>
    <s v="K7-11551"/>
    <x v="226"/>
    <x v="4"/>
    <x v="3"/>
    <x v="0"/>
    <x v="1"/>
    <x v="1"/>
    <x v="1"/>
    <s v="Marcus Reed"/>
    <n v="15"/>
    <n v="124.08"/>
    <n v="0.05"/>
    <n v="1768.14"/>
    <m/>
    <m/>
    <x v="3"/>
  </r>
  <r>
    <s v="K7-11552"/>
    <x v="56"/>
    <x v="24"/>
    <x v="2"/>
    <x v="0"/>
    <x v="1"/>
    <x v="0"/>
    <x v="18"/>
    <s v="Dylan Foster"/>
    <n v="8"/>
    <n v="31.46"/>
    <n v="0"/>
    <n v="251.68"/>
    <m/>
    <m/>
    <x v="1"/>
  </r>
  <r>
    <s v="K7-11553"/>
    <x v="326"/>
    <x v="25"/>
    <x v="3"/>
    <x v="3"/>
    <x v="0"/>
    <x v="3"/>
    <x v="10"/>
    <s v="Ava Brooks"/>
    <n v="1"/>
    <n v="126.75"/>
    <n v="0"/>
    <n v="126.75"/>
    <m/>
    <m/>
    <x v="11"/>
  </r>
  <r>
    <s v="K7-11554"/>
    <x v="272"/>
    <x v="20"/>
    <x v="3"/>
    <x v="0"/>
    <x v="0"/>
    <x v="4"/>
    <x v="6"/>
    <s v="Marcus Reed"/>
    <n v="4"/>
    <n v="54.3"/>
    <n v="0"/>
    <n v="217.2"/>
    <m/>
    <m/>
    <x v="10"/>
  </r>
  <r>
    <s v="K7-11555"/>
    <x v="114"/>
    <x v="20"/>
    <x v="3"/>
    <x v="0"/>
    <x v="0"/>
    <x v="1"/>
    <x v="12"/>
    <s v="Grace Okafor"/>
    <n v="8"/>
    <n v="298.20999999999998"/>
    <n v="0"/>
    <n v="2385.6799999999998"/>
    <m/>
    <m/>
    <x v="8"/>
  </r>
  <r>
    <s v="K7-11556"/>
    <x v="52"/>
    <x v="4"/>
    <x v="3"/>
    <x v="3"/>
    <x v="0"/>
    <x v="4"/>
    <x v="13"/>
    <s v="Ava Brooks"/>
    <n v="1"/>
    <n v="98.28"/>
    <n v="0"/>
    <n v="98.28"/>
    <m/>
    <m/>
    <x v="8"/>
  </r>
  <r>
    <s v="K7-11557"/>
    <x v="94"/>
    <x v="7"/>
    <x v="2"/>
    <x v="0"/>
    <x v="0"/>
    <x v="5"/>
    <x v="9"/>
    <s v="Elena Vargas"/>
    <n v="1"/>
    <n v="87.87"/>
    <n v="0"/>
    <n v="87.87"/>
    <m/>
    <m/>
    <x v="6"/>
  </r>
  <r>
    <s v="K7-11558"/>
    <x v="332"/>
    <x v="10"/>
    <x v="3"/>
    <x v="3"/>
    <x v="1"/>
    <x v="2"/>
    <x v="5"/>
    <s v="Noor Haddad"/>
    <n v="8"/>
    <n v="40.98"/>
    <n v="0.05"/>
    <n v="311.45"/>
    <m/>
    <m/>
    <x v="10"/>
  </r>
  <r>
    <s v="K7-11559"/>
    <x v="310"/>
    <x v="4"/>
    <x v="3"/>
    <x v="1"/>
    <x v="0"/>
    <x v="1"/>
    <x v="12"/>
    <s v="Elena Vargas"/>
    <n v="3"/>
    <n v="313.11"/>
    <n v="0"/>
    <n v="939.33"/>
    <m/>
    <m/>
    <x v="10"/>
  </r>
  <r>
    <s v="K7-11560"/>
    <x v="192"/>
    <x v="9"/>
    <x v="2"/>
    <x v="2"/>
    <x v="0"/>
    <x v="5"/>
    <x v="7"/>
    <s v="Noor Haddad"/>
    <n v="1"/>
    <n v="155.74"/>
    <n v="0"/>
    <n v="155.74"/>
    <m/>
    <m/>
    <x v="9"/>
  </r>
  <r>
    <s v="K7-11561"/>
    <x v="300"/>
    <x v="14"/>
    <x v="2"/>
    <x v="3"/>
    <x v="1"/>
    <x v="0"/>
    <x v="0"/>
    <s v="Marcus Reed"/>
    <n v="1"/>
    <n v="57.53"/>
    <n v="0.15"/>
    <n v="48.9"/>
    <m/>
    <m/>
    <x v="3"/>
  </r>
  <r>
    <s v="K7-11562"/>
    <x v="359"/>
    <x v="11"/>
    <x v="3"/>
    <x v="0"/>
    <x v="0"/>
    <x v="0"/>
    <x v="21"/>
    <s v="Marcus Reed"/>
    <n v="1"/>
    <n v="49.01"/>
    <n v="0"/>
    <n v="49.01"/>
    <m/>
    <m/>
    <x v="4"/>
  </r>
  <r>
    <s v="K7-11563"/>
    <x v="165"/>
    <x v="29"/>
    <x v="1"/>
    <x v="0"/>
    <x v="1"/>
    <x v="4"/>
    <x v="11"/>
    <s v="Dylan Foster"/>
    <n v="2"/>
    <n v="83.61"/>
    <n v="0"/>
    <n v="167.22"/>
    <m/>
    <m/>
    <x v="1"/>
  </r>
  <r>
    <s v="K7-11564"/>
    <x v="225"/>
    <x v="9"/>
    <x v="2"/>
    <x v="0"/>
    <x v="1"/>
    <x v="4"/>
    <x v="14"/>
    <s v="Jonah Wright"/>
    <n v="2"/>
    <n v="76.34"/>
    <n v="0.1"/>
    <n v="137.41"/>
    <m/>
    <m/>
    <x v="7"/>
  </r>
  <r>
    <s v="K7-11565"/>
    <x v="240"/>
    <x v="16"/>
    <x v="0"/>
    <x v="1"/>
    <x v="0"/>
    <x v="0"/>
    <x v="20"/>
    <s v="Grace Okafor"/>
    <n v="3"/>
    <n v="66.37"/>
    <n v="0"/>
    <n v="199.11"/>
    <m/>
    <m/>
    <x v="10"/>
  </r>
  <r>
    <s v="K7-11566"/>
    <x v="360"/>
    <x v="19"/>
    <x v="1"/>
    <x v="0"/>
    <x v="0"/>
    <x v="4"/>
    <x v="13"/>
    <s v="Grace Okafor"/>
    <n v="3"/>
    <n v="96.38"/>
    <n v="0.1"/>
    <n v="260.23"/>
    <m/>
    <m/>
    <x v="7"/>
  </r>
  <r>
    <s v="K7-11567"/>
    <x v="170"/>
    <x v="7"/>
    <x v="2"/>
    <x v="0"/>
    <x v="0"/>
    <x v="5"/>
    <x v="7"/>
    <s v="Dylan Foster"/>
    <n v="1"/>
    <n v="164.25"/>
    <n v="0"/>
    <n v="164.25"/>
    <m/>
    <m/>
    <x v="0"/>
  </r>
  <r>
    <s v="K7-11568"/>
    <x v="154"/>
    <x v="6"/>
    <x v="2"/>
    <x v="0"/>
    <x v="0"/>
    <x v="4"/>
    <x v="6"/>
    <s v="Elena Vargas"/>
    <n v="5"/>
    <n v="56.08"/>
    <n v="0"/>
    <n v="280.39999999999998"/>
    <m/>
    <m/>
    <x v="2"/>
  </r>
  <r>
    <s v="K7-11569"/>
    <x v="349"/>
    <x v="6"/>
    <x v="2"/>
    <x v="3"/>
    <x v="0"/>
    <x v="4"/>
    <x v="6"/>
    <s v="Noor Haddad"/>
    <n v="1"/>
    <n v="60.05"/>
    <n v="0.1"/>
    <n v="54.05"/>
    <m/>
    <m/>
    <x v="9"/>
  </r>
  <r>
    <s v="K7-11570"/>
    <x v="225"/>
    <x v="17"/>
    <x v="0"/>
    <x v="0"/>
    <x v="1"/>
    <x v="0"/>
    <x v="21"/>
    <s v="Noor Haddad"/>
    <n v="2"/>
    <n v="45.11"/>
    <n v="0"/>
    <n v="90.22"/>
    <m/>
    <m/>
    <x v="7"/>
  </r>
  <r>
    <s v="K7-11571"/>
    <x v="146"/>
    <x v="21"/>
    <x v="0"/>
    <x v="0"/>
    <x v="0"/>
    <x v="4"/>
    <x v="11"/>
    <s v="Elena Vargas"/>
    <n v="3"/>
    <n v="78.89"/>
    <n v="0"/>
    <n v="236.67"/>
    <m/>
    <m/>
    <x v="6"/>
  </r>
  <r>
    <s v="K7-11572"/>
    <x v="57"/>
    <x v="9"/>
    <x v="2"/>
    <x v="3"/>
    <x v="1"/>
    <x v="1"/>
    <x v="3"/>
    <s v="Jonah Wright"/>
    <n v="2"/>
    <n v="164.18"/>
    <n v="0.05"/>
    <n v="311.94"/>
    <m/>
    <m/>
    <x v="1"/>
  </r>
  <r>
    <s v="K7-11573"/>
    <x v="157"/>
    <x v="15"/>
    <x v="1"/>
    <x v="0"/>
    <x v="1"/>
    <x v="0"/>
    <x v="20"/>
    <s v="Elena Vargas"/>
    <n v="1"/>
    <n v="65.040000000000006"/>
    <n v="0"/>
    <n v="65.040000000000006"/>
    <m/>
    <m/>
    <x v="6"/>
  </r>
  <r>
    <s v="K7-11574"/>
    <x v="70"/>
    <x v="25"/>
    <x v="3"/>
    <x v="1"/>
    <x v="1"/>
    <x v="4"/>
    <x v="6"/>
    <s v="Marcus Reed"/>
    <n v="1"/>
    <n v="57.43"/>
    <n v="0"/>
    <n v="57.43"/>
    <m/>
    <m/>
    <x v="8"/>
  </r>
  <r>
    <s v="K7-11575"/>
    <x v="154"/>
    <x v="2"/>
    <x v="2"/>
    <x v="0"/>
    <x v="1"/>
    <x v="4"/>
    <x v="6"/>
    <s v="Priya Nair"/>
    <n v="2"/>
    <n v="62.54"/>
    <n v="0"/>
    <n v="125.08"/>
    <m/>
    <m/>
    <x v="2"/>
  </r>
  <r>
    <s v="K7-11576"/>
    <x v="19"/>
    <x v="20"/>
    <x v="3"/>
    <x v="1"/>
    <x v="0"/>
    <x v="3"/>
    <x v="4"/>
    <s v="Dylan Foster"/>
    <n v="6"/>
    <n v="129.35"/>
    <n v="0"/>
    <n v="776.1"/>
    <m/>
    <m/>
    <x v="1"/>
  </r>
  <r>
    <s v="K7-11577"/>
    <x v="118"/>
    <x v="16"/>
    <x v="0"/>
    <x v="0"/>
    <x v="1"/>
    <x v="0"/>
    <x v="20"/>
    <s v="Dylan Foster"/>
    <n v="5"/>
    <n v="67.180000000000007"/>
    <n v="0"/>
    <n v="335.9"/>
    <m/>
    <m/>
    <x v="5"/>
  </r>
  <r>
    <s v="K7-11578"/>
    <x v="84"/>
    <x v="12"/>
    <x v="3"/>
    <x v="3"/>
    <x v="0"/>
    <x v="4"/>
    <x v="13"/>
    <s v="Noor Haddad"/>
    <n v="1"/>
    <n v="92.32"/>
    <n v="0"/>
    <n v="92.32"/>
    <m/>
    <m/>
    <x v="10"/>
  </r>
  <r>
    <s v="K7-11579"/>
    <x v="313"/>
    <x v="24"/>
    <x v="2"/>
    <x v="0"/>
    <x v="0"/>
    <x v="2"/>
    <x v="5"/>
    <s v="Noor Haddad"/>
    <n v="3"/>
    <n v="36.32"/>
    <n v="0.2"/>
    <n v="87.17"/>
    <m/>
    <m/>
    <x v="8"/>
  </r>
  <r>
    <s v="K7-11580"/>
    <x v="228"/>
    <x v="7"/>
    <x v="2"/>
    <x v="1"/>
    <x v="0"/>
    <x v="2"/>
    <x v="5"/>
    <s v="Marcus Reed"/>
    <n v="13"/>
    <n v="40.49"/>
    <n v="0.1"/>
    <n v="473.73"/>
    <m/>
    <m/>
    <x v="5"/>
  </r>
  <r>
    <s v="K7-11581"/>
    <x v="308"/>
    <x v="1"/>
    <x v="1"/>
    <x v="0"/>
    <x v="1"/>
    <x v="4"/>
    <x v="14"/>
    <s v="Marcus Reed"/>
    <n v="1"/>
    <n v="81.66"/>
    <n v="0.05"/>
    <n v="77.58"/>
    <m/>
    <m/>
    <x v="11"/>
  </r>
  <r>
    <s v="K7-11582"/>
    <x v="298"/>
    <x v="20"/>
    <x v="3"/>
    <x v="1"/>
    <x v="1"/>
    <x v="2"/>
    <x v="2"/>
    <s v="Jonah Wright"/>
    <n v="3"/>
    <n v="25.37"/>
    <n v="0"/>
    <n v="76.11"/>
    <m/>
    <m/>
    <x v="1"/>
  </r>
  <r>
    <s v="K7-11583"/>
    <x v="89"/>
    <x v="19"/>
    <x v="1"/>
    <x v="0"/>
    <x v="0"/>
    <x v="0"/>
    <x v="20"/>
    <s v="Grace Okafor"/>
    <n v="2"/>
    <n v="66.2"/>
    <n v="0.1"/>
    <n v="119.16"/>
    <m/>
    <m/>
    <x v="5"/>
  </r>
  <r>
    <s v="K7-11584"/>
    <x v="341"/>
    <x v="7"/>
    <x v="2"/>
    <x v="0"/>
    <x v="0"/>
    <x v="1"/>
    <x v="8"/>
    <s v="Noor Haddad"/>
    <n v="1"/>
    <n v="223.92"/>
    <n v="0"/>
    <n v="223.92"/>
    <m/>
    <m/>
    <x v="0"/>
  </r>
  <r>
    <s v="K7-11585"/>
    <x v="324"/>
    <x v="5"/>
    <x v="0"/>
    <x v="0"/>
    <x v="0"/>
    <x v="3"/>
    <x v="15"/>
    <s v="Marcus Reed"/>
    <n v="1"/>
    <n v="98.92"/>
    <n v="0"/>
    <n v="98.92"/>
    <m/>
    <m/>
    <x v="9"/>
  </r>
  <r>
    <s v="K7-11586"/>
    <x v="34"/>
    <x v="28"/>
    <x v="0"/>
    <x v="1"/>
    <x v="1"/>
    <x v="2"/>
    <x v="5"/>
    <s v="Elena Vargas"/>
    <n v="2"/>
    <n v="40.58"/>
    <n v="0"/>
    <n v="81.16"/>
    <m/>
    <m/>
    <x v="4"/>
  </r>
  <r>
    <s v="K7-11587"/>
    <x v="198"/>
    <x v="6"/>
    <x v="2"/>
    <x v="0"/>
    <x v="0"/>
    <x v="5"/>
    <x v="17"/>
    <s v="Dylan Foster"/>
    <n v="1"/>
    <n v="219.44"/>
    <n v="0.1"/>
    <n v="197.5"/>
    <m/>
    <m/>
    <x v="2"/>
  </r>
  <r>
    <s v="K7-11588"/>
    <x v="209"/>
    <x v="25"/>
    <x v="3"/>
    <x v="1"/>
    <x v="0"/>
    <x v="0"/>
    <x v="18"/>
    <s v="Grace Okafor"/>
    <n v="6"/>
    <n v="30.05"/>
    <n v="0"/>
    <n v="180.3"/>
    <m/>
    <m/>
    <x v="0"/>
  </r>
  <r>
    <s v="K7-11589"/>
    <x v="77"/>
    <x v="5"/>
    <x v="0"/>
    <x v="0"/>
    <x v="1"/>
    <x v="0"/>
    <x v="21"/>
    <s v="Grace Okafor"/>
    <n v="2"/>
    <n v="48.18"/>
    <n v="0"/>
    <n v="96.36"/>
    <m/>
    <m/>
    <x v="9"/>
  </r>
  <r>
    <s v="K7-11590"/>
    <x v="48"/>
    <x v="0"/>
    <x v="0"/>
    <x v="0"/>
    <x v="1"/>
    <x v="0"/>
    <x v="18"/>
    <s v="Elena Vargas"/>
    <n v="2"/>
    <n v="31.66"/>
    <n v="0"/>
    <n v="63.32"/>
    <m/>
    <m/>
    <x v="7"/>
  </r>
  <r>
    <s v="K7-11591"/>
    <x v="361"/>
    <x v="0"/>
    <x v="0"/>
    <x v="0"/>
    <x v="0"/>
    <x v="0"/>
    <x v="20"/>
    <s v="Jonah Wright"/>
    <n v="4"/>
    <n v="71.39"/>
    <n v="0"/>
    <n v="285.56"/>
    <m/>
    <m/>
    <x v="5"/>
  </r>
  <r>
    <s v="K7-11592"/>
    <x v="45"/>
    <x v="14"/>
    <x v="2"/>
    <x v="0"/>
    <x v="0"/>
    <x v="3"/>
    <x v="10"/>
    <s v="Marcus Reed"/>
    <n v="2"/>
    <n v="118.97"/>
    <n v="0"/>
    <n v="237.94"/>
    <m/>
    <m/>
    <x v="6"/>
  </r>
  <r>
    <s v="K7-11593"/>
    <x v="7"/>
    <x v="7"/>
    <x v="2"/>
    <x v="2"/>
    <x v="0"/>
    <x v="4"/>
    <x v="13"/>
    <s v="Ava Brooks"/>
    <n v="5"/>
    <n v="98.1"/>
    <n v="0"/>
    <n v="490.5"/>
    <m/>
    <m/>
    <x v="5"/>
  </r>
  <r>
    <s v="K7-11594"/>
    <x v="98"/>
    <x v="5"/>
    <x v="0"/>
    <x v="0"/>
    <x v="1"/>
    <x v="4"/>
    <x v="14"/>
    <s v="Elena Vargas"/>
    <n v="3"/>
    <n v="69.97"/>
    <n v="0.15"/>
    <n v="178.42"/>
    <m/>
    <m/>
    <x v="2"/>
  </r>
  <r>
    <s v="K7-11595"/>
    <x v="349"/>
    <x v="23"/>
    <x v="0"/>
    <x v="0"/>
    <x v="0"/>
    <x v="0"/>
    <x v="20"/>
    <s v="Jonah Wright"/>
    <n v="2"/>
    <n v="69.709999999999994"/>
    <n v="0"/>
    <n v="139.41999999999999"/>
    <m/>
    <m/>
    <x v="9"/>
  </r>
  <r>
    <s v="K7-11596"/>
    <x v="297"/>
    <x v="10"/>
    <x v="3"/>
    <x v="3"/>
    <x v="1"/>
    <x v="4"/>
    <x v="14"/>
    <s v="Ava Brooks"/>
    <n v="2"/>
    <n v="79.489999999999995"/>
    <n v="0"/>
    <n v="158.97999999999999"/>
    <m/>
    <m/>
    <x v="0"/>
  </r>
  <r>
    <s v="K7-11597"/>
    <x v="52"/>
    <x v="15"/>
    <x v="1"/>
    <x v="3"/>
    <x v="1"/>
    <x v="4"/>
    <x v="13"/>
    <s v="Ava Brooks"/>
    <n v="2"/>
    <n v="96.12"/>
    <n v="0.05"/>
    <n v="182.63"/>
    <m/>
    <m/>
    <x v="8"/>
  </r>
  <r>
    <s v="K7-11598"/>
    <x v="243"/>
    <x v="7"/>
    <x v="2"/>
    <x v="1"/>
    <x v="1"/>
    <x v="2"/>
    <x v="5"/>
    <s v="Ava Brooks"/>
    <n v="8"/>
    <n v="35.42"/>
    <n v="0"/>
    <n v="283.36"/>
    <m/>
    <m/>
    <x v="10"/>
  </r>
  <r>
    <s v="K7-11599"/>
    <x v="143"/>
    <x v="7"/>
    <x v="2"/>
    <x v="1"/>
    <x v="0"/>
    <x v="5"/>
    <x v="7"/>
    <s v="Dylan Foster"/>
    <n v="3"/>
    <n v="152.75"/>
    <n v="0.15"/>
    <n v="389.51"/>
    <m/>
    <m/>
    <x v="10"/>
  </r>
  <r>
    <s v="K7-11600"/>
    <x v="23"/>
    <x v="10"/>
    <x v="3"/>
    <x v="1"/>
    <x v="0"/>
    <x v="4"/>
    <x v="11"/>
    <s v="Jonah Wright"/>
    <n v="2"/>
    <n v="87.47"/>
    <n v="0"/>
    <n v="174.94"/>
    <m/>
    <m/>
    <x v="7"/>
  </r>
  <r>
    <s v="K7-11601"/>
    <x v="110"/>
    <x v="5"/>
    <x v="0"/>
    <x v="0"/>
    <x v="0"/>
    <x v="0"/>
    <x v="0"/>
    <s v="Dylan Foster"/>
    <n v="6"/>
    <n v="53.77"/>
    <n v="0.3"/>
    <n v="225.83"/>
    <m/>
    <m/>
    <x v="1"/>
  </r>
  <r>
    <s v="K7-11602"/>
    <x v="325"/>
    <x v="8"/>
    <x v="1"/>
    <x v="3"/>
    <x v="1"/>
    <x v="5"/>
    <x v="9"/>
    <s v="Marcus Reed"/>
    <n v="8"/>
    <n v="85.77"/>
    <n v="0.05"/>
    <n v="651.85"/>
    <m/>
    <m/>
    <x v="5"/>
  </r>
  <r>
    <s v="K7-11603"/>
    <x v="104"/>
    <x v="21"/>
    <x v="0"/>
    <x v="1"/>
    <x v="1"/>
    <x v="0"/>
    <x v="18"/>
    <s v="Noor Haddad"/>
    <n v="2"/>
    <n v="33.450000000000003"/>
    <n v="0"/>
    <n v="66.900000000000006"/>
    <m/>
    <m/>
    <x v="4"/>
  </r>
  <r>
    <s v="K7-11604"/>
    <x v="203"/>
    <x v="24"/>
    <x v="2"/>
    <x v="0"/>
    <x v="0"/>
    <x v="2"/>
    <x v="16"/>
    <s v="Dylan Foster"/>
    <n v="6"/>
    <n v="58.22"/>
    <n v="0"/>
    <n v="349.32"/>
    <m/>
    <m/>
    <x v="0"/>
  </r>
  <r>
    <s v="K7-11605"/>
    <x v="264"/>
    <x v="0"/>
    <x v="0"/>
    <x v="0"/>
    <x v="1"/>
    <x v="1"/>
    <x v="8"/>
    <s v="Marcus Reed"/>
    <n v="13"/>
    <n v="246.24"/>
    <n v="0"/>
    <n v="3201.12"/>
    <m/>
    <m/>
    <x v="5"/>
  </r>
  <r>
    <s v="K7-11606"/>
    <x v="308"/>
    <x v="13"/>
    <x v="0"/>
    <x v="3"/>
    <x v="0"/>
    <x v="0"/>
    <x v="18"/>
    <s v="Ava Brooks"/>
    <n v="1"/>
    <n v="30.65"/>
    <n v="0"/>
    <n v="30.65"/>
    <m/>
    <m/>
    <x v="11"/>
  </r>
  <r>
    <s v="K7-11607"/>
    <x v="164"/>
    <x v="25"/>
    <x v="3"/>
    <x v="0"/>
    <x v="1"/>
    <x v="4"/>
    <x v="11"/>
    <s v="Ava Brooks"/>
    <n v="1"/>
    <n v="85.56"/>
    <n v="0"/>
    <n v="85.56"/>
    <m/>
    <m/>
    <x v="9"/>
  </r>
  <r>
    <s v="K7-11608"/>
    <x v="117"/>
    <x v="20"/>
    <x v="3"/>
    <x v="1"/>
    <x v="1"/>
    <x v="4"/>
    <x v="14"/>
    <s v="Elena Vargas"/>
    <n v="1"/>
    <n v="72.819999999999993"/>
    <n v="0"/>
    <n v="72.819999999999993"/>
    <m/>
    <m/>
    <x v="1"/>
  </r>
  <r>
    <s v="K7-11609"/>
    <x v="94"/>
    <x v="0"/>
    <x v="0"/>
    <x v="2"/>
    <x v="1"/>
    <x v="0"/>
    <x v="18"/>
    <s v="Jonah Wright"/>
    <n v="3"/>
    <n v="29.83"/>
    <n v="0"/>
    <n v="89.49"/>
    <m/>
    <m/>
    <x v="6"/>
  </r>
  <r>
    <s v="K7-11610"/>
    <x v="253"/>
    <x v="5"/>
    <x v="0"/>
    <x v="0"/>
    <x v="1"/>
    <x v="3"/>
    <x v="10"/>
    <s v="Elena Vargas"/>
    <n v="1"/>
    <n v="118.22"/>
    <n v="0"/>
    <n v="118.22"/>
    <m/>
    <m/>
    <x v="11"/>
  </r>
  <r>
    <s v="K7-11611"/>
    <x v="265"/>
    <x v="5"/>
    <x v="0"/>
    <x v="0"/>
    <x v="1"/>
    <x v="0"/>
    <x v="0"/>
    <s v="Ava Brooks"/>
    <n v="3"/>
    <n v="55.13"/>
    <n v="0.1"/>
    <n v="148.85"/>
    <m/>
    <m/>
    <x v="9"/>
  </r>
  <r>
    <s v="K7-11612"/>
    <x v="323"/>
    <x v="2"/>
    <x v="2"/>
    <x v="3"/>
    <x v="0"/>
    <x v="0"/>
    <x v="20"/>
    <s v="Ava Brooks"/>
    <n v="2"/>
    <n v="71.56"/>
    <n v="0"/>
    <n v="143.12"/>
    <m/>
    <m/>
    <x v="3"/>
  </r>
  <r>
    <s v="K7-11613"/>
    <x v="334"/>
    <x v="9"/>
    <x v="2"/>
    <x v="1"/>
    <x v="0"/>
    <x v="2"/>
    <x v="16"/>
    <s v="Grace Okafor"/>
    <n v="1"/>
    <n v="58.61"/>
    <n v="0"/>
    <n v="58.61"/>
    <m/>
    <m/>
    <x v="0"/>
  </r>
  <r>
    <s v="K7-11614"/>
    <x v="113"/>
    <x v="16"/>
    <x v="0"/>
    <x v="0"/>
    <x v="0"/>
    <x v="5"/>
    <x v="17"/>
    <s v="Elena Vargas"/>
    <n v="6"/>
    <n v="212.51"/>
    <n v="0"/>
    <n v="1275.06"/>
    <m/>
    <m/>
    <x v="8"/>
  </r>
  <r>
    <s v="K7-11615"/>
    <x v="240"/>
    <x v="28"/>
    <x v="0"/>
    <x v="3"/>
    <x v="1"/>
    <x v="5"/>
    <x v="9"/>
    <s v="Marcus Reed"/>
    <n v="3"/>
    <n v="86.71"/>
    <n v="0"/>
    <n v="260.13"/>
    <m/>
    <m/>
    <x v="10"/>
  </r>
  <r>
    <s v="K7-11616"/>
    <x v="13"/>
    <x v="7"/>
    <x v="2"/>
    <x v="2"/>
    <x v="0"/>
    <x v="4"/>
    <x v="6"/>
    <s v="Dylan Foster"/>
    <n v="1"/>
    <n v="59.08"/>
    <n v="0.05"/>
    <n v="56.13"/>
    <m/>
    <m/>
    <x v="4"/>
  </r>
  <r>
    <s v="K7-11617"/>
    <x v="358"/>
    <x v="24"/>
    <x v="2"/>
    <x v="0"/>
    <x v="1"/>
    <x v="4"/>
    <x v="6"/>
    <s v="Elena Vargas"/>
    <n v="18"/>
    <n v="58.06"/>
    <n v="0"/>
    <n v="1045.08"/>
    <m/>
    <m/>
    <x v="5"/>
  </r>
  <r>
    <s v="K7-11618"/>
    <x v="89"/>
    <x v="2"/>
    <x v="2"/>
    <x v="2"/>
    <x v="0"/>
    <x v="4"/>
    <x v="13"/>
    <s v="Marcus Reed"/>
    <n v="4"/>
    <n v="98.02"/>
    <n v="0"/>
    <n v="392.08"/>
    <m/>
    <m/>
    <x v="5"/>
  </r>
  <r>
    <s v="K7-11619"/>
    <x v="308"/>
    <x v="6"/>
    <x v="2"/>
    <x v="0"/>
    <x v="0"/>
    <x v="0"/>
    <x v="20"/>
    <s v="Elena Vargas"/>
    <n v="1"/>
    <n v="69.12"/>
    <n v="0"/>
    <n v="69.12"/>
    <m/>
    <m/>
    <x v="11"/>
  </r>
  <r>
    <s v="K7-11620"/>
    <x v="255"/>
    <x v="15"/>
    <x v="1"/>
    <x v="2"/>
    <x v="1"/>
    <x v="1"/>
    <x v="1"/>
    <s v="Marcus Reed"/>
    <n v="5"/>
    <n v="126.96"/>
    <n v="0"/>
    <n v="634.79999999999995"/>
    <m/>
    <m/>
    <x v="5"/>
  </r>
  <r>
    <s v="K7-11621"/>
    <x v="235"/>
    <x v="29"/>
    <x v="1"/>
    <x v="0"/>
    <x v="0"/>
    <x v="0"/>
    <x v="20"/>
    <s v="Dylan Foster"/>
    <n v="3"/>
    <n v="71.63"/>
    <n v="0.1"/>
    <n v="193.4"/>
    <m/>
    <m/>
    <x v="11"/>
  </r>
  <r>
    <s v="K7-11622"/>
    <x v="101"/>
    <x v="5"/>
    <x v="0"/>
    <x v="1"/>
    <x v="0"/>
    <x v="3"/>
    <x v="10"/>
    <s v="Priya Nair"/>
    <n v="1"/>
    <n v="114.43"/>
    <n v="0"/>
    <n v="114.43"/>
    <m/>
    <m/>
    <x v="11"/>
  </r>
  <r>
    <s v="K7-11623"/>
    <x v="96"/>
    <x v="9"/>
    <x v="2"/>
    <x v="0"/>
    <x v="1"/>
    <x v="1"/>
    <x v="1"/>
    <s v="Noor Haddad"/>
    <n v="2"/>
    <n v="130.08000000000001"/>
    <n v="0"/>
    <n v="260.16000000000003"/>
    <m/>
    <m/>
    <x v="3"/>
  </r>
  <r>
    <s v="K7-11624"/>
    <x v="233"/>
    <x v="9"/>
    <x v="2"/>
    <x v="3"/>
    <x v="1"/>
    <x v="1"/>
    <x v="12"/>
    <s v="Noor Haddad"/>
    <n v="2"/>
    <n v="271.98"/>
    <n v="0"/>
    <n v="543.96"/>
    <m/>
    <m/>
    <x v="9"/>
  </r>
  <r>
    <s v="K7-11625"/>
    <x v="355"/>
    <x v="3"/>
    <x v="0"/>
    <x v="1"/>
    <x v="0"/>
    <x v="5"/>
    <x v="7"/>
    <s v="Priya Nair"/>
    <n v="1"/>
    <n v="147.68"/>
    <n v="0"/>
    <n v="147.68"/>
    <m/>
    <m/>
    <x v="9"/>
  </r>
  <r>
    <s v="K7-11626"/>
    <x v="321"/>
    <x v="4"/>
    <x v="3"/>
    <x v="1"/>
    <x v="0"/>
    <x v="4"/>
    <x v="6"/>
    <s v="Dylan Foster"/>
    <n v="5"/>
    <n v="56.27"/>
    <n v="0"/>
    <n v="281.35000000000002"/>
    <m/>
    <m/>
    <x v="5"/>
  </r>
  <r>
    <s v="K7-11627"/>
    <x v="337"/>
    <x v="2"/>
    <x v="2"/>
    <x v="3"/>
    <x v="0"/>
    <x v="4"/>
    <x v="6"/>
    <s v="Grace Okafor"/>
    <n v="1"/>
    <n v="56.44"/>
    <n v="0"/>
    <n v="56.44"/>
    <m/>
    <m/>
    <x v="9"/>
  </r>
  <r>
    <s v="K7-11628"/>
    <x v="5"/>
    <x v="4"/>
    <x v="3"/>
    <x v="3"/>
    <x v="1"/>
    <x v="4"/>
    <x v="14"/>
    <s v="Marcus Reed"/>
    <n v="1"/>
    <n v="73.2"/>
    <n v="0"/>
    <n v="73.2"/>
    <m/>
    <m/>
    <x v="3"/>
  </r>
  <r>
    <s v="K7-11629"/>
    <x v="244"/>
    <x v="0"/>
    <x v="0"/>
    <x v="3"/>
    <x v="0"/>
    <x v="1"/>
    <x v="12"/>
    <s v="Dylan Foster"/>
    <n v="4"/>
    <n v="310.33999999999997"/>
    <n v="0.15"/>
    <n v="1055.1600000000001"/>
    <m/>
    <m/>
    <x v="4"/>
  </r>
  <r>
    <s v="K7-11630"/>
    <x v="86"/>
    <x v="21"/>
    <x v="0"/>
    <x v="1"/>
    <x v="0"/>
    <x v="5"/>
    <x v="7"/>
    <s v="Dylan Foster"/>
    <n v="1"/>
    <n v="162.34"/>
    <n v="0"/>
    <n v="162.34"/>
    <m/>
    <m/>
    <x v="0"/>
  </r>
  <r>
    <s v="K7-11631"/>
    <x v="37"/>
    <x v="7"/>
    <x v="2"/>
    <x v="3"/>
    <x v="0"/>
    <x v="0"/>
    <x v="20"/>
    <s v="Grace Okafor"/>
    <n v="3"/>
    <n v="62.65"/>
    <n v="0"/>
    <n v="187.95"/>
    <m/>
    <m/>
    <x v="10"/>
  </r>
  <r>
    <s v="K7-11632"/>
    <x v="148"/>
    <x v="4"/>
    <x v="3"/>
    <x v="0"/>
    <x v="0"/>
    <x v="0"/>
    <x v="18"/>
    <s v="Marcus Reed"/>
    <n v="6"/>
    <n v="34.54"/>
    <n v="0"/>
    <n v="207.24"/>
    <m/>
    <m/>
    <x v="0"/>
  </r>
  <r>
    <s v="K7-11633"/>
    <x v="173"/>
    <x v="8"/>
    <x v="1"/>
    <x v="0"/>
    <x v="1"/>
    <x v="0"/>
    <x v="0"/>
    <s v="Noor Haddad"/>
    <n v="2"/>
    <n v="55.7"/>
    <n v="0.05"/>
    <n v="105.83"/>
    <m/>
    <m/>
    <x v="10"/>
  </r>
  <r>
    <s v="K7-11634"/>
    <x v="184"/>
    <x v="20"/>
    <x v="3"/>
    <x v="1"/>
    <x v="1"/>
    <x v="4"/>
    <x v="14"/>
    <s v="Ava Brooks"/>
    <n v="1"/>
    <n v="74.33"/>
    <n v="0.05"/>
    <n v="70.61"/>
    <m/>
    <m/>
    <x v="10"/>
  </r>
  <r>
    <s v="K7-11635"/>
    <x v="18"/>
    <x v="20"/>
    <x v="3"/>
    <x v="3"/>
    <x v="0"/>
    <x v="5"/>
    <x v="9"/>
    <s v="Jonah Wright"/>
    <n v="1"/>
    <n v="83.19"/>
    <n v="0"/>
    <n v="83.19"/>
    <m/>
    <m/>
    <x v="10"/>
  </r>
  <r>
    <s v="K7-11636"/>
    <x v="219"/>
    <x v="8"/>
    <x v="1"/>
    <x v="1"/>
    <x v="0"/>
    <x v="3"/>
    <x v="4"/>
    <s v="Grace Okafor"/>
    <n v="1"/>
    <n v="134.31"/>
    <n v="0.05"/>
    <n v="127.59"/>
    <m/>
    <m/>
    <x v="11"/>
  </r>
  <r>
    <s v="K7-11637"/>
    <x v="57"/>
    <x v="16"/>
    <x v="0"/>
    <x v="3"/>
    <x v="1"/>
    <x v="0"/>
    <x v="18"/>
    <s v="Ava Brooks"/>
    <n v="5"/>
    <n v="31.56"/>
    <n v="0"/>
    <n v="157.80000000000001"/>
    <m/>
    <m/>
    <x v="1"/>
  </r>
  <r>
    <s v="K7-11638"/>
    <x v="260"/>
    <x v="4"/>
    <x v="3"/>
    <x v="2"/>
    <x v="1"/>
    <x v="2"/>
    <x v="5"/>
    <s v="Ava Brooks"/>
    <n v="2"/>
    <n v="36.82"/>
    <n v="0"/>
    <n v="73.64"/>
    <m/>
    <m/>
    <x v="4"/>
  </r>
  <r>
    <s v="K7-11639"/>
    <x v="236"/>
    <x v="8"/>
    <x v="1"/>
    <x v="3"/>
    <x v="0"/>
    <x v="5"/>
    <x v="17"/>
    <s v="Marcus Reed"/>
    <n v="3"/>
    <n v="211.68"/>
    <n v="0.2"/>
    <n v="508.03"/>
    <m/>
    <m/>
    <x v="4"/>
  </r>
  <r>
    <s v="K7-11640"/>
    <x v="263"/>
    <x v="11"/>
    <x v="3"/>
    <x v="1"/>
    <x v="1"/>
    <x v="4"/>
    <x v="6"/>
    <s v="Noor Haddad"/>
    <n v="10"/>
    <n v="55.49"/>
    <n v="0"/>
    <n v="554.9"/>
    <m/>
    <m/>
    <x v="4"/>
  </r>
  <r>
    <s v="K7-11641"/>
    <x v="105"/>
    <x v="19"/>
    <x v="1"/>
    <x v="0"/>
    <x v="0"/>
    <x v="4"/>
    <x v="14"/>
    <s v="Marcus Reed"/>
    <n v="4"/>
    <n v="71.900000000000006"/>
    <n v="0"/>
    <n v="287.60000000000002"/>
    <m/>
    <m/>
    <x v="11"/>
  </r>
  <r>
    <s v="K7-11642"/>
    <x v="209"/>
    <x v="1"/>
    <x v="1"/>
    <x v="1"/>
    <x v="1"/>
    <x v="1"/>
    <x v="12"/>
    <s v="Ava Brooks"/>
    <n v="1"/>
    <n v="285.48"/>
    <n v="0"/>
    <n v="285.48"/>
    <m/>
    <m/>
    <x v="0"/>
  </r>
  <r>
    <s v="K7-11643"/>
    <x v="92"/>
    <x v="21"/>
    <x v="0"/>
    <x v="0"/>
    <x v="0"/>
    <x v="3"/>
    <x v="4"/>
    <s v="Noor Haddad"/>
    <n v="2"/>
    <n v="137.72999999999999"/>
    <n v="0.3"/>
    <n v="192.82"/>
    <m/>
    <m/>
    <x v="3"/>
  </r>
  <r>
    <s v="K7-11644"/>
    <x v="309"/>
    <x v="20"/>
    <x v="3"/>
    <x v="1"/>
    <x v="0"/>
    <x v="1"/>
    <x v="1"/>
    <s v="Priya Nair"/>
    <n v="4"/>
    <n v="131.16"/>
    <n v="0.15"/>
    <n v="445.94"/>
    <m/>
    <m/>
    <x v="5"/>
  </r>
  <r>
    <s v="K7-11645"/>
    <x v="86"/>
    <x v="6"/>
    <x v="2"/>
    <x v="1"/>
    <x v="0"/>
    <x v="4"/>
    <x v="6"/>
    <s v="Ava Brooks"/>
    <n v="3"/>
    <n v="61.05"/>
    <n v="0"/>
    <n v="183.15"/>
    <m/>
    <m/>
    <x v="0"/>
  </r>
  <r>
    <s v="K7-11646"/>
    <x v="312"/>
    <x v="16"/>
    <x v="0"/>
    <x v="1"/>
    <x v="0"/>
    <x v="1"/>
    <x v="3"/>
    <s v="Dylan Foster"/>
    <n v="2"/>
    <n v="179.02"/>
    <n v="0"/>
    <n v="358.04"/>
    <m/>
    <m/>
    <x v="2"/>
  </r>
  <r>
    <s v="K7-11647"/>
    <x v="138"/>
    <x v="10"/>
    <x v="3"/>
    <x v="0"/>
    <x v="1"/>
    <x v="4"/>
    <x v="11"/>
    <s v="Marcus Reed"/>
    <n v="10"/>
    <n v="84.61"/>
    <n v="0"/>
    <n v="846.1"/>
    <m/>
    <m/>
    <x v="1"/>
  </r>
  <r>
    <s v="K7-11648"/>
    <x v="345"/>
    <x v="4"/>
    <x v="3"/>
    <x v="3"/>
    <x v="1"/>
    <x v="3"/>
    <x v="10"/>
    <s v="Jonah Wright"/>
    <n v="11"/>
    <n v="124.56"/>
    <n v="0.1"/>
    <n v="1233.1400000000001"/>
    <m/>
    <m/>
    <x v="6"/>
  </r>
  <r>
    <s v="K7-11649"/>
    <x v="214"/>
    <x v="21"/>
    <x v="0"/>
    <x v="1"/>
    <x v="0"/>
    <x v="0"/>
    <x v="0"/>
    <s v="Dylan Foster"/>
    <n v="4"/>
    <n v="50.94"/>
    <n v="0.15"/>
    <n v="173.2"/>
    <m/>
    <m/>
    <x v="11"/>
  </r>
  <r>
    <s v="K7-11650"/>
    <x v="110"/>
    <x v="7"/>
    <x v="2"/>
    <x v="3"/>
    <x v="1"/>
    <x v="0"/>
    <x v="18"/>
    <s v="Grace Okafor"/>
    <n v="1"/>
    <n v="33.01"/>
    <n v="0"/>
    <n v="33.01"/>
    <m/>
    <m/>
    <x v="1"/>
  </r>
  <r>
    <s v="K7-11651"/>
    <x v="305"/>
    <x v="1"/>
    <x v="1"/>
    <x v="0"/>
    <x v="1"/>
    <x v="5"/>
    <x v="9"/>
    <s v="Priya Nair"/>
    <n v="2"/>
    <n v="91.11"/>
    <n v="0"/>
    <n v="182.22"/>
    <m/>
    <m/>
    <x v="6"/>
  </r>
  <r>
    <s v="K7-11652"/>
    <x v="138"/>
    <x v="16"/>
    <x v="0"/>
    <x v="1"/>
    <x v="1"/>
    <x v="1"/>
    <x v="3"/>
    <s v="Elena Vargas"/>
    <n v="2"/>
    <n v="177"/>
    <n v="0.1"/>
    <n v="318.60000000000002"/>
    <m/>
    <m/>
    <x v="1"/>
  </r>
  <r>
    <s v="K7-11653"/>
    <x v="57"/>
    <x v="7"/>
    <x v="2"/>
    <x v="0"/>
    <x v="0"/>
    <x v="5"/>
    <x v="17"/>
    <s v="Elena Vargas"/>
    <n v="1"/>
    <n v="201.17"/>
    <n v="0"/>
    <n v="201.17"/>
    <m/>
    <m/>
    <x v="1"/>
  </r>
  <r>
    <s v="K7-11654"/>
    <x v="266"/>
    <x v="0"/>
    <x v="0"/>
    <x v="1"/>
    <x v="0"/>
    <x v="1"/>
    <x v="1"/>
    <s v="Elena Vargas"/>
    <n v="2"/>
    <n v="130.41"/>
    <n v="0"/>
    <n v="260.82"/>
    <m/>
    <m/>
    <x v="1"/>
  </r>
  <r>
    <s v="K7-11655"/>
    <x v="163"/>
    <x v="5"/>
    <x v="0"/>
    <x v="3"/>
    <x v="0"/>
    <x v="1"/>
    <x v="8"/>
    <s v="Ava Brooks"/>
    <n v="8"/>
    <n v="256.13"/>
    <n v="0"/>
    <n v="2049.04"/>
    <m/>
    <m/>
    <x v="10"/>
  </r>
  <r>
    <s v="K7-11656"/>
    <x v="358"/>
    <x v="0"/>
    <x v="0"/>
    <x v="2"/>
    <x v="0"/>
    <x v="5"/>
    <x v="17"/>
    <s v="Noor Haddad"/>
    <n v="1"/>
    <n v="226.71"/>
    <n v="0"/>
    <n v="226.71"/>
    <m/>
    <m/>
    <x v="5"/>
  </r>
  <r>
    <s v="K7-11657"/>
    <x v="199"/>
    <x v="10"/>
    <x v="3"/>
    <x v="3"/>
    <x v="0"/>
    <x v="1"/>
    <x v="8"/>
    <s v="Marcus Reed"/>
    <n v="3"/>
    <n v="255.7"/>
    <n v="0"/>
    <n v="767.1"/>
    <m/>
    <m/>
    <x v="1"/>
  </r>
  <r>
    <s v="K7-11658"/>
    <x v="32"/>
    <x v="2"/>
    <x v="2"/>
    <x v="0"/>
    <x v="1"/>
    <x v="5"/>
    <x v="17"/>
    <s v="Grace Okafor"/>
    <n v="5"/>
    <n v="230.86"/>
    <n v="0"/>
    <n v="1154.3"/>
    <m/>
    <m/>
    <x v="9"/>
  </r>
  <r>
    <s v="K7-11659"/>
    <x v="215"/>
    <x v="24"/>
    <x v="2"/>
    <x v="3"/>
    <x v="1"/>
    <x v="3"/>
    <x v="10"/>
    <s v="Marcus Reed"/>
    <n v="1"/>
    <n v="111.14"/>
    <n v="0"/>
    <n v="111.14"/>
    <m/>
    <m/>
    <x v="3"/>
  </r>
  <r>
    <s v="K7-11660"/>
    <x v="305"/>
    <x v="7"/>
    <x v="2"/>
    <x v="0"/>
    <x v="1"/>
    <x v="0"/>
    <x v="0"/>
    <s v="Noor Haddad"/>
    <n v="2"/>
    <n v="52.7"/>
    <n v="0"/>
    <n v="105.4"/>
    <m/>
    <m/>
    <x v="6"/>
  </r>
  <r>
    <s v="K7-11661"/>
    <x v="324"/>
    <x v="13"/>
    <x v="0"/>
    <x v="0"/>
    <x v="0"/>
    <x v="5"/>
    <x v="9"/>
    <s v="Grace Okafor"/>
    <n v="1"/>
    <n v="94.12"/>
    <n v="0.1"/>
    <n v="84.71"/>
    <m/>
    <m/>
    <x v="9"/>
  </r>
  <r>
    <s v="K7-11662"/>
    <x v="212"/>
    <x v="7"/>
    <x v="2"/>
    <x v="0"/>
    <x v="0"/>
    <x v="0"/>
    <x v="21"/>
    <s v="Marcus Reed"/>
    <n v="1"/>
    <n v="43.58"/>
    <n v="0"/>
    <n v="43.58"/>
    <m/>
    <m/>
    <x v="10"/>
  </r>
  <r>
    <s v="K7-11663"/>
    <x v="25"/>
    <x v="0"/>
    <x v="0"/>
    <x v="3"/>
    <x v="1"/>
    <x v="5"/>
    <x v="7"/>
    <s v="Elena Vargas"/>
    <n v="2"/>
    <n v="166.63"/>
    <n v="0.2"/>
    <n v="266.61"/>
    <m/>
    <m/>
    <x v="4"/>
  </r>
  <r>
    <s v="K7-11664"/>
    <x v="285"/>
    <x v="21"/>
    <x v="0"/>
    <x v="1"/>
    <x v="1"/>
    <x v="5"/>
    <x v="7"/>
    <s v="Ava Brooks"/>
    <n v="4"/>
    <n v="160.65"/>
    <n v="0.05"/>
    <n v="610.47"/>
    <m/>
    <m/>
    <x v="5"/>
  </r>
  <r>
    <s v="K7-11665"/>
    <x v="252"/>
    <x v="5"/>
    <x v="0"/>
    <x v="1"/>
    <x v="0"/>
    <x v="3"/>
    <x v="10"/>
    <s v="Noor Haddad"/>
    <n v="10"/>
    <n v="114.37"/>
    <n v="0.05"/>
    <n v="1086.52"/>
    <m/>
    <m/>
    <x v="5"/>
  </r>
  <r>
    <s v="K7-11666"/>
    <x v="85"/>
    <x v="5"/>
    <x v="0"/>
    <x v="2"/>
    <x v="0"/>
    <x v="4"/>
    <x v="11"/>
    <s v="Marcus Reed"/>
    <n v="1"/>
    <n v="80.09"/>
    <n v="0"/>
    <n v="80.09"/>
    <m/>
    <m/>
    <x v="8"/>
  </r>
  <r>
    <s v="K7-11667"/>
    <x v="362"/>
    <x v="20"/>
    <x v="3"/>
    <x v="0"/>
    <x v="0"/>
    <x v="4"/>
    <x v="13"/>
    <s v="Grace Okafor"/>
    <n v="1"/>
    <n v="86.21"/>
    <n v="0"/>
    <n v="86.21"/>
    <m/>
    <m/>
    <x v="11"/>
  </r>
  <r>
    <s v="K7-11668"/>
    <x v="26"/>
    <x v="1"/>
    <x v="1"/>
    <x v="0"/>
    <x v="0"/>
    <x v="5"/>
    <x v="7"/>
    <s v="Jonah Wright"/>
    <n v="1"/>
    <n v="153.37"/>
    <n v="0"/>
    <n v="153.37"/>
    <m/>
    <m/>
    <x v="8"/>
  </r>
  <r>
    <s v="K7-11669"/>
    <x v="361"/>
    <x v="15"/>
    <x v="1"/>
    <x v="1"/>
    <x v="0"/>
    <x v="5"/>
    <x v="17"/>
    <s v="Grace Okafor"/>
    <n v="18"/>
    <n v="200.91"/>
    <n v="0.15"/>
    <n v="3073.92"/>
    <m/>
    <m/>
    <x v="5"/>
  </r>
  <r>
    <s v="K7-11670"/>
    <x v="184"/>
    <x v="12"/>
    <x v="3"/>
    <x v="2"/>
    <x v="0"/>
    <x v="3"/>
    <x v="15"/>
    <s v="Grace Okafor"/>
    <n v="2"/>
    <n v="98.16"/>
    <n v="0"/>
    <n v="196.32"/>
    <m/>
    <m/>
    <x v="10"/>
  </r>
  <r>
    <s v="K7-11671"/>
    <x v="191"/>
    <x v="15"/>
    <x v="1"/>
    <x v="0"/>
    <x v="0"/>
    <x v="4"/>
    <x v="6"/>
    <s v="Grace Okafor"/>
    <n v="2"/>
    <n v="60"/>
    <n v="0"/>
    <n v="120"/>
    <m/>
    <m/>
    <x v="5"/>
  </r>
  <r>
    <s v="K7-11672"/>
    <x v="344"/>
    <x v="0"/>
    <x v="0"/>
    <x v="3"/>
    <x v="1"/>
    <x v="1"/>
    <x v="8"/>
    <s v="Grace Okafor"/>
    <n v="11"/>
    <n v="258.06"/>
    <n v="0"/>
    <n v="2838.66"/>
    <m/>
    <m/>
    <x v="8"/>
  </r>
  <r>
    <s v="K7-11673"/>
    <x v="25"/>
    <x v="15"/>
    <x v="1"/>
    <x v="1"/>
    <x v="0"/>
    <x v="5"/>
    <x v="17"/>
    <s v="Marcus Reed"/>
    <n v="1"/>
    <n v="207.45"/>
    <n v="0"/>
    <n v="207.45"/>
    <m/>
    <m/>
    <x v="4"/>
  </r>
  <r>
    <s v="K7-11674"/>
    <x v="13"/>
    <x v="15"/>
    <x v="1"/>
    <x v="3"/>
    <x v="1"/>
    <x v="0"/>
    <x v="0"/>
    <s v="Ava Brooks"/>
    <n v="4"/>
    <n v="54.29"/>
    <n v="0"/>
    <n v="217.16"/>
    <m/>
    <m/>
    <x v="4"/>
  </r>
  <r>
    <s v="K7-11675"/>
    <x v="242"/>
    <x v="14"/>
    <x v="2"/>
    <x v="0"/>
    <x v="0"/>
    <x v="5"/>
    <x v="17"/>
    <s v="Marcus Reed"/>
    <n v="11"/>
    <n v="198.2"/>
    <n v="0"/>
    <n v="2180.1999999999998"/>
    <m/>
    <m/>
    <x v="3"/>
  </r>
  <r>
    <s v="K7-11676"/>
    <x v="314"/>
    <x v="5"/>
    <x v="0"/>
    <x v="1"/>
    <x v="0"/>
    <x v="3"/>
    <x v="15"/>
    <s v="Grace Okafor"/>
    <n v="1"/>
    <n v="102.52"/>
    <n v="0"/>
    <n v="102.52"/>
    <m/>
    <m/>
    <x v="9"/>
  </r>
  <r>
    <s v="K7-11677"/>
    <x v="280"/>
    <x v="22"/>
    <x v="0"/>
    <x v="1"/>
    <x v="0"/>
    <x v="0"/>
    <x v="0"/>
    <s v="Marcus Reed"/>
    <n v="1"/>
    <n v="50.47"/>
    <n v="0"/>
    <n v="50.47"/>
    <m/>
    <m/>
    <x v="4"/>
  </r>
  <r>
    <s v="K7-11678"/>
    <x v="271"/>
    <x v="7"/>
    <x v="2"/>
    <x v="2"/>
    <x v="1"/>
    <x v="1"/>
    <x v="1"/>
    <s v="Elena Vargas"/>
    <n v="1"/>
    <n v="129.72"/>
    <n v="0"/>
    <n v="129.72"/>
    <m/>
    <m/>
    <x v="2"/>
  </r>
  <r>
    <s v="K7-11679"/>
    <x v="327"/>
    <x v="0"/>
    <x v="0"/>
    <x v="3"/>
    <x v="0"/>
    <x v="5"/>
    <x v="9"/>
    <s v="Noor Haddad"/>
    <n v="1"/>
    <n v="83.12"/>
    <n v="0"/>
    <n v="83.12"/>
    <m/>
    <m/>
    <x v="8"/>
  </r>
  <r>
    <s v="K7-11680"/>
    <x v="101"/>
    <x v="7"/>
    <x v="2"/>
    <x v="3"/>
    <x v="0"/>
    <x v="2"/>
    <x v="19"/>
    <s v="Priya Nair"/>
    <n v="2"/>
    <n v="46.38"/>
    <n v="0.15"/>
    <n v="78.849999999999994"/>
    <m/>
    <m/>
    <x v="11"/>
  </r>
  <r>
    <s v="K7-11681"/>
    <x v="211"/>
    <x v="7"/>
    <x v="2"/>
    <x v="1"/>
    <x v="0"/>
    <x v="3"/>
    <x v="10"/>
    <s v="Noor Haddad"/>
    <n v="2"/>
    <n v="123.6"/>
    <n v="0.05"/>
    <n v="234.84"/>
    <m/>
    <m/>
    <x v="3"/>
  </r>
  <r>
    <s v="K7-11682"/>
    <x v="261"/>
    <x v="13"/>
    <x v="0"/>
    <x v="1"/>
    <x v="0"/>
    <x v="2"/>
    <x v="19"/>
    <s v="Elena Vargas"/>
    <n v="1"/>
    <n v="45.87"/>
    <n v="0"/>
    <n v="45.87"/>
    <m/>
    <m/>
    <x v="11"/>
  </r>
  <r>
    <s v="K7-11683"/>
    <x v="25"/>
    <x v="16"/>
    <x v="0"/>
    <x v="1"/>
    <x v="1"/>
    <x v="5"/>
    <x v="17"/>
    <s v="Jonah Wright"/>
    <n v="10"/>
    <n v="214.24"/>
    <n v="0"/>
    <n v="2142.4"/>
    <m/>
    <m/>
    <x v="4"/>
  </r>
  <r>
    <s v="K7-11684"/>
    <x v="251"/>
    <x v="16"/>
    <x v="0"/>
    <x v="1"/>
    <x v="0"/>
    <x v="0"/>
    <x v="0"/>
    <s v="Marcus Reed"/>
    <n v="4"/>
    <n v="53.42"/>
    <n v="0"/>
    <n v="213.68"/>
    <m/>
    <m/>
    <x v="1"/>
  </r>
  <r>
    <s v="K7-11685"/>
    <x v="98"/>
    <x v="18"/>
    <x v="3"/>
    <x v="2"/>
    <x v="0"/>
    <x v="1"/>
    <x v="1"/>
    <s v="Jonah Wright"/>
    <n v="4"/>
    <n v="120.24"/>
    <n v="0"/>
    <n v="480.96"/>
    <m/>
    <m/>
    <x v="2"/>
  </r>
  <r>
    <s v="K7-11686"/>
    <x v="304"/>
    <x v="0"/>
    <x v="0"/>
    <x v="2"/>
    <x v="0"/>
    <x v="4"/>
    <x v="6"/>
    <s v="Grace Okafor"/>
    <n v="6"/>
    <n v="56.8"/>
    <n v="0.1"/>
    <n v="306.72000000000003"/>
    <m/>
    <m/>
    <x v="2"/>
  </r>
  <r>
    <s v="K7-11687"/>
    <x v="94"/>
    <x v="0"/>
    <x v="0"/>
    <x v="1"/>
    <x v="1"/>
    <x v="5"/>
    <x v="9"/>
    <s v="Jonah Wright"/>
    <n v="2"/>
    <n v="89.45"/>
    <n v="0"/>
    <n v="178.9"/>
    <m/>
    <m/>
    <x v="6"/>
  </r>
  <r>
    <s v="K7-11688"/>
    <x v="128"/>
    <x v="14"/>
    <x v="2"/>
    <x v="0"/>
    <x v="0"/>
    <x v="0"/>
    <x v="18"/>
    <s v="Noor Haddad"/>
    <n v="1"/>
    <n v="34.549999999999997"/>
    <n v="0"/>
    <n v="34.549999999999997"/>
    <m/>
    <m/>
    <x v="7"/>
  </r>
  <r>
    <s v="K7-11689"/>
    <x v="358"/>
    <x v="16"/>
    <x v="0"/>
    <x v="3"/>
    <x v="0"/>
    <x v="3"/>
    <x v="4"/>
    <s v="Grace Okafor"/>
    <n v="2"/>
    <n v="139.77000000000001"/>
    <n v="0"/>
    <n v="279.54000000000002"/>
    <m/>
    <m/>
    <x v="5"/>
  </r>
  <r>
    <s v="K7-11690"/>
    <x v="69"/>
    <x v="14"/>
    <x v="2"/>
    <x v="3"/>
    <x v="1"/>
    <x v="4"/>
    <x v="13"/>
    <s v="Grace Okafor"/>
    <n v="1"/>
    <n v="95.23"/>
    <n v="0"/>
    <n v="95.23"/>
    <m/>
    <m/>
    <x v="1"/>
  </r>
  <r>
    <s v="K7-11691"/>
    <x v="158"/>
    <x v="25"/>
    <x v="3"/>
    <x v="1"/>
    <x v="1"/>
    <x v="0"/>
    <x v="20"/>
    <s v="Dylan Foster"/>
    <n v="1"/>
    <n v="72.88"/>
    <n v="0"/>
    <n v="72.88"/>
    <m/>
    <m/>
    <x v="8"/>
  </r>
  <r>
    <s v="K7-11692"/>
    <x v="140"/>
    <x v="0"/>
    <x v="0"/>
    <x v="1"/>
    <x v="0"/>
    <x v="3"/>
    <x v="4"/>
    <s v="Priya Nair"/>
    <n v="10"/>
    <n v="139.44"/>
    <n v="0.2"/>
    <n v="1115.52"/>
    <m/>
    <m/>
    <x v="2"/>
  </r>
  <r>
    <s v="K7-11693"/>
    <x v="355"/>
    <x v="0"/>
    <x v="0"/>
    <x v="3"/>
    <x v="1"/>
    <x v="2"/>
    <x v="2"/>
    <s v="Grace Okafor"/>
    <n v="7"/>
    <n v="25.38"/>
    <n v="0"/>
    <n v="177.66"/>
    <m/>
    <m/>
    <x v="9"/>
  </r>
  <r>
    <s v="K7-11694"/>
    <x v="248"/>
    <x v="29"/>
    <x v="1"/>
    <x v="3"/>
    <x v="0"/>
    <x v="5"/>
    <x v="9"/>
    <s v="Ava Brooks"/>
    <n v="3"/>
    <n v="84.16"/>
    <n v="0.05"/>
    <n v="239.86"/>
    <m/>
    <m/>
    <x v="1"/>
  </r>
  <r>
    <s v="K7-11695"/>
    <x v="223"/>
    <x v="7"/>
    <x v="2"/>
    <x v="3"/>
    <x v="1"/>
    <x v="5"/>
    <x v="9"/>
    <s v="Elena Vargas"/>
    <n v="6"/>
    <n v="92.75"/>
    <n v="0"/>
    <n v="556.5"/>
    <m/>
    <m/>
    <x v="1"/>
  </r>
  <r>
    <s v="K7-11696"/>
    <x v="238"/>
    <x v="11"/>
    <x v="3"/>
    <x v="2"/>
    <x v="1"/>
    <x v="5"/>
    <x v="9"/>
    <s v="Dylan Foster"/>
    <n v="1"/>
    <n v="82.71"/>
    <n v="0"/>
    <n v="82.71"/>
    <m/>
    <m/>
    <x v="3"/>
  </r>
  <r>
    <s v="K7-11697"/>
    <x v="231"/>
    <x v="25"/>
    <x v="3"/>
    <x v="2"/>
    <x v="0"/>
    <x v="5"/>
    <x v="9"/>
    <s v="Ava Brooks"/>
    <n v="11"/>
    <n v="93.41"/>
    <n v="0.05"/>
    <n v="976.13"/>
    <m/>
    <m/>
    <x v="3"/>
  </r>
  <r>
    <s v="K7-11698"/>
    <x v="16"/>
    <x v="28"/>
    <x v="0"/>
    <x v="0"/>
    <x v="1"/>
    <x v="0"/>
    <x v="0"/>
    <s v="Priya Nair"/>
    <n v="4"/>
    <n v="55.05"/>
    <n v="0.2"/>
    <n v="176.16"/>
    <m/>
    <m/>
    <x v="3"/>
  </r>
  <r>
    <s v="K7-11699"/>
    <x v="18"/>
    <x v="5"/>
    <x v="0"/>
    <x v="1"/>
    <x v="1"/>
    <x v="0"/>
    <x v="0"/>
    <s v="Elena Vargas"/>
    <n v="2"/>
    <n v="50.92"/>
    <n v="0"/>
    <n v="101.84"/>
    <m/>
    <m/>
    <x v="10"/>
  </r>
  <r>
    <s v="K7-11700"/>
    <x v="200"/>
    <x v="3"/>
    <x v="0"/>
    <x v="0"/>
    <x v="0"/>
    <x v="5"/>
    <x v="9"/>
    <s v="Noor Haddad"/>
    <n v="10"/>
    <n v="84.94"/>
    <n v="0"/>
    <n v="849.4"/>
    <m/>
    <m/>
    <x v="0"/>
  </r>
  <r>
    <s v="K7-11701"/>
    <x v="256"/>
    <x v="16"/>
    <x v="0"/>
    <x v="0"/>
    <x v="0"/>
    <x v="5"/>
    <x v="17"/>
    <s v="Priya Nair"/>
    <n v="6"/>
    <n v="215.49"/>
    <n v="0"/>
    <n v="1292.94"/>
    <m/>
    <m/>
    <x v="2"/>
  </r>
  <r>
    <s v="K7-11702"/>
    <x v="118"/>
    <x v="18"/>
    <x v="3"/>
    <x v="0"/>
    <x v="1"/>
    <x v="2"/>
    <x v="2"/>
    <s v="Priya Nair"/>
    <n v="2"/>
    <n v="25.51"/>
    <n v="0"/>
    <n v="51.02"/>
    <m/>
    <m/>
    <x v="5"/>
  </r>
  <r>
    <s v="K7-11703"/>
    <x v="331"/>
    <x v="9"/>
    <x v="2"/>
    <x v="0"/>
    <x v="0"/>
    <x v="4"/>
    <x v="14"/>
    <s v="Marcus Reed"/>
    <n v="1"/>
    <n v="78.709999999999994"/>
    <n v="0.15"/>
    <n v="66.900000000000006"/>
    <m/>
    <m/>
    <x v="4"/>
  </r>
  <r>
    <s v="K7-11704"/>
    <x v="0"/>
    <x v="3"/>
    <x v="0"/>
    <x v="3"/>
    <x v="0"/>
    <x v="1"/>
    <x v="8"/>
    <s v="Jonah Wright"/>
    <n v="3"/>
    <n v="246.14"/>
    <n v="0.1"/>
    <n v="664.58"/>
    <m/>
    <m/>
    <x v="0"/>
  </r>
  <r>
    <s v="K7-11705"/>
    <x v="77"/>
    <x v="22"/>
    <x v="0"/>
    <x v="0"/>
    <x v="1"/>
    <x v="2"/>
    <x v="16"/>
    <s v="Marcus Reed"/>
    <n v="4"/>
    <n v="60.37"/>
    <n v="0"/>
    <n v="241.48"/>
    <m/>
    <m/>
    <x v="9"/>
  </r>
  <r>
    <s v="K7-11706"/>
    <x v="223"/>
    <x v="16"/>
    <x v="0"/>
    <x v="0"/>
    <x v="0"/>
    <x v="2"/>
    <x v="2"/>
    <s v="Grace Okafor"/>
    <n v="8"/>
    <n v="27.87"/>
    <n v="0"/>
    <n v="222.96"/>
    <m/>
    <m/>
    <x v="1"/>
  </r>
  <r>
    <s v="K7-11707"/>
    <x v="165"/>
    <x v="20"/>
    <x v="3"/>
    <x v="1"/>
    <x v="1"/>
    <x v="2"/>
    <x v="2"/>
    <s v="Priya Nair"/>
    <n v="2"/>
    <n v="27.45"/>
    <n v="0.1"/>
    <n v="49.41"/>
    <m/>
    <m/>
    <x v="1"/>
  </r>
  <r>
    <s v="K7-11708"/>
    <x v="147"/>
    <x v="7"/>
    <x v="2"/>
    <x v="0"/>
    <x v="0"/>
    <x v="2"/>
    <x v="16"/>
    <s v="Marcus Reed"/>
    <n v="2"/>
    <n v="65.59"/>
    <n v="0"/>
    <n v="131.18"/>
    <m/>
    <m/>
    <x v="4"/>
  </r>
  <r>
    <s v="K7-11709"/>
    <x v="259"/>
    <x v="1"/>
    <x v="1"/>
    <x v="2"/>
    <x v="1"/>
    <x v="3"/>
    <x v="15"/>
    <s v="Jonah Wright"/>
    <n v="5"/>
    <n v="97.84"/>
    <n v="0"/>
    <n v="489.2"/>
    <m/>
    <m/>
    <x v="9"/>
  </r>
  <r>
    <s v="K7-11710"/>
    <x v="72"/>
    <x v="20"/>
    <x v="3"/>
    <x v="0"/>
    <x v="1"/>
    <x v="0"/>
    <x v="18"/>
    <s v="Jonah Wright"/>
    <n v="1"/>
    <n v="33.51"/>
    <n v="0"/>
    <n v="33.51"/>
    <m/>
    <m/>
    <x v="8"/>
  </r>
  <r>
    <s v="K7-11711"/>
    <x v="87"/>
    <x v="25"/>
    <x v="3"/>
    <x v="0"/>
    <x v="1"/>
    <x v="5"/>
    <x v="9"/>
    <s v="Grace Okafor"/>
    <n v="1"/>
    <n v="86.08"/>
    <n v="0.15"/>
    <n v="73.17"/>
    <m/>
    <m/>
    <x v="11"/>
  </r>
  <r>
    <s v="K7-11712"/>
    <x v="189"/>
    <x v="5"/>
    <x v="0"/>
    <x v="1"/>
    <x v="1"/>
    <x v="4"/>
    <x v="13"/>
    <s v="Ava Brooks"/>
    <n v="1"/>
    <n v="97.42"/>
    <n v="0"/>
    <n v="97.42"/>
    <m/>
    <m/>
    <x v="11"/>
  </r>
  <r>
    <s v="K7-11713"/>
    <x v="341"/>
    <x v="20"/>
    <x v="3"/>
    <x v="0"/>
    <x v="1"/>
    <x v="3"/>
    <x v="4"/>
    <s v="Grace Okafor"/>
    <n v="7"/>
    <n v="141.21"/>
    <n v="0"/>
    <n v="988.47"/>
    <m/>
    <m/>
    <x v="0"/>
  </r>
  <r>
    <s v="K7-11714"/>
    <x v="153"/>
    <x v="29"/>
    <x v="1"/>
    <x v="0"/>
    <x v="0"/>
    <x v="2"/>
    <x v="16"/>
    <s v="Noor Haddad"/>
    <n v="3"/>
    <n v="61.49"/>
    <n v="0"/>
    <n v="184.47"/>
    <m/>
    <m/>
    <x v="4"/>
  </r>
  <r>
    <s v="K7-11715"/>
    <x v="156"/>
    <x v="10"/>
    <x v="3"/>
    <x v="0"/>
    <x v="0"/>
    <x v="4"/>
    <x v="14"/>
    <s v="Noor Haddad"/>
    <n v="1"/>
    <n v="80.930000000000007"/>
    <n v="0.1"/>
    <n v="72.84"/>
    <m/>
    <m/>
    <x v="7"/>
  </r>
  <r>
    <s v="K7-11716"/>
    <x v="25"/>
    <x v="5"/>
    <x v="0"/>
    <x v="0"/>
    <x v="0"/>
    <x v="5"/>
    <x v="17"/>
    <s v="Priya Nair"/>
    <n v="1"/>
    <n v="213.43"/>
    <n v="0.2"/>
    <n v="170.74"/>
    <m/>
    <m/>
    <x v="4"/>
  </r>
  <r>
    <s v="K7-11717"/>
    <x v="147"/>
    <x v="4"/>
    <x v="3"/>
    <x v="0"/>
    <x v="0"/>
    <x v="0"/>
    <x v="18"/>
    <s v="Jonah Wright"/>
    <n v="1"/>
    <n v="30.35"/>
    <n v="0.15"/>
    <n v="25.8"/>
    <m/>
    <m/>
    <x v="4"/>
  </r>
  <r>
    <s v="K7-11718"/>
    <x v="361"/>
    <x v="3"/>
    <x v="0"/>
    <x v="0"/>
    <x v="1"/>
    <x v="5"/>
    <x v="17"/>
    <s v="Marcus Reed"/>
    <n v="4"/>
    <n v="213.55"/>
    <n v="0.2"/>
    <n v="683.36"/>
    <m/>
    <m/>
    <x v="5"/>
  </r>
  <r>
    <s v="K7-11719"/>
    <x v="285"/>
    <x v="1"/>
    <x v="1"/>
    <x v="1"/>
    <x v="1"/>
    <x v="1"/>
    <x v="1"/>
    <s v="Jonah Wright"/>
    <n v="18"/>
    <n v="120.57"/>
    <n v="0"/>
    <n v="2170.2600000000002"/>
    <m/>
    <m/>
    <x v="5"/>
  </r>
  <r>
    <s v="K7-11720"/>
    <x v="174"/>
    <x v="7"/>
    <x v="2"/>
    <x v="2"/>
    <x v="1"/>
    <x v="5"/>
    <x v="17"/>
    <s v="Noor Haddad"/>
    <n v="1"/>
    <n v="220.61"/>
    <n v="0"/>
    <n v="220.61"/>
    <m/>
    <m/>
    <x v="8"/>
  </r>
  <r>
    <s v="K7-11721"/>
    <x v="95"/>
    <x v="15"/>
    <x v="1"/>
    <x v="0"/>
    <x v="0"/>
    <x v="0"/>
    <x v="20"/>
    <s v="Ava Brooks"/>
    <n v="4"/>
    <n v="67.540000000000006"/>
    <n v="0.05"/>
    <n v="256.64999999999998"/>
    <m/>
    <m/>
    <x v="3"/>
  </r>
  <r>
    <s v="K7-11722"/>
    <x v="60"/>
    <x v="9"/>
    <x v="2"/>
    <x v="3"/>
    <x v="0"/>
    <x v="0"/>
    <x v="18"/>
    <s v="Ava Brooks"/>
    <n v="1"/>
    <n v="30.67"/>
    <n v="0"/>
    <n v="30.67"/>
    <m/>
    <m/>
    <x v="10"/>
  </r>
  <r>
    <s v="K7-11723"/>
    <x v="30"/>
    <x v="23"/>
    <x v="0"/>
    <x v="0"/>
    <x v="1"/>
    <x v="5"/>
    <x v="7"/>
    <s v="Dylan Foster"/>
    <n v="4"/>
    <n v="147.24"/>
    <n v="0"/>
    <n v="588.96"/>
    <m/>
    <m/>
    <x v="3"/>
  </r>
  <r>
    <s v="K7-11724"/>
    <x v="362"/>
    <x v="15"/>
    <x v="1"/>
    <x v="0"/>
    <x v="0"/>
    <x v="4"/>
    <x v="13"/>
    <s v="Marcus Reed"/>
    <n v="2"/>
    <n v="99.1"/>
    <n v="0"/>
    <n v="198.2"/>
    <m/>
    <m/>
    <x v="11"/>
  </r>
  <r>
    <s v="K7-11725"/>
    <x v="147"/>
    <x v="7"/>
    <x v="2"/>
    <x v="3"/>
    <x v="0"/>
    <x v="0"/>
    <x v="0"/>
    <s v="Dylan Foster"/>
    <n v="1"/>
    <n v="52.89"/>
    <n v="0.3"/>
    <n v="37.020000000000003"/>
    <m/>
    <m/>
    <x v="4"/>
  </r>
  <r>
    <s v="K7-11726"/>
    <x v="197"/>
    <x v="5"/>
    <x v="0"/>
    <x v="0"/>
    <x v="0"/>
    <x v="3"/>
    <x v="10"/>
    <s v="Jonah Wright"/>
    <n v="2"/>
    <n v="116.78"/>
    <n v="0.3"/>
    <n v="163.49"/>
    <m/>
    <m/>
    <x v="7"/>
  </r>
  <r>
    <s v="K7-11727"/>
    <x v="52"/>
    <x v="7"/>
    <x v="2"/>
    <x v="3"/>
    <x v="0"/>
    <x v="0"/>
    <x v="18"/>
    <s v="Dylan Foster"/>
    <n v="2"/>
    <n v="30.02"/>
    <n v="0"/>
    <n v="60.04"/>
    <m/>
    <m/>
    <x v="8"/>
  </r>
  <r>
    <s v="K7-11728"/>
    <x v="115"/>
    <x v="5"/>
    <x v="0"/>
    <x v="0"/>
    <x v="0"/>
    <x v="4"/>
    <x v="14"/>
    <s v="Dylan Foster"/>
    <n v="5"/>
    <n v="75.569999999999993"/>
    <n v="0"/>
    <n v="377.85"/>
    <m/>
    <m/>
    <x v="4"/>
  </r>
  <r>
    <s v="K7-11729"/>
    <x v="304"/>
    <x v="5"/>
    <x v="0"/>
    <x v="0"/>
    <x v="0"/>
    <x v="5"/>
    <x v="9"/>
    <s v="Dylan Foster"/>
    <n v="1"/>
    <n v="89.03"/>
    <n v="0"/>
    <n v="89.03"/>
    <m/>
    <m/>
    <x v="2"/>
  </r>
  <r>
    <s v="K7-11730"/>
    <x v="118"/>
    <x v="1"/>
    <x v="1"/>
    <x v="0"/>
    <x v="0"/>
    <x v="1"/>
    <x v="12"/>
    <s v="Dylan Foster"/>
    <n v="2"/>
    <n v="308.75"/>
    <n v="0"/>
    <n v="617.5"/>
    <m/>
    <m/>
    <x v="5"/>
  </r>
  <r>
    <s v="K7-11731"/>
    <x v="177"/>
    <x v="21"/>
    <x v="0"/>
    <x v="3"/>
    <x v="0"/>
    <x v="1"/>
    <x v="3"/>
    <s v="Priya Nair"/>
    <n v="9"/>
    <n v="168.08"/>
    <n v="0"/>
    <n v="1512.72"/>
    <m/>
    <m/>
    <x v="6"/>
  </r>
  <r>
    <s v="K7-11732"/>
    <x v="332"/>
    <x v="26"/>
    <x v="2"/>
    <x v="2"/>
    <x v="1"/>
    <x v="0"/>
    <x v="20"/>
    <s v="Ava Brooks"/>
    <n v="1"/>
    <n v="69.3"/>
    <n v="0"/>
    <n v="69.3"/>
    <m/>
    <m/>
    <x v="10"/>
  </r>
  <r>
    <s v="K7-11733"/>
    <x v="127"/>
    <x v="10"/>
    <x v="3"/>
    <x v="1"/>
    <x v="0"/>
    <x v="4"/>
    <x v="14"/>
    <s v="Ava Brooks"/>
    <n v="1"/>
    <n v="78.91"/>
    <n v="0.2"/>
    <n v="63.13"/>
    <m/>
    <m/>
    <x v="1"/>
  </r>
  <r>
    <s v="K7-11734"/>
    <x v="146"/>
    <x v="1"/>
    <x v="1"/>
    <x v="2"/>
    <x v="0"/>
    <x v="5"/>
    <x v="9"/>
    <s v="Dylan Foster"/>
    <n v="9"/>
    <n v="89.17"/>
    <n v="0"/>
    <n v="802.53"/>
    <m/>
    <m/>
    <x v="6"/>
  </r>
  <r>
    <s v="K7-11735"/>
    <x v="336"/>
    <x v="0"/>
    <x v="0"/>
    <x v="3"/>
    <x v="0"/>
    <x v="4"/>
    <x v="6"/>
    <s v="Ava Brooks"/>
    <n v="3"/>
    <n v="54.12"/>
    <n v="0.05"/>
    <n v="154.24"/>
    <m/>
    <m/>
    <x v="7"/>
  </r>
  <r>
    <s v="K7-11736"/>
    <x v="123"/>
    <x v="23"/>
    <x v="0"/>
    <x v="0"/>
    <x v="1"/>
    <x v="5"/>
    <x v="7"/>
    <s v="Jonah Wright"/>
    <n v="1"/>
    <n v="147.68"/>
    <n v="0"/>
    <n v="147.68"/>
    <m/>
    <m/>
    <x v="9"/>
  </r>
  <r>
    <s v="K7-11737"/>
    <x v="343"/>
    <x v="25"/>
    <x v="3"/>
    <x v="1"/>
    <x v="0"/>
    <x v="0"/>
    <x v="21"/>
    <s v="Jonah Wright"/>
    <n v="1"/>
    <n v="43.53"/>
    <n v="0"/>
    <n v="43.53"/>
    <m/>
    <m/>
    <x v="11"/>
  </r>
  <r>
    <s v="K7-11738"/>
    <x v="250"/>
    <x v="7"/>
    <x v="2"/>
    <x v="0"/>
    <x v="1"/>
    <x v="5"/>
    <x v="7"/>
    <s v="Priya Nair"/>
    <n v="1"/>
    <n v="164.07"/>
    <n v="0"/>
    <n v="164.07"/>
    <m/>
    <m/>
    <x v="11"/>
  </r>
  <r>
    <s v="K7-11739"/>
    <x v="28"/>
    <x v="5"/>
    <x v="0"/>
    <x v="1"/>
    <x v="0"/>
    <x v="0"/>
    <x v="18"/>
    <s v="Marcus Reed"/>
    <n v="3"/>
    <n v="33.06"/>
    <n v="0"/>
    <n v="99.18"/>
    <m/>
    <m/>
    <x v="0"/>
  </r>
  <r>
    <s v="K7-11740"/>
    <x v="249"/>
    <x v="25"/>
    <x v="3"/>
    <x v="1"/>
    <x v="0"/>
    <x v="1"/>
    <x v="3"/>
    <s v="Ava Brooks"/>
    <n v="3"/>
    <n v="172.8"/>
    <n v="0"/>
    <n v="518.4"/>
    <m/>
    <m/>
    <x v="7"/>
  </r>
  <r>
    <s v="K7-11741"/>
    <x v="307"/>
    <x v="3"/>
    <x v="0"/>
    <x v="0"/>
    <x v="1"/>
    <x v="2"/>
    <x v="16"/>
    <s v="Marcus Reed"/>
    <n v="3"/>
    <n v="63.18"/>
    <n v="0"/>
    <n v="189.54"/>
    <m/>
    <m/>
    <x v="6"/>
  </r>
  <r>
    <s v="K7-11742"/>
    <x v="155"/>
    <x v="0"/>
    <x v="0"/>
    <x v="1"/>
    <x v="1"/>
    <x v="0"/>
    <x v="0"/>
    <s v="Elena Vargas"/>
    <n v="1"/>
    <n v="56.34"/>
    <n v="0"/>
    <n v="56.34"/>
    <m/>
    <m/>
    <x v="10"/>
  </r>
  <r>
    <s v="K7-11743"/>
    <x v="74"/>
    <x v="20"/>
    <x v="3"/>
    <x v="3"/>
    <x v="0"/>
    <x v="3"/>
    <x v="10"/>
    <s v="Priya Nair"/>
    <n v="2"/>
    <n v="113.86"/>
    <n v="0.05"/>
    <n v="216.33"/>
    <m/>
    <m/>
    <x v="5"/>
  </r>
  <r>
    <s v="K7-11744"/>
    <x v="39"/>
    <x v="3"/>
    <x v="0"/>
    <x v="0"/>
    <x v="0"/>
    <x v="4"/>
    <x v="11"/>
    <s v="Elena Vargas"/>
    <n v="1"/>
    <n v="82.73"/>
    <n v="0.05"/>
    <n v="78.59"/>
    <m/>
    <m/>
    <x v="5"/>
  </r>
  <r>
    <s v="K7-11745"/>
    <x v="171"/>
    <x v="13"/>
    <x v="0"/>
    <x v="0"/>
    <x v="0"/>
    <x v="4"/>
    <x v="13"/>
    <s v="Grace Okafor"/>
    <n v="1"/>
    <n v="91.11"/>
    <n v="0"/>
    <n v="91.11"/>
    <m/>
    <m/>
    <x v="9"/>
  </r>
  <r>
    <s v="K7-11746"/>
    <x v="186"/>
    <x v="13"/>
    <x v="0"/>
    <x v="0"/>
    <x v="1"/>
    <x v="0"/>
    <x v="20"/>
    <s v="Elena Vargas"/>
    <n v="2"/>
    <n v="66.23"/>
    <n v="0"/>
    <n v="132.46"/>
    <m/>
    <m/>
    <x v="7"/>
  </r>
  <r>
    <s v="K7-11747"/>
    <x v="12"/>
    <x v="10"/>
    <x v="3"/>
    <x v="3"/>
    <x v="1"/>
    <x v="3"/>
    <x v="15"/>
    <s v="Priya Nair"/>
    <n v="3"/>
    <n v="99.1"/>
    <n v="0"/>
    <n v="297.3"/>
    <m/>
    <m/>
    <x v="0"/>
  </r>
  <r>
    <s v="K7-11748"/>
    <x v="247"/>
    <x v="9"/>
    <x v="2"/>
    <x v="0"/>
    <x v="1"/>
    <x v="4"/>
    <x v="11"/>
    <s v="Noor Haddad"/>
    <n v="3"/>
    <n v="79.25"/>
    <n v="0"/>
    <n v="237.75"/>
    <m/>
    <m/>
    <x v="2"/>
  </r>
  <r>
    <s v="K7-11749"/>
    <x v="58"/>
    <x v="1"/>
    <x v="1"/>
    <x v="1"/>
    <x v="0"/>
    <x v="1"/>
    <x v="3"/>
    <s v="Elena Vargas"/>
    <n v="8"/>
    <n v="166.25"/>
    <n v="0"/>
    <n v="1330"/>
    <m/>
    <m/>
    <x v="7"/>
  </r>
  <r>
    <s v="K7-11750"/>
    <x v="154"/>
    <x v="13"/>
    <x v="0"/>
    <x v="1"/>
    <x v="0"/>
    <x v="0"/>
    <x v="18"/>
    <s v="Ava Brooks"/>
    <n v="2"/>
    <n v="29.83"/>
    <n v="0"/>
    <n v="59.66"/>
    <m/>
    <m/>
    <x v="2"/>
  </r>
  <r>
    <s v="K7-11751"/>
    <x v="45"/>
    <x v="1"/>
    <x v="1"/>
    <x v="1"/>
    <x v="0"/>
    <x v="2"/>
    <x v="2"/>
    <s v="Dylan Foster"/>
    <n v="3"/>
    <n v="25.14"/>
    <n v="0.05"/>
    <n v="71.650000000000006"/>
    <m/>
    <m/>
    <x v="6"/>
  </r>
  <r>
    <s v="K7-11752"/>
    <x v="261"/>
    <x v="23"/>
    <x v="0"/>
    <x v="0"/>
    <x v="0"/>
    <x v="4"/>
    <x v="11"/>
    <s v="Dylan Foster"/>
    <n v="1"/>
    <n v="86.85"/>
    <n v="0.3"/>
    <n v="60.79"/>
    <m/>
    <m/>
    <x v="11"/>
  </r>
  <r>
    <s v="K7-11753"/>
    <x v="150"/>
    <x v="0"/>
    <x v="0"/>
    <x v="0"/>
    <x v="0"/>
    <x v="1"/>
    <x v="3"/>
    <s v="Noor Haddad"/>
    <n v="2"/>
    <n v="157.13"/>
    <n v="0"/>
    <n v="314.26"/>
    <m/>
    <m/>
    <x v="0"/>
  </r>
  <r>
    <s v="K7-11754"/>
    <x v="68"/>
    <x v="15"/>
    <x v="1"/>
    <x v="0"/>
    <x v="1"/>
    <x v="0"/>
    <x v="20"/>
    <s v="Noor Haddad"/>
    <n v="3"/>
    <n v="69.680000000000007"/>
    <n v="0"/>
    <n v="209.04"/>
    <m/>
    <m/>
    <x v="3"/>
  </r>
  <r>
    <s v="K7-11755"/>
    <x v="117"/>
    <x v="5"/>
    <x v="0"/>
    <x v="1"/>
    <x v="1"/>
    <x v="0"/>
    <x v="21"/>
    <s v="Elena Vargas"/>
    <n v="5"/>
    <n v="42.87"/>
    <n v="0"/>
    <n v="214.35"/>
    <m/>
    <m/>
    <x v="1"/>
  </r>
  <r>
    <s v="K7-11756"/>
    <x v="303"/>
    <x v="15"/>
    <x v="1"/>
    <x v="1"/>
    <x v="1"/>
    <x v="1"/>
    <x v="8"/>
    <s v="Marcus Reed"/>
    <n v="3"/>
    <n v="245.6"/>
    <n v="0.1"/>
    <n v="663.12"/>
    <m/>
    <m/>
    <x v="3"/>
  </r>
  <r>
    <s v="K7-11757"/>
    <x v="207"/>
    <x v="16"/>
    <x v="0"/>
    <x v="1"/>
    <x v="0"/>
    <x v="2"/>
    <x v="5"/>
    <s v="Noor Haddad"/>
    <n v="1"/>
    <n v="39.69"/>
    <n v="0"/>
    <n v="39.69"/>
    <m/>
    <m/>
    <x v="1"/>
  </r>
  <r>
    <s v="K7-11758"/>
    <x v="54"/>
    <x v="20"/>
    <x v="3"/>
    <x v="0"/>
    <x v="0"/>
    <x v="1"/>
    <x v="3"/>
    <s v="Elena Vargas"/>
    <n v="6"/>
    <n v="168.54"/>
    <n v="0.05"/>
    <n v="960.68"/>
    <m/>
    <m/>
    <x v="1"/>
  </r>
  <r>
    <s v="K7-11759"/>
    <x v="7"/>
    <x v="1"/>
    <x v="1"/>
    <x v="2"/>
    <x v="0"/>
    <x v="4"/>
    <x v="14"/>
    <s v="Dylan Foster"/>
    <n v="2"/>
    <n v="81.88"/>
    <n v="0"/>
    <n v="163.76"/>
    <m/>
    <m/>
    <x v="5"/>
  </r>
  <r>
    <s v="K7-11760"/>
    <x v="44"/>
    <x v="5"/>
    <x v="0"/>
    <x v="0"/>
    <x v="0"/>
    <x v="2"/>
    <x v="16"/>
    <s v="Marcus Reed"/>
    <n v="2"/>
    <n v="62.82"/>
    <n v="0"/>
    <n v="125.64"/>
    <m/>
    <m/>
    <x v="6"/>
  </r>
  <r>
    <s v="K7-11761"/>
    <x v="261"/>
    <x v="9"/>
    <x v="2"/>
    <x v="1"/>
    <x v="0"/>
    <x v="1"/>
    <x v="1"/>
    <s v="Priya Nair"/>
    <n v="1"/>
    <n v="128.11000000000001"/>
    <n v="0"/>
    <n v="128.11000000000001"/>
    <m/>
    <m/>
    <x v="11"/>
  </r>
  <r>
    <s v="K7-11762"/>
    <x v="138"/>
    <x v="12"/>
    <x v="3"/>
    <x v="3"/>
    <x v="0"/>
    <x v="5"/>
    <x v="9"/>
    <s v="Dylan Foster"/>
    <n v="2"/>
    <n v="85.12"/>
    <n v="0"/>
    <n v="170.24"/>
    <m/>
    <m/>
    <x v="1"/>
  </r>
  <r>
    <s v="K7-11763"/>
    <x v="343"/>
    <x v="10"/>
    <x v="3"/>
    <x v="2"/>
    <x v="1"/>
    <x v="3"/>
    <x v="4"/>
    <s v="Priya Nair"/>
    <n v="5"/>
    <n v="143.47"/>
    <n v="0"/>
    <n v="717.35"/>
    <m/>
    <m/>
    <x v="11"/>
  </r>
  <r>
    <s v="K7-11764"/>
    <x v="123"/>
    <x v="11"/>
    <x v="3"/>
    <x v="0"/>
    <x v="0"/>
    <x v="0"/>
    <x v="0"/>
    <s v="Elena Vargas"/>
    <n v="2"/>
    <n v="52.6"/>
    <n v="0"/>
    <n v="105.2"/>
    <m/>
    <m/>
    <x v="9"/>
  </r>
  <r>
    <s v="K7-11765"/>
    <x v="306"/>
    <x v="1"/>
    <x v="1"/>
    <x v="2"/>
    <x v="0"/>
    <x v="0"/>
    <x v="18"/>
    <s v="Noor Haddad"/>
    <n v="5"/>
    <n v="29.98"/>
    <n v="0"/>
    <n v="149.9"/>
    <m/>
    <m/>
    <x v="2"/>
  </r>
  <r>
    <s v="K7-11766"/>
    <x v="351"/>
    <x v="13"/>
    <x v="0"/>
    <x v="0"/>
    <x v="1"/>
    <x v="4"/>
    <x v="14"/>
    <s v="Jonah Wright"/>
    <n v="1"/>
    <n v="78.180000000000007"/>
    <n v="0"/>
    <n v="78.180000000000007"/>
    <m/>
    <m/>
    <x v="7"/>
  </r>
  <r>
    <s v="K7-11767"/>
    <x v="251"/>
    <x v="7"/>
    <x v="2"/>
    <x v="1"/>
    <x v="0"/>
    <x v="0"/>
    <x v="21"/>
    <s v="Elena Vargas"/>
    <n v="1"/>
    <n v="46.87"/>
    <n v="0.15"/>
    <n v="39.840000000000003"/>
    <m/>
    <m/>
    <x v="1"/>
  </r>
  <r>
    <s v="K7-11768"/>
    <x v="259"/>
    <x v="25"/>
    <x v="3"/>
    <x v="2"/>
    <x v="0"/>
    <x v="5"/>
    <x v="7"/>
    <s v="Noor Haddad"/>
    <n v="1"/>
    <n v="167.72"/>
    <n v="0"/>
    <n v="167.72"/>
    <m/>
    <m/>
    <x v="9"/>
  </r>
  <r>
    <s v="K7-11769"/>
    <x v="298"/>
    <x v="4"/>
    <x v="3"/>
    <x v="3"/>
    <x v="0"/>
    <x v="4"/>
    <x v="11"/>
    <s v="Dylan Foster"/>
    <n v="4"/>
    <n v="82.39"/>
    <n v="0"/>
    <n v="329.56"/>
    <m/>
    <m/>
    <x v="1"/>
  </r>
  <r>
    <s v="K7-11770"/>
    <x v="348"/>
    <x v="11"/>
    <x v="3"/>
    <x v="3"/>
    <x v="0"/>
    <x v="4"/>
    <x v="14"/>
    <s v="Noor Haddad"/>
    <n v="7"/>
    <n v="77.62"/>
    <n v="0.15"/>
    <n v="461.84"/>
    <m/>
    <m/>
    <x v="0"/>
  </r>
  <r>
    <s v="K7-11771"/>
    <x v="113"/>
    <x v="0"/>
    <x v="0"/>
    <x v="0"/>
    <x v="1"/>
    <x v="5"/>
    <x v="17"/>
    <s v="Marcus Reed"/>
    <n v="1"/>
    <n v="208.42"/>
    <n v="0.2"/>
    <n v="166.74"/>
    <m/>
    <m/>
    <x v="8"/>
  </r>
  <r>
    <s v="K7-11772"/>
    <x v="14"/>
    <x v="14"/>
    <x v="2"/>
    <x v="0"/>
    <x v="1"/>
    <x v="3"/>
    <x v="10"/>
    <s v="Elena Vargas"/>
    <n v="1"/>
    <n v="120.62"/>
    <n v="0"/>
    <n v="120.62"/>
    <m/>
    <m/>
    <x v="5"/>
  </r>
  <r>
    <s v="K7-11773"/>
    <x v="352"/>
    <x v="29"/>
    <x v="1"/>
    <x v="0"/>
    <x v="1"/>
    <x v="0"/>
    <x v="21"/>
    <s v="Grace Okafor"/>
    <n v="10"/>
    <n v="44.54"/>
    <n v="0"/>
    <n v="445.4"/>
    <m/>
    <m/>
    <x v="4"/>
  </r>
  <r>
    <s v="K7-11774"/>
    <x v="178"/>
    <x v="14"/>
    <x v="2"/>
    <x v="0"/>
    <x v="0"/>
    <x v="0"/>
    <x v="18"/>
    <s v="Elena Vargas"/>
    <n v="5"/>
    <n v="33.22"/>
    <n v="0.05"/>
    <n v="157.79"/>
    <m/>
    <m/>
    <x v="2"/>
  </r>
  <r>
    <s v="K7-11775"/>
    <x v="271"/>
    <x v="12"/>
    <x v="3"/>
    <x v="0"/>
    <x v="1"/>
    <x v="0"/>
    <x v="0"/>
    <s v="Marcus Reed"/>
    <n v="1"/>
    <n v="58.15"/>
    <n v="0"/>
    <n v="58.15"/>
    <m/>
    <m/>
    <x v="2"/>
  </r>
  <r>
    <s v="K7-11776"/>
    <x v="119"/>
    <x v="1"/>
    <x v="1"/>
    <x v="2"/>
    <x v="1"/>
    <x v="2"/>
    <x v="5"/>
    <s v="Grace Okafor"/>
    <n v="9"/>
    <n v="36.32"/>
    <n v="0.2"/>
    <n v="261.5"/>
    <m/>
    <m/>
    <x v="9"/>
  </r>
  <r>
    <s v="K7-11777"/>
    <x v="272"/>
    <x v="4"/>
    <x v="3"/>
    <x v="3"/>
    <x v="1"/>
    <x v="0"/>
    <x v="20"/>
    <s v="Grace Okafor"/>
    <n v="2"/>
    <n v="70.08"/>
    <n v="0"/>
    <n v="140.16"/>
    <m/>
    <m/>
    <x v="10"/>
  </r>
  <r>
    <s v="K7-11778"/>
    <x v="309"/>
    <x v="8"/>
    <x v="1"/>
    <x v="1"/>
    <x v="0"/>
    <x v="1"/>
    <x v="12"/>
    <s v="Grace Okafor"/>
    <n v="2"/>
    <n v="297.39999999999998"/>
    <n v="0"/>
    <n v="594.79999999999995"/>
    <m/>
    <m/>
    <x v="5"/>
  </r>
  <r>
    <s v="K7-11779"/>
    <x v="87"/>
    <x v="0"/>
    <x v="0"/>
    <x v="2"/>
    <x v="0"/>
    <x v="5"/>
    <x v="17"/>
    <s v="Priya Nair"/>
    <n v="2"/>
    <n v="215.33"/>
    <n v="0"/>
    <n v="430.66"/>
    <m/>
    <m/>
    <x v="11"/>
  </r>
  <r>
    <s v="K7-11780"/>
    <x v="273"/>
    <x v="9"/>
    <x v="2"/>
    <x v="2"/>
    <x v="0"/>
    <x v="1"/>
    <x v="3"/>
    <s v="Ava Brooks"/>
    <n v="5"/>
    <n v="170.72"/>
    <n v="0"/>
    <n v="853.6"/>
    <m/>
    <m/>
    <x v="10"/>
  </r>
  <r>
    <s v="K7-11781"/>
    <x v="80"/>
    <x v="9"/>
    <x v="2"/>
    <x v="1"/>
    <x v="0"/>
    <x v="4"/>
    <x v="6"/>
    <s v="Grace Okafor"/>
    <n v="8"/>
    <n v="57.76"/>
    <n v="0.1"/>
    <n v="415.87"/>
    <m/>
    <m/>
    <x v="2"/>
  </r>
  <r>
    <s v="K7-11782"/>
    <x v="173"/>
    <x v="16"/>
    <x v="0"/>
    <x v="3"/>
    <x v="0"/>
    <x v="2"/>
    <x v="19"/>
    <s v="Priya Nair"/>
    <n v="4"/>
    <n v="45.71"/>
    <n v="0"/>
    <n v="182.84"/>
    <m/>
    <m/>
    <x v="10"/>
  </r>
  <r>
    <s v="K7-11783"/>
    <x v="270"/>
    <x v="22"/>
    <x v="0"/>
    <x v="1"/>
    <x v="1"/>
    <x v="0"/>
    <x v="21"/>
    <s v="Elena Vargas"/>
    <n v="1"/>
    <n v="49.42"/>
    <n v="0.05"/>
    <n v="46.95"/>
    <m/>
    <m/>
    <x v="8"/>
  </r>
  <r>
    <s v="K7-11784"/>
    <x v="56"/>
    <x v="0"/>
    <x v="0"/>
    <x v="1"/>
    <x v="1"/>
    <x v="0"/>
    <x v="21"/>
    <s v="Elena Vargas"/>
    <n v="4"/>
    <n v="45.35"/>
    <n v="0.15"/>
    <n v="154.19"/>
    <m/>
    <m/>
    <x v="1"/>
  </r>
  <r>
    <s v="K7-11785"/>
    <x v="317"/>
    <x v="20"/>
    <x v="3"/>
    <x v="0"/>
    <x v="0"/>
    <x v="3"/>
    <x v="4"/>
    <s v="Noor Haddad"/>
    <n v="3"/>
    <n v="142.29"/>
    <n v="0"/>
    <n v="426.87"/>
    <m/>
    <m/>
    <x v="10"/>
  </r>
  <r>
    <s v="K7-11786"/>
    <x v="69"/>
    <x v="7"/>
    <x v="2"/>
    <x v="0"/>
    <x v="1"/>
    <x v="1"/>
    <x v="8"/>
    <s v="Dylan Foster"/>
    <n v="1"/>
    <n v="227.12"/>
    <n v="0.05"/>
    <n v="215.76"/>
    <m/>
    <m/>
    <x v="1"/>
  </r>
  <r>
    <s v="K7-11787"/>
    <x v="169"/>
    <x v="25"/>
    <x v="3"/>
    <x v="0"/>
    <x v="0"/>
    <x v="2"/>
    <x v="19"/>
    <s v="Elena Vargas"/>
    <n v="1"/>
    <n v="50.08"/>
    <n v="0.05"/>
    <n v="47.58"/>
    <m/>
    <m/>
    <x v="6"/>
  </r>
  <r>
    <s v="K7-11788"/>
    <x v="75"/>
    <x v="0"/>
    <x v="0"/>
    <x v="1"/>
    <x v="0"/>
    <x v="2"/>
    <x v="2"/>
    <s v="Dylan Foster"/>
    <n v="8"/>
    <n v="23.94"/>
    <n v="0"/>
    <n v="191.52"/>
    <m/>
    <m/>
    <x v="8"/>
  </r>
  <r>
    <s v="K7-11789"/>
    <x v="44"/>
    <x v="3"/>
    <x v="0"/>
    <x v="1"/>
    <x v="1"/>
    <x v="5"/>
    <x v="17"/>
    <s v="Priya Nair"/>
    <n v="2"/>
    <n v="215.22"/>
    <n v="0"/>
    <n v="430.44"/>
    <m/>
    <m/>
    <x v="6"/>
  </r>
  <r>
    <s v="K7-11790"/>
    <x v="265"/>
    <x v="0"/>
    <x v="0"/>
    <x v="0"/>
    <x v="0"/>
    <x v="0"/>
    <x v="0"/>
    <s v="Ava Brooks"/>
    <n v="9"/>
    <n v="55.62"/>
    <n v="0"/>
    <n v="500.58"/>
    <m/>
    <m/>
    <x v="9"/>
  </r>
  <r>
    <s v="K7-11791"/>
    <x v="146"/>
    <x v="7"/>
    <x v="2"/>
    <x v="0"/>
    <x v="0"/>
    <x v="4"/>
    <x v="14"/>
    <s v="Jonah Wright"/>
    <n v="5"/>
    <n v="81.91"/>
    <n v="0.05"/>
    <n v="389.07"/>
    <m/>
    <m/>
    <x v="6"/>
  </r>
  <r>
    <s v="K7-11792"/>
    <x v="208"/>
    <x v="0"/>
    <x v="0"/>
    <x v="1"/>
    <x v="0"/>
    <x v="1"/>
    <x v="12"/>
    <s v="Dylan Foster"/>
    <n v="1"/>
    <n v="311.35000000000002"/>
    <n v="0"/>
    <n v="311.35000000000002"/>
    <m/>
    <m/>
    <x v="9"/>
  </r>
  <r>
    <s v="K7-11793"/>
    <x v="50"/>
    <x v="7"/>
    <x v="2"/>
    <x v="0"/>
    <x v="0"/>
    <x v="3"/>
    <x v="10"/>
    <s v="Grace Okafor"/>
    <n v="2"/>
    <n v="112.94"/>
    <n v="0.1"/>
    <n v="203.29"/>
    <m/>
    <m/>
    <x v="11"/>
  </r>
  <r>
    <s v="K7-11794"/>
    <x v="204"/>
    <x v="20"/>
    <x v="3"/>
    <x v="1"/>
    <x v="0"/>
    <x v="1"/>
    <x v="8"/>
    <s v="Grace Okafor"/>
    <n v="1"/>
    <n v="227.47"/>
    <n v="0.1"/>
    <n v="204.72"/>
    <m/>
    <m/>
    <x v="7"/>
  </r>
  <r>
    <s v="K7-11795"/>
    <x v="269"/>
    <x v="15"/>
    <x v="1"/>
    <x v="0"/>
    <x v="0"/>
    <x v="2"/>
    <x v="16"/>
    <s v="Dylan Foster"/>
    <n v="2"/>
    <n v="65.19"/>
    <n v="0.15"/>
    <n v="110.82"/>
    <m/>
    <m/>
    <x v="6"/>
  </r>
  <r>
    <s v="K7-11796"/>
    <x v="128"/>
    <x v="9"/>
    <x v="2"/>
    <x v="3"/>
    <x v="0"/>
    <x v="5"/>
    <x v="17"/>
    <s v="Ava Brooks"/>
    <n v="1"/>
    <n v="200.6"/>
    <n v="0"/>
    <n v="200.6"/>
    <m/>
    <m/>
    <x v="7"/>
  </r>
  <r>
    <s v="K7-11797"/>
    <x v="54"/>
    <x v="8"/>
    <x v="1"/>
    <x v="0"/>
    <x v="1"/>
    <x v="5"/>
    <x v="9"/>
    <s v="Ava Brooks"/>
    <n v="8"/>
    <n v="83.54"/>
    <n v="0.3"/>
    <n v="467.82"/>
    <m/>
    <m/>
    <x v="1"/>
  </r>
  <r>
    <s v="K7-11798"/>
    <x v="99"/>
    <x v="1"/>
    <x v="1"/>
    <x v="1"/>
    <x v="1"/>
    <x v="4"/>
    <x v="11"/>
    <s v="Grace Okafor"/>
    <n v="1"/>
    <n v="85.1"/>
    <n v="0.05"/>
    <n v="80.84"/>
    <m/>
    <m/>
    <x v="11"/>
  </r>
  <r>
    <s v="K7-11799"/>
    <x v="220"/>
    <x v="7"/>
    <x v="2"/>
    <x v="2"/>
    <x v="0"/>
    <x v="3"/>
    <x v="10"/>
    <s v="Elena Vargas"/>
    <n v="1"/>
    <n v="110.72"/>
    <n v="0"/>
    <n v="110.72"/>
    <m/>
    <m/>
    <x v="4"/>
  </r>
  <r>
    <s v="K7-11800"/>
    <x v="188"/>
    <x v="5"/>
    <x v="0"/>
    <x v="2"/>
    <x v="0"/>
    <x v="5"/>
    <x v="7"/>
    <s v="Noor Haddad"/>
    <n v="15"/>
    <n v="146.88999999999999"/>
    <n v="0"/>
    <n v="2203.35"/>
    <m/>
    <m/>
    <x v="3"/>
  </r>
  <r>
    <s v="K7-11801"/>
    <x v="80"/>
    <x v="1"/>
    <x v="1"/>
    <x v="1"/>
    <x v="0"/>
    <x v="0"/>
    <x v="21"/>
    <s v="Priya Nair"/>
    <n v="1"/>
    <n v="48.23"/>
    <n v="0"/>
    <n v="48.23"/>
    <m/>
    <m/>
    <x v="2"/>
  </r>
  <r>
    <s v="K7-11802"/>
    <x v="299"/>
    <x v="17"/>
    <x v="0"/>
    <x v="2"/>
    <x v="1"/>
    <x v="4"/>
    <x v="13"/>
    <s v="Ava Brooks"/>
    <n v="4"/>
    <n v="97.65"/>
    <n v="0"/>
    <n v="390.6"/>
    <m/>
    <m/>
    <x v="5"/>
  </r>
  <r>
    <s v="K7-11803"/>
    <x v="293"/>
    <x v="15"/>
    <x v="1"/>
    <x v="0"/>
    <x v="1"/>
    <x v="5"/>
    <x v="17"/>
    <s v="Jonah Wright"/>
    <n v="2"/>
    <n v="207.47"/>
    <n v="0"/>
    <n v="414.94"/>
    <m/>
    <m/>
    <x v="2"/>
  </r>
  <r>
    <s v="K7-11804"/>
    <x v="359"/>
    <x v="0"/>
    <x v="0"/>
    <x v="1"/>
    <x v="1"/>
    <x v="5"/>
    <x v="17"/>
    <s v="Noor Haddad"/>
    <n v="4"/>
    <n v="228.74"/>
    <n v="0"/>
    <n v="914.96"/>
    <m/>
    <m/>
    <x v="4"/>
  </r>
  <r>
    <s v="K7-11805"/>
    <x v="348"/>
    <x v="7"/>
    <x v="2"/>
    <x v="0"/>
    <x v="0"/>
    <x v="5"/>
    <x v="9"/>
    <s v="Elena Vargas"/>
    <n v="3"/>
    <n v="84.35"/>
    <n v="0"/>
    <n v="253.05"/>
    <m/>
    <m/>
    <x v="0"/>
  </r>
  <r>
    <s v="K7-11806"/>
    <x v="322"/>
    <x v="7"/>
    <x v="2"/>
    <x v="1"/>
    <x v="0"/>
    <x v="0"/>
    <x v="21"/>
    <s v="Elena Vargas"/>
    <n v="1"/>
    <n v="48.22"/>
    <n v="0"/>
    <n v="48.22"/>
    <m/>
    <m/>
    <x v="6"/>
  </r>
  <r>
    <s v="K7-11807"/>
    <x v="310"/>
    <x v="0"/>
    <x v="0"/>
    <x v="0"/>
    <x v="1"/>
    <x v="2"/>
    <x v="2"/>
    <s v="Dylan Foster"/>
    <n v="3"/>
    <n v="25.09"/>
    <n v="0"/>
    <n v="75.27"/>
    <m/>
    <m/>
    <x v="10"/>
  </r>
  <r>
    <s v="K7-11808"/>
    <x v="345"/>
    <x v="12"/>
    <x v="3"/>
    <x v="0"/>
    <x v="0"/>
    <x v="5"/>
    <x v="7"/>
    <s v="Ava Brooks"/>
    <n v="5"/>
    <n v="160.13"/>
    <n v="0"/>
    <n v="800.65"/>
    <m/>
    <m/>
    <x v="6"/>
  </r>
  <r>
    <s v="K7-11809"/>
    <x v="102"/>
    <x v="13"/>
    <x v="0"/>
    <x v="1"/>
    <x v="1"/>
    <x v="4"/>
    <x v="14"/>
    <s v="Dylan Foster"/>
    <n v="4"/>
    <n v="81.97"/>
    <n v="0.1"/>
    <n v="295.08999999999997"/>
    <m/>
    <m/>
    <x v="6"/>
  </r>
  <r>
    <s v="K7-11810"/>
    <x v="304"/>
    <x v="7"/>
    <x v="2"/>
    <x v="2"/>
    <x v="0"/>
    <x v="0"/>
    <x v="21"/>
    <s v="Noor Haddad"/>
    <n v="2"/>
    <n v="43.28"/>
    <n v="0"/>
    <n v="86.56"/>
    <m/>
    <m/>
    <x v="2"/>
  </r>
  <r>
    <s v="K7-11811"/>
    <x v="179"/>
    <x v="3"/>
    <x v="0"/>
    <x v="0"/>
    <x v="0"/>
    <x v="0"/>
    <x v="0"/>
    <s v="Jonah Wright"/>
    <n v="1"/>
    <n v="56.03"/>
    <n v="0.05"/>
    <n v="53.23"/>
    <m/>
    <m/>
    <x v="5"/>
  </r>
  <r>
    <s v="K7-11812"/>
    <x v="349"/>
    <x v="7"/>
    <x v="2"/>
    <x v="0"/>
    <x v="0"/>
    <x v="2"/>
    <x v="19"/>
    <s v="Elena Vargas"/>
    <n v="2"/>
    <n v="46.57"/>
    <n v="0.15"/>
    <n v="79.17"/>
    <m/>
    <m/>
    <x v="9"/>
  </r>
  <r>
    <s v="K7-11813"/>
    <x v="334"/>
    <x v="16"/>
    <x v="0"/>
    <x v="1"/>
    <x v="1"/>
    <x v="5"/>
    <x v="9"/>
    <s v="Grace Okafor"/>
    <n v="6"/>
    <n v="82.05"/>
    <n v="0.05"/>
    <n v="467.68"/>
    <m/>
    <m/>
    <x v="0"/>
  </r>
  <r>
    <s v="K7-11814"/>
    <x v="64"/>
    <x v="7"/>
    <x v="2"/>
    <x v="0"/>
    <x v="1"/>
    <x v="4"/>
    <x v="11"/>
    <s v="Priya Nair"/>
    <n v="2"/>
    <n v="79.09"/>
    <n v="0.3"/>
    <n v="110.73"/>
    <m/>
    <m/>
    <x v="8"/>
  </r>
  <r>
    <s v="K7-11815"/>
    <x v="351"/>
    <x v="8"/>
    <x v="1"/>
    <x v="1"/>
    <x v="1"/>
    <x v="5"/>
    <x v="9"/>
    <s v="Jonah Wright"/>
    <n v="3"/>
    <n v="82.02"/>
    <n v="0.1"/>
    <n v="221.45"/>
    <m/>
    <m/>
    <x v="7"/>
  </r>
  <r>
    <s v="K7-11816"/>
    <x v="155"/>
    <x v="0"/>
    <x v="0"/>
    <x v="0"/>
    <x v="0"/>
    <x v="4"/>
    <x v="14"/>
    <s v="Ava Brooks"/>
    <n v="3"/>
    <n v="74.900000000000006"/>
    <n v="0"/>
    <n v="224.7"/>
    <m/>
    <m/>
    <x v="10"/>
  </r>
  <r>
    <s v="K7-11817"/>
    <x v="279"/>
    <x v="19"/>
    <x v="1"/>
    <x v="0"/>
    <x v="0"/>
    <x v="2"/>
    <x v="16"/>
    <s v="Noor Haddad"/>
    <n v="1"/>
    <n v="58.27"/>
    <n v="0.1"/>
    <n v="52.44"/>
    <m/>
    <m/>
    <x v="5"/>
  </r>
  <r>
    <s v="K7-11818"/>
    <x v="147"/>
    <x v="19"/>
    <x v="1"/>
    <x v="1"/>
    <x v="1"/>
    <x v="4"/>
    <x v="13"/>
    <s v="Elena Vargas"/>
    <n v="4"/>
    <n v="94.08"/>
    <n v="0.05"/>
    <n v="357.5"/>
    <m/>
    <m/>
    <x v="4"/>
  </r>
  <r>
    <s v="K7-11819"/>
    <x v="224"/>
    <x v="3"/>
    <x v="0"/>
    <x v="1"/>
    <x v="0"/>
    <x v="2"/>
    <x v="2"/>
    <s v="Elena Vargas"/>
    <n v="7"/>
    <n v="27.16"/>
    <n v="0"/>
    <n v="190.12"/>
    <m/>
    <m/>
    <x v="0"/>
  </r>
  <r>
    <s v="K7-11820"/>
    <x v="201"/>
    <x v="9"/>
    <x v="2"/>
    <x v="0"/>
    <x v="1"/>
    <x v="4"/>
    <x v="13"/>
    <s v="Priya Nair"/>
    <n v="6"/>
    <n v="90.34"/>
    <n v="0"/>
    <n v="542.04"/>
    <m/>
    <m/>
    <x v="6"/>
  </r>
  <r>
    <s v="K7-11821"/>
    <x v="19"/>
    <x v="5"/>
    <x v="0"/>
    <x v="3"/>
    <x v="1"/>
    <x v="4"/>
    <x v="14"/>
    <s v="Grace Okafor"/>
    <n v="5"/>
    <n v="80.69"/>
    <n v="0.1"/>
    <n v="363.11"/>
    <m/>
    <m/>
    <x v="1"/>
  </r>
  <r>
    <s v="K7-11822"/>
    <x v="212"/>
    <x v="9"/>
    <x v="2"/>
    <x v="0"/>
    <x v="0"/>
    <x v="2"/>
    <x v="19"/>
    <s v="Noor Haddad"/>
    <n v="1"/>
    <n v="46.35"/>
    <n v="0"/>
    <n v="46.35"/>
    <m/>
    <m/>
    <x v="10"/>
  </r>
  <r>
    <s v="K7-11823"/>
    <x v="252"/>
    <x v="5"/>
    <x v="0"/>
    <x v="2"/>
    <x v="0"/>
    <x v="0"/>
    <x v="18"/>
    <s v="Grace Okafor"/>
    <n v="5"/>
    <n v="33"/>
    <n v="0"/>
    <n v="165"/>
    <m/>
    <m/>
    <x v="5"/>
  </r>
  <r>
    <s v="K7-11824"/>
    <x v="229"/>
    <x v="22"/>
    <x v="0"/>
    <x v="1"/>
    <x v="1"/>
    <x v="4"/>
    <x v="6"/>
    <s v="Jonah Wright"/>
    <n v="2"/>
    <n v="59.7"/>
    <n v="0.05"/>
    <n v="113.43"/>
    <m/>
    <m/>
    <x v="9"/>
  </r>
  <r>
    <s v="K7-11825"/>
    <x v="5"/>
    <x v="1"/>
    <x v="1"/>
    <x v="3"/>
    <x v="0"/>
    <x v="5"/>
    <x v="17"/>
    <s v="Noor Haddad"/>
    <n v="4"/>
    <n v="210.55"/>
    <n v="0"/>
    <n v="842.2"/>
    <m/>
    <m/>
    <x v="3"/>
  </r>
  <r>
    <s v="K7-11826"/>
    <x v="272"/>
    <x v="7"/>
    <x v="2"/>
    <x v="2"/>
    <x v="0"/>
    <x v="4"/>
    <x v="6"/>
    <s v="Marcus Reed"/>
    <n v="2"/>
    <n v="60.22"/>
    <n v="0"/>
    <n v="120.44"/>
    <m/>
    <m/>
    <x v="10"/>
  </r>
  <r>
    <s v="K7-11827"/>
    <x v="347"/>
    <x v="23"/>
    <x v="0"/>
    <x v="1"/>
    <x v="0"/>
    <x v="4"/>
    <x v="14"/>
    <s v="Priya Nair"/>
    <n v="1"/>
    <n v="80.28"/>
    <n v="0.1"/>
    <n v="72.25"/>
    <m/>
    <m/>
    <x v="8"/>
  </r>
  <r>
    <s v="K7-11828"/>
    <x v="350"/>
    <x v="7"/>
    <x v="2"/>
    <x v="1"/>
    <x v="0"/>
    <x v="3"/>
    <x v="4"/>
    <s v="Priya Nair"/>
    <n v="5"/>
    <n v="131.01"/>
    <n v="0"/>
    <n v="655.04999999999995"/>
    <m/>
    <m/>
    <x v="0"/>
  </r>
  <r>
    <s v="K7-11829"/>
    <x v="80"/>
    <x v="1"/>
    <x v="1"/>
    <x v="1"/>
    <x v="0"/>
    <x v="0"/>
    <x v="20"/>
    <s v="Noor Haddad"/>
    <n v="1"/>
    <n v="72.22"/>
    <n v="0"/>
    <n v="72.22"/>
    <m/>
    <m/>
    <x v="2"/>
  </r>
  <r>
    <s v="K7-11830"/>
    <x v="30"/>
    <x v="7"/>
    <x v="2"/>
    <x v="0"/>
    <x v="0"/>
    <x v="2"/>
    <x v="2"/>
    <s v="Grace Okafor"/>
    <n v="2"/>
    <n v="24.15"/>
    <n v="0"/>
    <n v="48.3"/>
    <m/>
    <m/>
    <x v="3"/>
  </r>
  <r>
    <s v="K7-11831"/>
    <x v="174"/>
    <x v="12"/>
    <x v="3"/>
    <x v="0"/>
    <x v="0"/>
    <x v="3"/>
    <x v="15"/>
    <s v="Grace Okafor"/>
    <n v="1"/>
    <n v="98.52"/>
    <n v="0"/>
    <n v="98.52"/>
    <m/>
    <m/>
    <x v="8"/>
  </r>
  <r>
    <s v="K7-11832"/>
    <x v="107"/>
    <x v="23"/>
    <x v="0"/>
    <x v="2"/>
    <x v="0"/>
    <x v="1"/>
    <x v="12"/>
    <s v="Ava Brooks"/>
    <n v="1"/>
    <n v="301.64999999999998"/>
    <n v="0"/>
    <n v="301.64999999999998"/>
    <m/>
    <m/>
    <x v="8"/>
  </r>
  <r>
    <s v="K7-11833"/>
    <x v="331"/>
    <x v="8"/>
    <x v="1"/>
    <x v="1"/>
    <x v="0"/>
    <x v="2"/>
    <x v="19"/>
    <s v="Elena Vargas"/>
    <n v="2"/>
    <n v="46.48"/>
    <n v="0.15"/>
    <n v="79.02"/>
    <m/>
    <m/>
    <x v="4"/>
  </r>
  <r>
    <s v="K7-11834"/>
    <x v="285"/>
    <x v="13"/>
    <x v="0"/>
    <x v="0"/>
    <x v="0"/>
    <x v="0"/>
    <x v="20"/>
    <s v="Priya Nair"/>
    <n v="2"/>
    <n v="66.62"/>
    <n v="0.05"/>
    <n v="126.58"/>
    <m/>
    <m/>
    <x v="5"/>
  </r>
  <r>
    <s v="K7-11835"/>
    <x v="134"/>
    <x v="1"/>
    <x v="1"/>
    <x v="3"/>
    <x v="0"/>
    <x v="0"/>
    <x v="20"/>
    <s v="Priya Nair"/>
    <n v="1"/>
    <n v="72.930000000000007"/>
    <n v="0"/>
    <n v="72.930000000000007"/>
    <m/>
    <m/>
    <x v="1"/>
  </r>
  <r>
    <s v="K7-11836"/>
    <x v="140"/>
    <x v="7"/>
    <x v="2"/>
    <x v="3"/>
    <x v="0"/>
    <x v="0"/>
    <x v="21"/>
    <s v="Priya Nair"/>
    <n v="4"/>
    <n v="42.51"/>
    <n v="0.15"/>
    <n v="144.53"/>
    <m/>
    <m/>
    <x v="2"/>
  </r>
  <r>
    <s v="K7-11837"/>
    <x v="315"/>
    <x v="6"/>
    <x v="2"/>
    <x v="2"/>
    <x v="1"/>
    <x v="1"/>
    <x v="3"/>
    <s v="Grace Okafor"/>
    <n v="1"/>
    <n v="164.68"/>
    <n v="0"/>
    <n v="164.68"/>
    <m/>
    <m/>
    <x v="6"/>
  </r>
  <r>
    <s v="K7-11838"/>
    <x v="83"/>
    <x v="10"/>
    <x v="3"/>
    <x v="0"/>
    <x v="1"/>
    <x v="5"/>
    <x v="17"/>
    <s v="Dylan Foster"/>
    <n v="1"/>
    <n v="226.51"/>
    <n v="0"/>
    <n v="226.51"/>
    <m/>
    <m/>
    <x v="9"/>
  </r>
  <r>
    <s v="K7-11839"/>
    <x v="291"/>
    <x v="13"/>
    <x v="0"/>
    <x v="0"/>
    <x v="1"/>
    <x v="1"/>
    <x v="12"/>
    <s v="Grace Okafor"/>
    <n v="5"/>
    <n v="277.86"/>
    <n v="0"/>
    <n v="1389.3"/>
    <m/>
    <m/>
    <x v="6"/>
  </r>
  <r>
    <s v="K7-11840"/>
    <x v="183"/>
    <x v="0"/>
    <x v="0"/>
    <x v="1"/>
    <x v="1"/>
    <x v="3"/>
    <x v="15"/>
    <s v="Dylan Foster"/>
    <n v="8"/>
    <n v="93"/>
    <n v="0"/>
    <n v="744"/>
    <m/>
    <m/>
    <x v="4"/>
  </r>
  <r>
    <s v="K7-11841"/>
    <x v="155"/>
    <x v="1"/>
    <x v="1"/>
    <x v="3"/>
    <x v="0"/>
    <x v="3"/>
    <x v="15"/>
    <s v="Jonah Wright"/>
    <n v="4"/>
    <n v="95"/>
    <n v="0"/>
    <n v="380"/>
    <m/>
    <m/>
    <x v="10"/>
  </r>
  <r>
    <s v="K7-11842"/>
    <x v="179"/>
    <x v="19"/>
    <x v="1"/>
    <x v="0"/>
    <x v="1"/>
    <x v="0"/>
    <x v="18"/>
    <s v="Noor Haddad"/>
    <n v="5"/>
    <n v="29.61"/>
    <n v="0"/>
    <n v="148.05000000000001"/>
    <m/>
    <m/>
    <x v="5"/>
  </r>
  <r>
    <s v="K7-11843"/>
    <x v="5"/>
    <x v="6"/>
    <x v="2"/>
    <x v="0"/>
    <x v="1"/>
    <x v="5"/>
    <x v="7"/>
    <s v="Jonah Wright"/>
    <n v="3"/>
    <n v="161.22999999999999"/>
    <n v="0"/>
    <n v="483.69"/>
    <m/>
    <m/>
    <x v="3"/>
  </r>
  <r>
    <s v="K7-11844"/>
    <x v="301"/>
    <x v="9"/>
    <x v="2"/>
    <x v="1"/>
    <x v="0"/>
    <x v="3"/>
    <x v="15"/>
    <s v="Elena Vargas"/>
    <n v="8"/>
    <n v="92.87"/>
    <n v="0"/>
    <n v="742.96"/>
    <m/>
    <m/>
    <x v="1"/>
  </r>
  <r>
    <s v="K7-11845"/>
    <x v="163"/>
    <x v="9"/>
    <x v="2"/>
    <x v="1"/>
    <x v="0"/>
    <x v="3"/>
    <x v="4"/>
    <s v="Jonah Wright"/>
    <n v="1"/>
    <n v="124.71"/>
    <n v="0.05"/>
    <n v="118.47"/>
    <m/>
    <m/>
    <x v="10"/>
  </r>
  <r>
    <s v="K7-11846"/>
    <x v="207"/>
    <x v="12"/>
    <x v="3"/>
    <x v="2"/>
    <x v="1"/>
    <x v="2"/>
    <x v="5"/>
    <s v="Ava Brooks"/>
    <n v="5"/>
    <n v="39.21"/>
    <n v="0"/>
    <n v="196.05"/>
    <m/>
    <m/>
    <x v="1"/>
  </r>
  <r>
    <s v="K7-11847"/>
    <x v="102"/>
    <x v="7"/>
    <x v="2"/>
    <x v="2"/>
    <x v="0"/>
    <x v="1"/>
    <x v="1"/>
    <s v="Grace Okafor"/>
    <n v="6"/>
    <n v="121.61"/>
    <n v="0.2"/>
    <n v="583.73"/>
    <m/>
    <m/>
    <x v="6"/>
  </r>
  <r>
    <s v="K7-11848"/>
    <x v="75"/>
    <x v="14"/>
    <x v="2"/>
    <x v="3"/>
    <x v="0"/>
    <x v="5"/>
    <x v="7"/>
    <s v="Priya Nair"/>
    <n v="1"/>
    <n v="161.52000000000001"/>
    <n v="0.1"/>
    <n v="145.37"/>
    <m/>
    <m/>
    <x v="8"/>
  </r>
  <r>
    <s v="K7-11849"/>
    <x v="78"/>
    <x v="4"/>
    <x v="3"/>
    <x v="0"/>
    <x v="0"/>
    <x v="4"/>
    <x v="11"/>
    <s v="Dylan Foster"/>
    <n v="3"/>
    <n v="83.71"/>
    <n v="0"/>
    <n v="251.13"/>
    <m/>
    <m/>
    <x v="2"/>
  </r>
  <r>
    <s v="K7-11850"/>
    <x v="36"/>
    <x v="5"/>
    <x v="0"/>
    <x v="0"/>
    <x v="0"/>
    <x v="1"/>
    <x v="1"/>
    <s v="Jonah Wright"/>
    <n v="3"/>
    <n v="131.66999999999999"/>
    <n v="0"/>
    <n v="395.01"/>
    <m/>
    <m/>
    <x v="2"/>
  </r>
  <r>
    <s v="K7-11851"/>
    <x v="259"/>
    <x v="0"/>
    <x v="0"/>
    <x v="2"/>
    <x v="0"/>
    <x v="5"/>
    <x v="7"/>
    <s v="Elena Vargas"/>
    <n v="1"/>
    <n v="161.07"/>
    <n v="0"/>
    <n v="161.07"/>
    <m/>
    <m/>
    <x v="9"/>
  </r>
  <r>
    <s v="K7-11852"/>
    <x v="142"/>
    <x v="4"/>
    <x v="3"/>
    <x v="0"/>
    <x v="1"/>
    <x v="0"/>
    <x v="18"/>
    <s v="Ava Brooks"/>
    <n v="1"/>
    <n v="32.89"/>
    <n v="0"/>
    <n v="32.89"/>
    <m/>
    <m/>
    <x v="9"/>
  </r>
  <r>
    <s v="K7-11853"/>
    <x v="174"/>
    <x v="19"/>
    <x v="1"/>
    <x v="0"/>
    <x v="1"/>
    <x v="3"/>
    <x v="10"/>
    <s v="Marcus Reed"/>
    <n v="1"/>
    <n v="119.2"/>
    <n v="0.05"/>
    <n v="113.24"/>
    <m/>
    <m/>
    <x v="8"/>
  </r>
  <r>
    <s v="K7-11854"/>
    <x v="168"/>
    <x v="6"/>
    <x v="2"/>
    <x v="1"/>
    <x v="0"/>
    <x v="4"/>
    <x v="6"/>
    <s v="Noor Haddad"/>
    <n v="1"/>
    <n v="56.98"/>
    <n v="0.05"/>
    <n v="54.13"/>
    <m/>
    <m/>
    <x v="9"/>
  </r>
  <r>
    <s v="K7-11855"/>
    <x v="320"/>
    <x v="13"/>
    <x v="0"/>
    <x v="0"/>
    <x v="0"/>
    <x v="2"/>
    <x v="19"/>
    <s v="Noor Haddad"/>
    <n v="1"/>
    <n v="46.49"/>
    <n v="0"/>
    <n v="46.49"/>
    <m/>
    <m/>
    <x v="6"/>
  </r>
  <r>
    <s v="K7-11856"/>
    <x v="260"/>
    <x v="4"/>
    <x v="3"/>
    <x v="0"/>
    <x v="0"/>
    <x v="1"/>
    <x v="8"/>
    <s v="Noor Haddad"/>
    <n v="6"/>
    <n v="247.2"/>
    <n v="0"/>
    <n v="1483.2"/>
    <m/>
    <m/>
    <x v="4"/>
  </r>
  <r>
    <s v="K7-11857"/>
    <x v="28"/>
    <x v="25"/>
    <x v="3"/>
    <x v="0"/>
    <x v="1"/>
    <x v="2"/>
    <x v="19"/>
    <s v="Ava Brooks"/>
    <n v="2"/>
    <n v="44.78"/>
    <n v="0"/>
    <n v="89.56"/>
    <m/>
    <m/>
    <x v="0"/>
  </r>
  <r>
    <s v="K7-11858"/>
    <x v="353"/>
    <x v="13"/>
    <x v="0"/>
    <x v="0"/>
    <x v="0"/>
    <x v="3"/>
    <x v="10"/>
    <s v="Marcus Reed"/>
    <n v="8"/>
    <n v="116.77"/>
    <n v="0"/>
    <n v="934.16"/>
    <m/>
    <m/>
    <x v="3"/>
  </r>
  <r>
    <s v="K7-11859"/>
    <x v="15"/>
    <x v="26"/>
    <x v="2"/>
    <x v="0"/>
    <x v="0"/>
    <x v="4"/>
    <x v="6"/>
    <s v="Noor Haddad"/>
    <n v="1"/>
    <n v="58.76"/>
    <n v="0.1"/>
    <n v="52.88"/>
    <m/>
    <m/>
    <x v="9"/>
  </r>
  <r>
    <s v="K7-11860"/>
    <x v="297"/>
    <x v="8"/>
    <x v="1"/>
    <x v="1"/>
    <x v="0"/>
    <x v="2"/>
    <x v="2"/>
    <s v="Dylan Foster"/>
    <n v="18"/>
    <n v="25.88"/>
    <n v="0.05"/>
    <n v="442.55"/>
    <m/>
    <m/>
    <x v="0"/>
  </r>
  <r>
    <s v="K7-11861"/>
    <x v="117"/>
    <x v="25"/>
    <x v="3"/>
    <x v="2"/>
    <x v="0"/>
    <x v="1"/>
    <x v="12"/>
    <s v="Priya Nair"/>
    <n v="1"/>
    <n v="287.86"/>
    <n v="0.3"/>
    <n v="201.5"/>
    <m/>
    <m/>
    <x v="1"/>
  </r>
  <r>
    <s v="K7-11862"/>
    <x v="105"/>
    <x v="16"/>
    <x v="0"/>
    <x v="0"/>
    <x v="0"/>
    <x v="1"/>
    <x v="8"/>
    <s v="Jonah Wright"/>
    <n v="1"/>
    <n v="253.75"/>
    <n v="0.1"/>
    <n v="228.38"/>
    <m/>
    <m/>
    <x v="11"/>
  </r>
  <r>
    <s v="K7-11863"/>
    <x v="333"/>
    <x v="5"/>
    <x v="0"/>
    <x v="0"/>
    <x v="1"/>
    <x v="4"/>
    <x v="11"/>
    <s v="Marcus Reed"/>
    <n v="1"/>
    <n v="85.35"/>
    <n v="0.1"/>
    <n v="76.81"/>
    <m/>
    <m/>
    <x v="3"/>
  </r>
  <r>
    <s v="K7-11864"/>
    <x v="202"/>
    <x v="15"/>
    <x v="1"/>
    <x v="1"/>
    <x v="0"/>
    <x v="0"/>
    <x v="20"/>
    <s v="Marcus Reed"/>
    <n v="6"/>
    <n v="63.84"/>
    <n v="0.05"/>
    <n v="363.89"/>
    <m/>
    <m/>
    <x v="1"/>
  </r>
  <r>
    <s v="K7-11865"/>
    <x v="273"/>
    <x v="15"/>
    <x v="1"/>
    <x v="0"/>
    <x v="0"/>
    <x v="3"/>
    <x v="10"/>
    <s v="Priya Nair"/>
    <n v="2"/>
    <n v="124.15"/>
    <n v="0"/>
    <n v="248.3"/>
    <m/>
    <m/>
    <x v="10"/>
  </r>
  <r>
    <s v="K7-11866"/>
    <x v="218"/>
    <x v="17"/>
    <x v="0"/>
    <x v="1"/>
    <x v="0"/>
    <x v="1"/>
    <x v="3"/>
    <s v="Marcus Reed"/>
    <n v="3"/>
    <n v="157.88"/>
    <n v="0.05"/>
    <n v="449.96"/>
    <m/>
    <m/>
    <x v="4"/>
  </r>
  <r>
    <s v="K7-11867"/>
    <x v="202"/>
    <x v="7"/>
    <x v="2"/>
    <x v="3"/>
    <x v="1"/>
    <x v="3"/>
    <x v="4"/>
    <s v="Marcus Reed"/>
    <n v="3"/>
    <n v="128.15"/>
    <n v="0"/>
    <n v="384.45"/>
    <m/>
    <m/>
    <x v="1"/>
  </r>
  <r>
    <s v="K7-11868"/>
    <x v="85"/>
    <x v="11"/>
    <x v="3"/>
    <x v="0"/>
    <x v="1"/>
    <x v="4"/>
    <x v="14"/>
    <s v="Ava Brooks"/>
    <n v="1"/>
    <n v="79.23"/>
    <n v="0"/>
    <n v="79.23"/>
    <m/>
    <m/>
    <x v="8"/>
  </r>
  <r>
    <s v="K7-11869"/>
    <x v="75"/>
    <x v="15"/>
    <x v="1"/>
    <x v="3"/>
    <x v="0"/>
    <x v="3"/>
    <x v="4"/>
    <s v="Grace Okafor"/>
    <n v="1"/>
    <n v="126.44"/>
    <n v="0.1"/>
    <n v="113.8"/>
    <m/>
    <m/>
    <x v="8"/>
  </r>
  <r>
    <s v="K7-11870"/>
    <x v="359"/>
    <x v="16"/>
    <x v="0"/>
    <x v="0"/>
    <x v="0"/>
    <x v="4"/>
    <x v="6"/>
    <s v="Noor Haddad"/>
    <n v="1"/>
    <n v="57.25"/>
    <n v="0.2"/>
    <n v="45.8"/>
    <m/>
    <m/>
    <x v="4"/>
  </r>
  <r>
    <s v="K7-11871"/>
    <x v="357"/>
    <x v="7"/>
    <x v="2"/>
    <x v="3"/>
    <x v="0"/>
    <x v="2"/>
    <x v="5"/>
    <s v="Elena Vargas"/>
    <n v="1"/>
    <n v="38.979999999999997"/>
    <n v="0"/>
    <n v="38.979999999999997"/>
    <m/>
    <m/>
    <x v="0"/>
  </r>
  <r>
    <s v="K7-11872"/>
    <x v="306"/>
    <x v="9"/>
    <x v="2"/>
    <x v="1"/>
    <x v="0"/>
    <x v="2"/>
    <x v="5"/>
    <s v="Marcus Reed"/>
    <n v="5"/>
    <n v="38.729999999999997"/>
    <n v="0"/>
    <n v="193.65"/>
    <m/>
    <m/>
    <x v="2"/>
  </r>
  <r>
    <s v="K7-11873"/>
    <x v="10"/>
    <x v="0"/>
    <x v="0"/>
    <x v="1"/>
    <x v="0"/>
    <x v="0"/>
    <x v="0"/>
    <s v="Marcus Reed"/>
    <n v="2"/>
    <n v="53.31"/>
    <n v="0"/>
    <n v="106.62"/>
    <m/>
    <m/>
    <x v="5"/>
  </r>
  <r>
    <s v="K7-11874"/>
    <x v="148"/>
    <x v="12"/>
    <x v="3"/>
    <x v="0"/>
    <x v="0"/>
    <x v="0"/>
    <x v="0"/>
    <s v="Dylan Foster"/>
    <n v="2"/>
    <n v="51.53"/>
    <n v="0.05"/>
    <n v="97.91"/>
    <m/>
    <m/>
    <x v="0"/>
  </r>
  <r>
    <s v="K7-11875"/>
    <x v="194"/>
    <x v="13"/>
    <x v="0"/>
    <x v="3"/>
    <x v="0"/>
    <x v="0"/>
    <x v="21"/>
    <s v="Noor Haddad"/>
    <n v="1"/>
    <n v="44.42"/>
    <n v="0.05"/>
    <n v="42.2"/>
    <m/>
    <m/>
    <x v="11"/>
  </r>
  <r>
    <s v="K7-11876"/>
    <x v="211"/>
    <x v="8"/>
    <x v="1"/>
    <x v="2"/>
    <x v="0"/>
    <x v="0"/>
    <x v="18"/>
    <s v="Jonah Wright"/>
    <n v="5"/>
    <n v="32.630000000000003"/>
    <n v="0"/>
    <n v="163.15"/>
    <m/>
    <m/>
    <x v="3"/>
  </r>
  <r>
    <s v="K7-11877"/>
    <x v="249"/>
    <x v="0"/>
    <x v="0"/>
    <x v="1"/>
    <x v="0"/>
    <x v="0"/>
    <x v="20"/>
    <s v="Ava Brooks"/>
    <n v="1"/>
    <n v="63.48"/>
    <n v="0"/>
    <n v="63.48"/>
    <m/>
    <m/>
    <x v="7"/>
  </r>
  <r>
    <s v="K7-11878"/>
    <x v="230"/>
    <x v="15"/>
    <x v="1"/>
    <x v="1"/>
    <x v="1"/>
    <x v="3"/>
    <x v="10"/>
    <s v="Marcus Reed"/>
    <n v="2"/>
    <n v="121.86"/>
    <n v="0.15"/>
    <n v="207.16"/>
    <m/>
    <m/>
    <x v="10"/>
  </r>
  <r>
    <s v="K7-11879"/>
    <x v="203"/>
    <x v="7"/>
    <x v="2"/>
    <x v="0"/>
    <x v="1"/>
    <x v="3"/>
    <x v="15"/>
    <s v="Noor Haddad"/>
    <n v="6"/>
    <n v="97.59"/>
    <n v="0.05"/>
    <n v="556.26"/>
    <m/>
    <m/>
    <x v="0"/>
  </r>
  <r>
    <s v="K7-11880"/>
    <x v="179"/>
    <x v="0"/>
    <x v="0"/>
    <x v="0"/>
    <x v="1"/>
    <x v="1"/>
    <x v="8"/>
    <s v="Noor Haddad"/>
    <n v="10"/>
    <n v="237.43"/>
    <n v="0"/>
    <n v="2374.3000000000002"/>
    <m/>
    <m/>
    <x v="5"/>
  </r>
  <r>
    <s v="K7-11881"/>
    <x v="202"/>
    <x v="3"/>
    <x v="0"/>
    <x v="3"/>
    <x v="0"/>
    <x v="4"/>
    <x v="14"/>
    <s v="Grace Okafor"/>
    <n v="5"/>
    <n v="71.73"/>
    <n v="0"/>
    <n v="358.65"/>
    <m/>
    <m/>
    <x v="1"/>
  </r>
  <r>
    <s v="K7-11882"/>
    <x v="110"/>
    <x v="18"/>
    <x v="3"/>
    <x v="1"/>
    <x v="0"/>
    <x v="4"/>
    <x v="13"/>
    <s v="Elena Vargas"/>
    <n v="1"/>
    <n v="91.43"/>
    <n v="0.1"/>
    <n v="82.29"/>
    <m/>
    <m/>
    <x v="1"/>
  </r>
  <r>
    <s v="K7-11883"/>
    <x v="298"/>
    <x v="1"/>
    <x v="1"/>
    <x v="2"/>
    <x v="1"/>
    <x v="4"/>
    <x v="11"/>
    <s v="Dylan Foster"/>
    <n v="3"/>
    <n v="80.319999999999993"/>
    <n v="0"/>
    <n v="240.96"/>
    <m/>
    <m/>
    <x v="1"/>
  </r>
  <r>
    <s v="K7-11884"/>
    <x v="174"/>
    <x v="7"/>
    <x v="2"/>
    <x v="1"/>
    <x v="1"/>
    <x v="4"/>
    <x v="11"/>
    <s v="Jonah Wright"/>
    <n v="4"/>
    <n v="83.98"/>
    <n v="0"/>
    <n v="335.92"/>
    <m/>
    <m/>
    <x v="8"/>
  </r>
  <r>
    <s v="K7-11885"/>
    <x v="14"/>
    <x v="13"/>
    <x v="0"/>
    <x v="0"/>
    <x v="1"/>
    <x v="2"/>
    <x v="5"/>
    <s v="Marcus Reed"/>
    <n v="1"/>
    <n v="35.630000000000003"/>
    <n v="0"/>
    <n v="35.630000000000003"/>
    <m/>
    <m/>
    <x v="5"/>
  </r>
  <r>
    <s v="K7-11886"/>
    <x v="26"/>
    <x v="20"/>
    <x v="3"/>
    <x v="1"/>
    <x v="0"/>
    <x v="0"/>
    <x v="21"/>
    <s v="Priya Nair"/>
    <n v="4"/>
    <n v="44.38"/>
    <n v="0"/>
    <n v="177.52"/>
    <m/>
    <m/>
    <x v="8"/>
  </r>
  <r>
    <s v="K7-11887"/>
    <x v="200"/>
    <x v="0"/>
    <x v="0"/>
    <x v="2"/>
    <x v="0"/>
    <x v="4"/>
    <x v="11"/>
    <s v="Priya Nair"/>
    <n v="2"/>
    <n v="81.77"/>
    <n v="0"/>
    <n v="163.54"/>
    <m/>
    <m/>
    <x v="0"/>
  </r>
  <r>
    <s v="K7-11888"/>
    <x v="284"/>
    <x v="7"/>
    <x v="2"/>
    <x v="0"/>
    <x v="1"/>
    <x v="4"/>
    <x v="13"/>
    <s v="Priya Nair"/>
    <n v="2"/>
    <n v="98.02"/>
    <n v="0.05"/>
    <n v="186.24"/>
    <m/>
    <m/>
    <x v="1"/>
  </r>
  <r>
    <s v="K7-11889"/>
    <x v="181"/>
    <x v="23"/>
    <x v="0"/>
    <x v="3"/>
    <x v="0"/>
    <x v="1"/>
    <x v="12"/>
    <s v="Grace Okafor"/>
    <n v="10"/>
    <n v="286.33999999999997"/>
    <n v="0"/>
    <n v="2863.4"/>
    <m/>
    <m/>
    <x v="4"/>
  </r>
  <r>
    <s v="K7-11890"/>
    <x v="110"/>
    <x v="16"/>
    <x v="0"/>
    <x v="3"/>
    <x v="0"/>
    <x v="0"/>
    <x v="21"/>
    <s v="Priya Nair"/>
    <n v="1"/>
    <n v="42.45"/>
    <n v="0"/>
    <n v="42.45"/>
    <m/>
    <m/>
    <x v="1"/>
  </r>
  <r>
    <s v="K7-11891"/>
    <x v="292"/>
    <x v="29"/>
    <x v="1"/>
    <x v="0"/>
    <x v="1"/>
    <x v="4"/>
    <x v="6"/>
    <s v="Grace Okafor"/>
    <n v="2"/>
    <n v="62.04"/>
    <n v="0.1"/>
    <n v="111.67"/>
    <m/>
    <m/>
    <x v="0"/>
  </r>
  <r>
    <s v="K7-11892"/>
    <x v="173"/>
    <x v="0"/>
    <x v="0"/>
    <x v="1"/>
    <x v="0"/>
    <x v="3"/>
    <x v="4"/>
    <s v="Dylan Foster"/>
    <n v="1"/>
    <n v="125.31"/>
    <n v="0"/>
    <n v="125.31"/>
    <m/>
    <m/>
    <x v="10"/>
  </r>
  <r>
    <s v="K7-11893"/>
    <x v="109"/>
    <x v="14"/>
    <x v="2"/>
    <x v="0"/>
    <x v="0"/>
    <x v="4"/>
    <x v="13"/>
    <s v="Noor Haddad"/>
    <n v="2"/>
    <n v="93.3"/>
    <n v="0"/>
    <n v="186.6"/>
    <m/>
    <m/>
    <x v="0"/>
  </r>
  <r>
    <s v="K7-11894"/>
    <x v="117"/>
    <x v="28"/>
    <x v="0"/>
    <x v="1"/>
    <x v="0"/>
    <x v="0"/>
    <x v="18"/>
    <s v="Elena Vargas"/>
    <n v="1"/>
    <n v="30.3"/>
    <n v="0"/>
    <n v="30.3"/>
    <m/>
    <m/>
    <x v="1"/>
  </r>
  <r>
    <s v="K7-11895"/>
    <x v="146"/>
    <x v="21"/>
    <x v="0"/>
    <x v="2"/>
    <x v="1"/>
    <x v="1"/>
    <x v="3"/>
    <s v="Priya Nair"/>
    <n v="1"/>
    <n v="162.68"/>
    <n v="0"/>
    <n v="162.68"/>
    <m/>
    <m/>
    <x v="6"/>
  </r>
  <r>
    <s v="K7-11896"/>
    <x v="165"/>
    <x v="9"/>
    <x v="2"/>
    <x v="2"/>
    <x v="0"/>
    <x v="0"/>
    <x v="18"/>
    <s v="Elena Vargas"/>
    <n v="3"/>
    <n v="32.49"/>
    <n v="0"/>
    <n v="97.47"/>
    <m/>
    <m/>
    <x v="1"/>
  </r>
  <r>
    <s v="K7-11897"/>
    <x v="362"/>
    <x v="8"/>
    <x v="1"/>
    <x v="3"/>
    <x v="0"/>
    <x v="2"/>
    <x v="2"/>
    <s v="Grace Okafor"/>
    <n v="7"/>
    <n v="25.13"/>
    <n v="0.05"/>
    <n v="167.11"/>
    <m/>
    <m/>
    <x v="11"/>
  </r>
  <r>
    <s v="K7-11898"/>
    <x v="209"/>
    <x v="8"/>
    <x v="1"/>
    <x v="1"/>
    <x v="1"/>
    <x v="1"/>
    <x v="3"/>
    <s v="Marcus Reed"/>
    <n v="3"/>
    <n v="172.23"/>
    <n v="0.05"/>
    <n v="490.86"/>
    <m/>
    <m/>
    <x v="0"/>
  </r>
  <r>
    <s v="K7-11899"/>
    <x v="45"/>
    <x v="11"/>
    <x v="3"/>
    <x v="3"/>
    <x v="0"/>
    <x v="1"/>
    <x v="1"/>
    <s v="Priya Nair"/>
    <n v="3"/>
    <n v="137.11000000000001"/>
    <n v="0"/>
    <n v="411.33"/>
    <m/>
    <m/>
    <x v="6"/>
  </r>
  <r>
    <s v="K7-11900"/>
    <x v="242"/>
    <x v="22"/>
    <x v="0"/>
    <x v="1"/>
    <x v="1"/>
    <x v="4"/>
    <x v="11"/>
    <s v="Grace Okafor"/>
    <n v="2"/>
    <n v="80.47"/>
    <n v="0"/>
    <n v="160.94"/>
    <m/>
    <m/>
    <x v="3"/>
  </r>
  <r>
    <s v="K7-11901"/>
    <x v="77"/>
    <x v="4"/>
    <x v="3"/>
    <x v="2"/>
    <x v="0"/>
    <x v="5"/>
    <x v="17"/>
    <s v="Ava Brooks"/>
    <n v="1"/>
    <n v="205.57"/>
    <n v="0"/>
    <n v="205.57"/>
    <m/>
    <m/>
    <x v="9"/>
  </r>
  <r>
    <s v="K7-11902"/>
    <x v="353"/>
    <x v="5"/>
    <x v="0"/>
    <x v="3"/>
    <x v="1"/>
    <x v="1"/>
    <x v="3"/>
    <s v="Elena Vargas"/>
    <n v="5"/>
    <n v="177.13"/>
    <n v="0"/>
    <n v="885.65"/>
    <m/>
    <m/>
    <x v="3"/>
  </r>
  <r>
    <s v="K7-11903"/>
    <x v="313"/>
    <x v="1"/>
    <x v="1"/>
    <x v="1"/>
    <x v="0"/>
    <x v="1"/>
    <x v="3"/>
    <s v="Grace Okafor"/>
    <n v="1"/>
    <n v="161.24"/>
    <n v="0"/>
    <n v="161.24"/>
    <m/>
    <m/>
    <x v="8"/>
  </r>
  <r>
    <s v="K7-11904"/>
    <x v="208"/>
    <x v="7"/>
    <x v="2"/>
    <x v="0"/>
    <x v="1"/>
    <x v="1"/>
    <x v="12"/>
    <s v="Ava Brooks"/>
    <n v="1"/>
    <n v="274.32"/>
    <n v="0"/>
    <n v="274.32"/>
    <m/>
    <m/>
    <x v="9"/>
  </r>
  <r>
    <s v="K7-11905"/>
    <x v="294"/>
    <x v="8"/>
    <x v="1"/>
    <x v="0"/>
    <x v="0"/>
    <x v="5"/>
    <x v="7"/>
    <s v="Ava Brooks"/>
    <n v="1"/>
    <n v="165.01"/>
    <n v="0"/>
    <n v="165.01"/>
    <m/>
    <m/>
    <x v="7"/>
  </r>
  <r>
    <s v="K7-11906"/>
    <x v="218"/>
    <x v="24"/>
    <x v="2"/>
    <x v="1"/>
    <x v="0"/>
    <x v="1"/>
    <x v="1"/>
    <s v="Noor Haddad"/>
    <n v="3"/>
    <n v="128.88"/>
    <n v="0"/>
    <n v="386.64"/>
    <m/>
    <m/>
    <x v="4"/>
  </r>
  <r>
    <s v="K7-11907"/>
    <x v="184"/>
    <x v="3"/>
    <x v="0"/>
    <x v="0"/>
    <x v="0"/>
    <x v="4"/>
    <x v="14"/>
    <s v="Noor Haddad"/>
    <n v="2"/>
    <n v="81.010000000000005"/>
    <n v="0.05"/>
    <n v="153.91999999999999"/>
    <m/>
    <m/>
    <x v="10"/>
  </r>
  <r>
    <s v="K7-11908"/>
    <x v="220"/>
    <x v="11"/>
    <x v="3"/>
    <x v="2"/>
    <x v="1"/>
    <x v="2"/>
    <x v="5"/>
    <s v="Noor Haddad"/>
    <n v="2"/>
    <n v="35.11"/>
    <n v="0"/>
    <n v="70.22"/>
    <m/>
    <m/>
    <x v="4"/>
  </r>
  <r>
    <s v="K7-11909"/>
    <x v="188"/>
    <x v="15"/>
    <x v="1"/>
    <x v="1"/>
    <x v="0"/>
    <x v="3"/>
    <x v="10"/>
    <s v="Dylan Foster"/>
    <n v="1"/>
    <n v="114.26"/>
    <n v="0"/>
    <n v="114.26"/>
    <m/>
    <m/>
    <x v="3"/>
  </r>
  <r>
    <s v="K7-11910"/>
    <x v="60"/>
    <x v="28"/>
    <x v="0"/>
    <x v="3"/>
    <x v="1"/>
    <x v="5"/>
    <x v="17"/>
    <s v="Grace Okafor"/>
    <n v="2"/>
    <n v="216.68"/>
    <n v="0"/>
    <n v="433.36"/>
    <m/>
    <m/>
    <x v="10"/>
  </r>
  <r>
    <s v="K7-11911"/>
    <x v="125"/>
    <x v="13"/>
    <x v="0"/>
    <x v="1"/>
    <x v="0"/>
    <x v="4"/>
    <x v="14"/>
    <s v="Ava Brooks"/>
    <n v="9"/>
    <n v="72.510000000000005"/>
    <n v="0"/>
    <n v="652.59"/>
    <m/>
    <m/>
    <x v="6"/>
  </r>
  <r>
    <s v="K7-11912"/>
    <x v="343"/>
    <x v="16"/>
    <x v="0"/>
    <x v="1"/>
    <x v="1"/>
    <x v="4"/>
    <x v="13"/>
    <s v="Jonah Wright"/>
    <n v="9"/>
    <n v="99.28"/>
    <n v="0"/>
    <n v="893.52"/>
    <m/>
    <m/>
    <x v="11"/>
  </r>
  <r>
    <s v="K7-11913"/>
    <x v="159"/>
    <x v="4"/>
    <x v="3"/>
    <x v="1"/>
    <x v="0"/>
    <x v="5"/>
    <x v="9"/>
    <s v="Noor Haddad"/>
    <n v="4"/>
    <n v="85.84"/>
    <n v="0.05"/>
    <n v="326.19"/>
    <m/>
    <m/>
    <x v="10"/>
  </r>
  <r>
    <s v="K7-11914"/>
    <x v="145"/>
    <x v="6"/>
    <x v="2"/>
    <x v="1"/>
    <x v="0"/>
    <x v="2"/>
    <x v="16"/>
    <s v="Ava Brooks"/>
    <n v="1"/>
    <n v="61.38"/>
    <n v="0.2"/>
    <n v="49.1"/>
    <m/>
    <m/>
    <x v="3"/>
  </r>
  <r>
    <s v="K7-11915"/>
    <x v="325"/>
    <x v="0"/>
    <x v="0"/>
    <x v="2"/>
    <x v="0"/>
    <x v="1"/>
    <x v="3"/>
    <s v="Priya Nair"/>
    <n v="10"/>
    <n v="177.14"/>
    <n v="0"/>
    <n v="1771.4"/>
    <m/>
    <m/>
    <x v="5"/>
  </r>
  <r>
    <s v="K7-11916"/>
    <x v="53"/>
    <x v="14"/>
    <x v="2"/>
    <x v="1"/>
    <x v="0"/>
    <x v="3"/>
    <x v="15"/>
    <s v="Grace Okafor"/>
    <n v="1"/>
    <n v="90.2"/>
    <n v="0.05"/>
    <n v="85.69"/>
    <m/>
    <m/>
    <x v="0"/>
  </r>
  <r>
    <s v="K7-11917"/>
    <x v="84"/>
    <x v="24"/>
    <x v="2"/>
    <x v="0"/>
    <x v="0"/>
    <x v="1"/>
    <x v="1"/>
    <s v="Marcus Reed"/>
    <n v="1"/>
    <n v="124.98"/>
    <n v="0"/>
    <n v="124.98"/>
    <m/>
    <m/>
    <x v="10"/>
  </r>
  <r>
    <s v="K7-11918"/>
    <x v="342"/>
    <x v="1"/>
    <x v="1"/>
    <x v="0"/>
    <x v="0"/>
    <x v="0"/>
    <x v="18"/>
    <s v="Jonah Wright"/>
    <n v="6"/>
    <n v="30.34"/>
    <n v="0.2"/>
    <n v="145.63"/>
    <m/>
    <m/>
    <x v="5"/>
  </r>
  <r>
    <s v="K7-11919"/>
    <x v="16"/>
    <x v="20"/>
    <x v="3"/>
    <x v="2"/>
    <x v="1"/>
    <x v="4"/>
    <x v="11"/>
    <s v="Dylan Foster"/>
    <n v="1"/>
    <n v="89.65"/>
    <n v="0.1"/>
    <n v="80.69"/>
    <m/>
    <m/>
    <x v="3"/>
  </r>
  <r>
    <s v="K7-11920"/>
    <x v="69"/>
    <x v="23"/>
    <x v="0"/>
    <x v="1"/>
    <x v="0"/>
    <x v="0"/>
    <x v="21"/>
    <s v="Jonah Wright"/>
    <n v="1"/>
    <n v="43.81"/>
    <n v="0"/>
    <n v="43.81"/>
    <m/>
    <m/>
    <x v="1"/>
  </r>
  <r>
    <s v="K7-11921"/>
    <x v="76"/>
    <x v="16"/>
    <x v="0"/>
    <x v="2"/>
    <x v="0"/>
    <x v="4"/>
    <x v="6"/>
    <s v="Priya Nair"/>
    <n v="3"/>
    <n v="58.85"/>
    <n v="0"/>
    <n v="176.55"/>
    <m/>
    <m/>
    <x v="4"/>
  </r>
  <r>
    <s v="K7-11922"/>
    <x v="231"/>
    <x v="7"/>
    <x v="2"/>
    <x v="0"/>
    <x v="0"/>
    <x v="0"/>
    <x v="0"/>
    <s v="Priya Nair"/>
    <n v="1"/>
    <n v="53.22"/>
    <n v="0"/>
    <n v="53.22"/>
    <m/>
    <m/>
    <x v="3"/>
  </r>
  <r>
    <s v="K7-11923"/>
    <x v="108"/>
    <x v="7"/>
    <x v="2"/>
    <x v="3"/>
    <x v="0"/>
    <x v="4"/>
    <x v="13"/>
    <s v="Noor Haddad"/>
    <n v="1"/>
    <n v="92.9"/>
    <n v="0"/>
    <n v="92.9"/>
    <m/>
    <m/>
    <x v="6"/>
  </r>
  <r>
    <s v="K7-11924"/>
    <x v="11"/>
    <x v="15"/>
    <x v="1"/>
    <x v="3"/>
    <x v="0"/>
    <x v="4"/>
    <x v="13"/>
    <s v="Grace Okafor"/>
    <n v="2"/>
    <n v="88.38"/>
    <n v="0"/>
    <n v="176.76"/>
    <m/>
    <m/>
    <x v="8"/>
  </r>
  <r>
    <s v="K7-11925"/>
    <x v="182"/>
    <x v="21"/>
    <x v="0"/>
    <x v="3"/>
    <x v="0"/>
    <x v="4"/>
    <x v="14"/>
    <s v="Grace Okafor"/>
    <n v="2"/>
    <n v="77.900000000000006"/>
    <n v="0.15"/>
    <n v="132.43"/>
    <m/>
    <m/>
    <x v="6"/>
  </r>
  <r>
    <s v="K7-11926"/>
    <x v="196"/>
    <x v="9"/>
    <x v="2"/>
    <x v="3"/>
    <x v="1"/>
    <x v="4"/>
    <x v="13"/>
    <s v="Ava Brooks"/>
    <n v="7"/>
    <n v="92"/>
    <n v="0"/>
    <n v="644"/>
    <m/>
    <m/>
    <x v="0"/>
  </r>
  <r>
    <s v="K7-11927"/>
    <x v="31"/>
    <x v="16"/>
    <x v="0"/>
    <x v="1"/>
    <x v="1"/>
    <x v="2"/>
    <x v="19"/>
    <s v="Dylan Foster"/>
    <n v="4"/>
    <n v="44.4"/>
    <n v="0"/>
    <n v="177.6"/>
    <m/>
    <m/>
    <x v="1"/>
  </r>
  <r>
    <s v="K7-11928"/>
    <x v="254"/>
    <x v="0"/>
    <x v="0"/>
    <x v="0"/>
    <x v="0"/>
    <x v="3"/>
    <x v="10"/>
    <s v="Jonah Wright"/>
    <n v="1"/>
    <n v="127.32"/>
    <n v="0.15"/>
    <n v="108.22"/>
    <m/>
    <m/>
    <x v="8"/>
  </r>
  <r>
    <s v="K7-11929"/>
    <x v="43"/>
    <x v="4"/>
    <x v="3"/>
    <x v="0"/>
    <x v="0"/>
    <x v="4"/>
    <x v="13"/>
    <s v="Noor Haddad"/>
    <n v="1"/>
    <n v="95.8"/>
    <n v="0"/>
    <n v="95.8"/>
    <m/>
    <m/>
    <x v="5"/>
  </r>
  <r>
    <s v="K7-11930"/>
    <x v="173"/>
    <x v="10"/>
    <x v="3"/>
    <x v="1"/>
    <x v="1"/>
    <x v="4"/>
    <x v="14"/>
    <s v="Noor Haddad"/>
    <n v="2"/>
    <n v="72.930000000000007"/>
    <n v="0"/>
    <n v="145.86000000000001"/>
    <m/>
    <m/>
    <x v="10"/>
  </r>
  <r>
    <s v="K7-11931"/>
    <x v="239"/>
    <x v="28"/>
    <x v="0"/>
    <x v="3"/>
    <x v="0"/>
    <x v="2"/>
    <x v="19"/>
    <s v="Elena Vargas"/>
    <n v="4"/>
    <n v="47.93"/>
    <n v="0"/>
    <n v="191.72"/>
    <m/>
    <m/>
    <x v="2"/>
  </r>
  <r>
    <s v="K7-11932"/>
    <x v="317"/>
    <x v="12"/>
    <x v="3"/>
    <x v="0"/>
    <x v="0"/>
    <x v="3"/>
    <x v="10"/>
    <s v="Dylan Foster"/>
    <n v="2"/>
    <n v="117.24"/>
    <n v="0.05"/>
    <n v="222.76"/>
    <m/>
    <m/>
    <x v="10"/>
  </r>
  <r>
    <s v="K7-11933"/>
    <x v="213"/>
    <x v="6"/>
    <x v="2"/>
    <x v="0"/>
    <x v="0"/>
    <x v="4"/>
    <x v="13"/>
    <s v="Grace Okafor"/>
    <n v="5"/>
    <n v="95.41"/>
    <n v="0"/>
    <n v="477.05"/>
    <m/>
    <m/>
    <x v="10"/>
  </r>
  <r>
    <s v="K7-11934"/>
    <x v="136"/>
    <x v="21"/>
    <x v="0"/>
    <x v="1"/>
    <x v="1"/>
    <x v="0"/>
    <x v="0"/>
    <s v="Marcus Reed"/>
    <n v="1"/>
    <n v="50.75"/>
    <n v="0.1"/>
    <n v="45.68"/>
    <m/>
    <m/>
    <x v="0"/>
  </r>
  <r>
    <s v="K7-11935"/>
    <x v="291"/>
    <x v="11"/>
    <x v="3"/>
    <x v="1"/>
    <x v="0"/>
    <x v="4"/>
    <x v="13"/>
    <s v="Noor Haddad"/>
    <n v="6"/>
    <n v="85.63"/>
    <n v="0"/>
    <n v="513.78"/>
    <m/>
    <m/>
    <x v="6"/>
  </r>
  <r>
    <s v="K7-11936"/>
    <x v="348"/>
    <x v="11"/>
    <x v="3"/>
    <x v="0"/>
    <x v="0"/>
    <x v="5"/>
    <x v="9"/>
    <s v="Priya Nair"/>
    <n v="1"/>
    <n v="89.56"/>
    <n v="0.05"/>
    <n v="85.08"/>
    <m/>
    <m/>
    <x v="0"/>
  </r>
  <r>
    <s v="K7-11937"/>
    <x v="363"/>
    <x v="0"/>
    <x v="0"/>
    <x v="0"/>
    <x v="0"/>
    <x v="3"/>
    <x v="10"/>
    <s v="Priya Nair"/>
    <n v="1"/>
    <n v="111.87"/>
    <n v="0"/>
    <n v="111.87"/>
    <m/>
    <m/>
    <x v="4"/>
  </r>
  <r>
    <s v="K7-11938"/>
    <x v="149"/>
    <x v="23"/>
    <x v="0"/>
    <x v="0"/>
    <x v="0"/>
    <x v="2"/>
    <x v="16"/>
    <s v="Grace Okafor"/>
    <n v="3"/>
    <n v="58.53"/>
    <n v="0"/>
    <n v="175.59"/>
    <m/>
    <m/>
    <x v="2"/>
  </r>
  <r>
    <s v="K7-11939"/>
    <x v="191"/>
    <x v="7"/>
    <x v="2"/>
    <x v="2"/>
    <x v="0"/>
    <x v="5"/>
    <x v="9"/>
    <s v="Priya Nair"/>
    <n v="2"/>
    <n v="90.78"/>
    <n v="0"/>
    <n v="181.56"/>
    <m/>
    <m/>
    <x v="5"/>
  </r>
  <r>
    <s v="K7-11940"/>
    <x v="100"/>
    <x v="20"/>
    <x v="3"/>
    <x v="1"/>
    <x v="1"/>
    <x v="4"/>
    <x v="11"/>
    <s v="Ava Brooks"/>
    <n v="2"/>
    <n v="90.47"/>
    <n v="0.1"/>
    <n v="162.85"/>
    <m/>
    <m/>
    <x v="5"/>
  </r>
  <r>
    <s v="K7-11941"/>
    <x v="248"/>
    <x v="0"/>
    <x v="0"/>
    <x v="0"/>
    <x v="1"/>
    <x v="0"/>
    <x v="20"/>
    <s v="Marcus Reed"/>
    <n v="3"/>
    <n v="69.84"/>
    <n v="0"/>
    <n v="209.52"/>
    <m/>
    <m/>
    <x v="1"/>
  </r>
  <r>
    <s v="K7-11942"/>
    <x v="277"/>
    <x v="7"/>
    <x v="2"/>
    <x v="0"/>
    <x v="0"/>
    <x v="0"/>
    <x v="0"/>
    <s v="Dylan Foster"/>
    <n v="1"/>
    <n v="53.62"/>
    <n v="0"/>
    <n v="53.62"/>
    <m/>
    <m/>
    <x v="11"/>
  </r>
  <r>
    <s v="K7-11943"/>
    <x v="138"/>
    <x v="7"/>
    <x v="2"/>
    <x v="0"/>
    <x v="0"/>
    <x v="0"/>
    <x v="21"/>
    <s v="Grace Okafor"/>
    <n v="3"/>
    <n v="49.16"/>
    <n v="0.15"/>
    <n v="125.36"/>
    <m/>
    <m/>
    <x v="1"/>
  </r>
  <r>
    <s v="K7-11944"/>
    <x v="65"/>
    <x v="9"/>
    <x v="2"/>
    <x v="0"/>
    <x v="1"/>
    <x v="3"/>
    <x v="10"/>
    <s v="Noor Haddad"/>
    <n v="2"/>
    <n v="122.26"/>
    <n v="0"/>
    <n v="244.52"/>
    <m/>
    <m/>
    <x v="4"/>
  </r>
  <r>
    <s v="K7-11945"/>
    <x v="135"/>
    <x v="1"/>
    <x v="1"/>
    <x v="0"/>
    <x v="0"/>
    <x v="1"/>
    <x v="3"/>
    <s v="Priya Nair"/>
    <n v="5"/>
    <n v="155.62"/>
    <n v="0.1"/>
    <n v="700.29"/>
    <m/>
    <m/>
    <x v="4"/>
  </r>
  <r>
    <s v="K7-11946"/>
    <x v="341"/>
    <x v="5"/>
    <x v="0"/>
    <x v="2"/>
    <x v="0"/>
    <x v="4"/>
    <x v="14"/>
    <s v="Marcus Reed"/>
    <n v="1"/>
    <n v="73.709999999999994"/>
    <n v="0"/>
    <n v="73.709999999999994"/>
    <m/>
    <m/>
    <x v="0"/>
  </r>
  <r>
    <s v="K7-11947"/>
    <x v="345"/>
    <x v="25"/>
    <x v="3"/>
    <x v="0"/>
    <x v="0"/>
    <x v="0"/>
    <x v="18"/>
    <s v="Priya Nair"/>
    <n v="2"/>
    <n v="31.14"/>
    <n v="0"/>
    <n v="62.28"/>
    <m/>
    <m/>
    <x v="6"/>
  </r>
  <r>
    <s v="K7-11948"/>
    <x v="36"/>
    <x v="16"/>
    <x v="0"/>
    <x v="2"/>
    <x v="0"/>
    <x v="1"/>
    <x v="1"/>
    <s v="Dylan Foster"/>
    <n v="2"/>
    <n v="120.67"/>
    <n v="0"/>
    <n v="241.34"/>
    <m/>
    <m/>
    <x v="2"/>
  </r>
  <r>
    <s v="K7-11949"/>
    <x v="113"/>
    <x v="26"/>
    <x v="2"/>
    <x v="0"/>
    <x v="0"/>
    <x v="3"/>
    <x v="4"/>
    <s v="Marcus Reed"/>
    <n v="5"/>
    <n v="129.72"/>
    <n v="0"/>
    <n v="648.6"/>
    <m/>
    <m/>
    <x v="8"/>
  </r>
  <r>
    <s v="K7-11950"/>
    <x v="82"/>
    <x v="1"/>
    <x v="1"/>
    <x v="0"/>
    <x v="1"/>
    <x v="4"/>
    <x v="14"/>
    <s v="Noor Haddad"/>
    <n v="2"/>
    <n v="70.099999999999994"/>
    <n v="0"/>
    <n v="140.19999999999999"/>
    <m/>
    <m/>
    <x v="6"/>
  </r>
  <r>
    <s v="K7-11951"/>
    <x v="154"/>
    <x v="19"/>
    <x v="1"/>
    <x v="3"/>
    <x v="1"/>
    <x v="1"/>
    <x v="8"/>
    <s v="Ava Brooks"/>
    <n v="8"/>
    <n v="226.42"/>
    <n v="0"/>
    <n v="1811.36"/>
    <m/>
    <m/>
    <x v="2"/>
  </r>
  <r>
    <s v="K7-11952"/>
    <x v="94"/>
    <x v="29"/>
    <x v="1"/>
    <x v="0"/>
    <x v="1"/>
    <x v="3"/>
    <x v="10"/>
    <s v="Ava Brooks"/>
    <n v="6"/>
    <n v="118.58"/>
    <n v="0"/>
    <n v="711.48"/>
    <m/>
    <m/>
    <x v="6"/>
  </r>
  <r>
    <s v="K7-11953"/>
    <x v="62"/>
    <x v="15"/>
    <x v="1"/>
    <x v="0"/>
    <x v="0"/>
    <x v="4"/>
    <x v="11"/>
    <s v="Priya Nair"/>
    <n v="2"/>
    <n v="86.71"/>
    <n v="0"/>
    <n v="173.42"/>
    <m/>
    <m/>
    <x v="0"/>
  </r>
  <r>
    <s v="K7-11954"/>
    <x v="145"/>
    <x v="1"/>
    <x v="1"/>
    <x v="3"/>
    <x v="1"/>
    <x v="5"/>
    <x v="7"/>
    <s v="Noor Haddad"/>
    <n v="1"/>
    <n v="166.89"/>
    <n v="0"/>
    <n v="166.89"/>
    <m/>
    <m/>
    <x v="3"/>
  </r>
  <r>
    <s v="K7-11955"/>
    <x v="160"/>
    <x v="18"/>
    <x v="3"/>
    <x v="0"/>
    <x v="1"/>
    <x v="4"/>
    <x v="13"/>
    <s v="Grace Okafor"/>
    <n v="1"/>
    <n v="88.78"/>
    <n v="0"/>
    <n v="88.78"/>
    <m/>
    <m/>
    <x v="7"/>
  </r>
  <r>
    <s v="K7-11956"/>
    <x v="256"/>
    <x v="5"/>
    <x v="0"/>
    <x v="1"/>
    <x v="0"/>
    <x v="5"/>
    <x v="7"/>
    <s v="Noor Haddad"/>
    <n v="8"/>
    <n v="152.28"/>
    <n v="0"/>
    <n v="1218.24"/>
    <m/>
    <m/>
    <x v="2"/>
  </r>
  <r>
    <s v="K7-11957"/>
    <x v="203"/>
    <x v="7"/>
    <x v="2"/>
    <x v="0"/>
    <x v="1"/>
    <x v="2"/>
    <x v="5"/>
    <s v="Elena Vargas"/>
    <n v="1"/>
    <n v="40.35"/>
    <n v="0"/>
    <n v="40.35"/>
    <m/>
    <m/>
    <x v="0"/>
  </r>
  <r>
    <s v="K7-11958"/>
    <x v="143"/>
    <x v="5"/>
    <x v="0"/>
    <x v="1"/>
    <x v="1"/>
    <x v="4"/>
    <x v="14"/>
    <s v="Dylan Foster"/>
    <n v="1"/>
    <n v="72.19"/>
    <n v="0.1"/>
    <n v="64.97"/>
    <m/>
    <m/>
    <x v="10"/>
  </r>
  <r>
    <s v="K7-11959"/>
    <x v="351"/>
    <x v="0"/>
    <x v="0"/>
    <x v="3"/>
    <x v="0"/>
    <x v="3"/>
    <x v="10"/>
    <s v="Priya Nair"/>
    <n v="2"/>
    <n v="122.92"/>
    <n v="0.2"/>
    <n v="196.67"/>
    <m/>
    <m/>
    <x v="7"/>
  </r>
  <r>
    <s v="K7-11960"/>
    <x v="81"/>
    <x v="17"/>
    <x v="0"/>
    <x v="3"/>
    <x v="1"/>
    <x v="3"/>
    <x v="15"/>
    <s v="Marcus Reed"/>
    <n v="1"/>
    <n v="102.83"/>
    <n v="0"/>
    <n v="102.83"/>
    <m/>
    <m/>
    <x v="2"/>
  </r>
  <r>
    <s v="K7-11961"/>
    <x v="299"/>
    <x v="1"/>
    <x v="1"/>
    <x v="3"/>
    <x v="0"/>
    <x v="1"/>
    <x v="3"/>
    <s v="Marcus Reed"/>
    <n v="2"/>
    <n v="157.35"/>
    <n v="0"/>
    <n v="314.7"/>
    <m/>
    <m/>
    <x v="5"/>
  </r>
  <r>
    <s v="K7-11962"/>
    <x v="295"/>
    <x v="20"/>
    <x v="3"/>
    <x v="0"/>
    <x v="1"/>
    <x v="3"/>
    <x v="15"/>
    <s v="Dylan Foster"/>
    <n v="1"/>
    <n v="104.86"/>
    <n v="0"/>
    <n v="104.86"/>
    <m/>
    <m/>
    <x v="11"/>
  </r>
  <r>
    <s v="K7-11963"/>
    <x v="85"/>
    <x v="7"/>
    <x v="2"/>
    <x v="1"/>
    <x v="1"/>
    <x v="5"/>
    <x v="17"/>
    <s v="Dylan Foster"/>
    <n v="2"/>
    <n v="201.26"/>
    <n v="0.1"/>
    <n v="362.27"/>
    <m/>
    <m/>
    <x v="8"/>
  </r>
  <r>
    <s v="K7-11964"/>
    <x v="64"/>
    <x v="7"/>
    <x v="2"/>
    <x v="1"/>
    <x v="1"/>
    <x v="4"/>
    <x v="13"/>
    <s v="Dylan Foster"/>
    <n v="1"/>
    <n v="91.94"/>
    <n v="0.15"/>
    <n v="78.150000000000006"/>
    <m/>
    <m/>
    <x v="8"/>
  </r>
  <r>
    <s v="K7-11965"/>
    <x v="283"/>
    <x v="5"/>
    <x v="0"/>
    <x v="0"/>
    <x v="0"/>
    <x v="0"/>
    <x v="21"/>
    <s v="Jonah Wright"/>
    <n v="10"/>
    <n v="48.37"/>
    <n v="0.05"/>
    <n v="459.51"/>
    <m/>
    <m/>
    <x v="0"/>
  </r>
  <r>
    <s v="K7-11966"/>
    <x v="120"/>
    <x v="21"/>
    <x v="0"/>
    <x v="1"/>
    <x v="1"/>
    <x v="4"/>
    <x v="13"/>
    <s v="Noor Haddad"/>
    <n v="1"/>
    <n v="94.21"/>
    <n v="0"/>
    <n v="94.21"/>
    <m/>
    <m/>
    <x v="1"/>
  </r>
  <r>
    <s v="K7-11967"/>
    <x v="273"/>
    <x v="0"/>
    <x v="0"/>
    <x v="1"/>
    <x v="0"/>
    <x v="4"/>
    <x v="11"/>
    <s v="Jonah Wright"/>
    <n v="6"/>
    <n v="79.81"/>
    <n v="0"/>
    <n v="478.86"/>
    <m/>
    <m/>
    <x v="10"/>
  </r>
  <r>
    <s v="K7-11968"/>
    <x v="143"/>
    <x v="4"/>
    <x v="3"/>
    <x v="0"/>
    <x v="0"/>
    <x v="5"/>
    <x v="9"/>
    <s v="Marcus Reed"/>
    <n v="1"/>
    <n v="82.33"/>
    <n v="0.15"/>
    <n v="69.98"/>
    <m/>
    <m/>
    <x v="10"/>
  </r>
  <r>
    <s v="K7-11969"/>
    <x v="16"/>
    <x v="8"/>
    <x v="1"/>
    <x v="0"/>
    <x v="1"/>
    <x v="4"/>
    <x v="13"/>
    <s v="Ava Brooks"/>
    <n v="2"/>
    <n v="86.15"/>
    <n v="0.3"/>
    <n v="120.61"/>
    <m/>
    <m/>
    <x v="3"/>
  </r>
  <r>
    <s v="K7-11970"/>
    <x v="262"/>
    <x v="8"/>
    <x v="1"/>
    <x v="3"/>
    <x v="0"/>
    <x v="2"/>
    <x v="2"/>
    <s v="Grace Okafor"/>
    <n v="1"/>
    <n v="25.51"/>
    <n v="0.1"/>
    <n v="22.96"/>
    <m/>
    <m/>
    <x v="8"/>
  </r>
  <r>
    <s v="K7-11971"/>
    <x v="30"/>
    <x v="15"/>
    <x v="1"/>
    <x v="0"/>
    <x v="0"/>
    <x v="0"/>
    <x v="21"/>
    <s v="Grace Okafor"/>
    <n v="11"/>
    <n v="46.36"/>
    <n v="0.15"/>
    <n v="433.47"/>
    <m/>
    <m/>
    <x v="3"/>
  </r>
  <r>
    <s v="K7-11972"/>
    <x v="150"/>
    <x v="5"/>
    <x v="0"/>
    <x v="0"/>
    <x v="1"/>
    <x v="0"/>
    <x v="18"/>
    <s v="Ava Brooks"/>
    <n v="6"/>
    <n v="30.95"/>
    <n v="0"/>
    <n v="185.7"/>
    <m/>
    <m/>
    <x v="0"/>
  </r>
  <r>
    <s v="K7-11973"/>
    <x v="184"/>
    <x v="9"/>
    <x v="2"/>
    <x v="1"/>
    <x v="1"/>
    <x v="0"/>
    <x v="20"/>
    <s v="Priya Nair"/>
    <n v="6"/>
    <n v="65.08"/>
    <n v="0.2"/>
    <n v="312.38"/>
    <m/>
    <m/>
    <x v="10"/>
  </r>
  <r>
    <s v="K7-11974"/>
    <x v="52"/>
    <x v="7"/>
    <x v="2"/>
    <x v="1"/>
    <x v="0"/>
    <x v="5"/>
    <x v="9"/>
    <s v="Jonah Wright"/>
    <n v="1"/>
    <n v="90.85"/>
    <n v="0.15"/>
    <n v="77.22"/>
    <m/>
    <m/>
    <x v="8"/>
  </r>
  <r>
    <s v="K7-11975"/>
    <x v="310"/>
    <x v="11"/>
    <x v="3"/>
    <x v="3"/>
    <x v="1"/>
    <x v="2"/>
    <x v="5"/>
    <s v="Elena Vargas"/>
    <n v="5"/>
    <n v="38.06"/>
    <n v="0"/>
    <n v="190.3"/>
    <m/>
    <m/>
    <x v="10"/>
  </r>
  <r>
    <s v="K7-11976"/>
    <x v="195"/>
    <x v="27"/>
    <x v="2"/>
    <x v="0"/>
    <x v="1"/>
    <x v="4"/>
    <x v="6"/>
    <s v="Ava Brooks"/>
    <n v="1"/>
    <n v="57.4"/>
    <n v="0"/>
    <n v="57.4"/>
    <m/>
    <m/>
    <x v="3"/>
  </r>
  <r>
    <s v="K7-11977"/>
    <x v="39"/>
    <x v="12"/>
    <x v="3"/>
    <x v="0"/>
    <x v="0"/>
    <x v="4"/>
    <x v="6"/>
    <s v="Marcus Reed"/>
    <n v="1"/>
    <n v="57.07"/>
    <n v="0.3"/>
    <n v="39.950000000000003"/>
    <m/>
    <m/>
    <x v="5"/>
  </r>
  <r>
    <s v="K7-11978"/>
    <x v="278"/>
    <x v="17"/>
    <x v="0"/>
    <x v="0"/>
    <x v="1"/>
    <x v="0"/>
    <x v="20"/>
    <s v="Priya Nair"/>
    <n v="15"/>
    <n v="70.75"/>
    <n v="0.15"/>
    <n v="902.06"/>
    <m/>
    <m/>
    <x v="3"/>
  </r>
  <r>
    <s v="K7-11979"/>
    <x v="53"/>
    <x v="8"/>
    <x v="1"/>
    <x v="1"/>
    <x v="0"/>
    <x v="0"/>
    <x v="0"/>
    <s v="Elena Vargas"/>
    <n v="3"/>
    <n v="57.25"/>
    <n v="0.05"/>
    <n v="163.16"/>
    <m/>
    <m/>
    <x v="0"/>
  </r>
  <r>
    <s v="K7-11980"/>
    <x v="157"/>
    <x v="0"/>
    <x v="0"/>
    <x v="0"/>
    <x v="1"/>
    <x v="3"/>
    <x v="15"/>
    <s v="Priya Nair"/>
    <n v="11"/>
    <n v="100.6"/>
    <n v="0"/>
    <n v="1106.5999999999999"/>
    <m/>
    <m/>
    <x v="6"/>
  </r>
  <r>
    <s v="K7-11981"/>
    <x v="9"/>
    <x v="21"/>
    <x v="0"/>
    <x v="0"/>
    <x v="1"/>
    <x v="5"/>
    <x v="7"/>
    <s v="Grace Okafor"/>
    <n v="2"/>
    <n v="147.75"/>
    <n v="0"/>
    <n v="295.5"/>
    <m/>
    <m/>
    <x v="7"/>
  </r>
  <r>
    <s v="K7-11982"/>
    <x v="153"/>
    <x v="5"/>
    <x v="0"/>
    <x v="0"/>
    <x v="0"/>
    <x v="4"/>
    <x v="6"/>
    <s v="Noor Haddad"/>
    <n v="1"/>
    <n v="61.19"/>
    <n v="0"/>
    <n v="61.19"/>
    <m/>
    <m/>
    <x v="4"/>
  </r>
  <r>
    <s v="K7-11983"/>
    <x v="336"/>
    <x v="17"/>
    <x v="0"/>
    <x v="0"/>
    <x v="1"/>
    <x v="4"/>
    <x v="13"/>
    <s v="Marcus Reed"/>
    <n v="8"/>
    <n v="84.85"/>
    <n v="0"/>
    <n v="678.8"/>
    <m/>
    <m/>
    <x v="7"/>
  </r>
  <r>
    <s v="K7-11984"/>
    <x v="218"/>
    <x v="1"/>
    <x v="1"/>
    <x v="1"/>
    <x v="0"/>
    <x v="0"/>
    <x v="0"/>
    <s v="Elena Vargas"/>
    <n v="3"/>
    <n v="57.24"/>
    <n v="0.05"/>
    <n v="163.13"/>
    <m/>
    <m/>
    <x v="4"/>
  </r>
  <r>
    <s v="K7-11985"/>
    <x v="51"/>
    <x v="5"/>
    <x v="0"/>
    <x v="0"/>
    <x v="0"/>
    <x v="0"/>
    <x v="20"/>
    <s v="Jonah Wright"/>
    <n v="2"/>
    <n v="64.75"/>
    <n v="0.05"/>
    <n v="123.02"/>
    <m/>
    <m/>
    <x v="3"/>
  </r>
  <r>
    <s v="K7-11986"/>
    <x v="233"/>
    <x v="22"/>
    <x v="0"/>
    <x v="1"/>
    <x v="0"/>
    <x v="0"/>
    <x v="0"/>
    <s v="Jonah Wright"/>
    <n v="1"/>
    <n v="53.01"/>
    <n v="0"/>
    <n v="53.01"/>
    <m/>
    <m/>
    <x v="9"/>
  </r>
  <r>
    <s v="K7-11987"/>
    <x v="65"/>
    <x v="0"/>
    <x v="0"/>
    <x v="0"/>
    <x v="1"/>
    <x v="3"/>
    <x v="10"/>
    <s v="Ava Brooks"/>
    <n v="5"/>
    <n v="111.33"/>
    <n v="0"/>
    <n v="556.65"/>
    <m/>
    <m/>
    <x v="4"/>
  </r>
  <r>
    <s v="K7-11988"/>
    <x v="285"/>
    <x v="8"/>
    <x v="1"/>
    <x v="2"/>
    <x v="0"/>
    <x v="5"/>
    <x v="7"/>
    <s v="Dylan Foster"/>
    <n v="5"/>
    <n v="166.91"/>
    <n v="0.3"/>
    <n v="584.17999999999995"/>
    <m/>
    <m/>
    <x v="5"/>
  </r>
  <r>
    <s v="K7-11989"/>
    <x v="311"/>
    <x v="3"/>
    <x v="0"/>
    <x v="3"/>
    <x v="0"/>
    <x v="1"/>
    <x v="12"/>
    <s v="Dylan Foster"/>
    <n v="5"/>
    <n v="305.7"/>
    <n v="0"/>
    <n v="1528.5"/>
    <m/>
    <m/>
    <x v="10"/>
  </r>
  <r>
    <s v="K7-11990"/>
    <x v="171"/>
    <x v="11"/>
    <x v="3"/>
    <x v="3"/>
    <x v="1"/>
    <x v="1"/>
    <x v="12"/>
    <s v="Grace Okafor"/>
    <n v="9"/>
    <n v="275.39999999999998"/>
    <n v="0"/>
    <n v="2478.6"/>
    <m/>
    <m/>
    <x v="9"/>
  </r>
  <r>
    <s v="K7-11991"/>
    <x v="255"/>
    <x v="16"/>
    <x v="0"/>
    <x v="3"/>
    <x v="0"/>
    <x v="1"/>
    <x v="3"/>
    <s v="Noor Haddad"/>
    <n v="5"/>
    <n v="181.41"/>
    <n v="0"/>
    <n v="907.05"/>
    <m/>
    <m/>
    <x v="5"/>
  </r>
  <r>
    <s v="K7-11992"/>
    <x v="195"/>
    <x v="25"/>
    <x v="3"/>
    <x v="0"/>
    <x v="1"/>
    <x v="1"/>
    <x v="8"/>
    <s v="Elena Vargas"/>
    <n v="5"/>
    <n v="255.43"/>
    <n v="0"/>
    <n v="1277.1500000000001"/>
    <m/>
    <m/>
    <x v="3"/>
  </r>
  <r>
    <s v="K7-11993"/>
    <x v="130"/>
    <x v="27"/>
    <x v="2"/>
    <x v="3"/>
    <x v="0"/>
    <x v="3"/>
    <x v="15"/>
    <s v="Jonah Wright"/>
    <n v="2"/>
    <n v="96.33"/>
    <n v="0"/>
    <n v="192.66"/>
    <m/>
    <m/>
    <x v="9"/>
  </r>
  <r>
    <s v="K7-11994"/>
    <x v="3"/>
    <x v="9"/>
    <x v="2"/>
    <x v="0"/>
    <x v="0"/>
    <x v="1"/>
    <x v="3"/>
    <s v="Dylan Foster"/>
    <n v="3"/>
    <n v="176.47"/>
    <n v="0"/>
    <n v="529.41"/>
    <m/>
    <m/>
    <x v="1"/>
  </r>
  <r>
    <s v="K7-11995"/>
    <x v="83"/>
    <x v="7"/>
    <x v="2"/>
    <x v="1"/>
    <x v="0"/>
    <x v="0"/>
    <x v="21"/>
    <s v="Marcus Reed"/>
    <n v="1"/>
    <n v="48.47"/>
    <n v="0"/>
    <n v="48.47"/>
    <m/>
    <m/>
    <x v="9"/>
  </r>
  <r>
    <s v="K7-11996"/>
    <x v="8"/>
    <x v="13"/>
    <x v="0"/>
    <x v="2"/>
    <x v="0"/>
    <x v="2"/>
    <x v="5"/>
    <s v="Grace Okafor"/>
    <n v="11"/>
    <n v="37.04"/>
    <n v="0"/>
    <n v="407.44"/>
    <m/>
    <m/>
    <x v="6"/>
  </r>
  <r>
    <s v="K7-11997"/>
    <x v="309"/>
    <x v="7"/>
    <x v="2"/>
    <x v="0"/>
    <x v="0"/>
    <x v="4"/>
    <x v="13"/>
    <s v="Jonah Wright"/>
    <n v="2"/>
    <n v="92.06"/>
    <n v="0"/>
    <n v="184.12"/>
    <m/>
    <m/>
    <x v="5"/>
  </r>
  <r>
    <s v="K7-11998"/>
    <x v="182"/>
    <x v="1"/>
    <x v="1"/>
    <x v="0"/>
    <x v="0"/>
    <x v="0"/>
    <x v="20"/>
    <s v="Ava Brooks"/>
    <n v="3"/>
    <n v="66.319999999999993"/>
    <n v="0.05"/>
    <n v="189.01"/>
    <m/>
    <m/>
    <x v="6"/>
  </r>
  <r>
    <s v="K7-11999"/>
    <x v="40"/>
    <x v="5"/>
    <x v="0"/>
    <x v="1"/>
    <x v="0"/>
    <x v="2"/>
    <x v="16"/>
    <s v="Elena Vargas"/>
    <n v="2"/>
    <n v="59.65"/>
    <n v="0.05"/>
    <n v="113.33"/>
    <m/>
    <m/>
    <x v="8"/>
  </r>
  <r>
    <s v="K7-12000"/>
    <x v="155"/>
    <x v="5"/>
    <x v="0"/>
    <x v="0"/>
    <x v="1"/>
    <x v="0"/>
    <x v="21"/>
    <s v="Elena Vargas"/>
    <n v="3"/>
    <n v="47.48"/>
    <n v="0"/>
    <n v="142.44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B8D10-F349-47E5-B5BA-A9DBE2D6438C}" name="Tableau croisé dynamique5" cacheId="1" applyNumberFormats="0" applyBorderFormats="0" applyFontFormats="0" applyPatternFormats="0" applyAlignmentFormats="0" applyWidthHeightFormats="1" dataCaption="Valeurs" updatedVersion="7" minRefreshableVersion="5" useAutoFormatting="1" itemPrintTitles="1" createdVersion="7" indent="0" outline="1" outlineData="1" multipleFieldFilters="0">
  <location ref="A7:B15" firstHeaderRow="1" firstDataRow="1" firstDataCol="1"/>
  <pivotFields count="16">
    <pivotField showAll="0"/>
    <pivotField numFmtId="14" showAll="0">
      <items count="365">
        <item x="281"/>
        <item x="61"/>
        <item x="58"/>
        <item x="340"/>
        <item x="71"/>
        <item x="267"/>
        <item x="216"/>
        <item x="160"/>
        <item x="24"/>
        <item x="186"/>
        <item x="23"/>
        <item x="141"/>
        <item x="360"/>
        <item x="131"/>
        <item x="139"/>
        <item x="9"/>
        <item x="336"/>
        <item x="225"/>
        <item x="48"/>
        <item x="128"/>
        <item x="156"/>
        <item x="126"/>
        <item x="356"/>
        <item x="258"/>
        <item x="204"/>
        <item x="274"/>
        <item x="294"/>
        <item x="351"/>
        <item x="249"/>
        <item x="132"/>
        <item x="197"/>
        <item x="172"/>
        <item x="166"/>
        <item x="107"/>
        <item x="344"/>
        <item x="40"/>
        <item x="158"/>
        <item x="114"/>
        <item x="97"/>
        <item x="113"/>
        <item x="17"/>
        <item x="254"/>
        <item x="11"/>
        <item x="52"/>
        <item x="72"/>
        <item x="152"/>
        <item x="64"/>
        <item x="26"/>
        <item x="339"/>
        <item x="290"/>
        <item x="313"/>
        <item x="174"/>
        <item x="70"/>
        <item x="327"/>
        <item x="262"/>
        <item x="85"/>
        <item x="270"/>
        <item x="347"/>
        <item x="75"/>
        <item x="138"/>
        <item x="110"/>
        <item x="266"/>
        <item x="251"/>
        <item x="301"/>
        <item x="3"/>
        <item x="202"/>
        <item x="248"/>
        <item x="223"/>
        <item x="120"/>
        <item x="268"/>
        <item x="54"/>
        <item x="161"/>
        <item x="133"/>
        <item x="19"/>
        <item x="69"/>
        <item x="199"/>
        <item x="207"/>
        <item x="57"/>
        <item x="245"/>
        <item x="1"/>
        <item x="284"/>
        <item x="127"/>
        <item x="165"/>
        <item x="56"/>
        <item x="31"/>
        <item x="289"/>
        <item x="134"/>
        <item x="117"/>
        <item x="298"/>
        <item x="246"/>
        <item x="182"/>
        <item x="316"/>
        <item x="125"/>
        <item x="82"/>
        <item x="345"/>
        <item x="157"/>
        <item x="201"/>
        <item x="45"/>
        <item x="94"/>
        <item x="108"/>
        <item x="221"/>
        <item x="291"/>
        <item x="146"/>
        <item x="190"/>
        <item x="44"/>
        <item x="315"/>
        <item x="88"/>
        <item x="102"/>
        <item x="167"/>
        <item x="305"/>
        <item x="8"/>
        <item x="177"/>
        <item x="322"/>
        <item x="320"/>
        <item x="318"/>
        <item x="296"/>
        <item x="307"/>
        <item x="169"/>
        <item x="269"/>
        <item x="276"/>
        <item x="311"/>
        <item x="273"/>
        <item x="60"/>
        <item x="143"/>
        <item x="155"/>
        <item x="240"/>
        <item x="184"/>
        <item x="121"/>
        <item x="173"/>
        <item x="272"/>
        <item x="212"/>
        <item x="18"/>
        <item x="346"/>
        <item x="310"/>
        <item x="162"/>
        <item x="37"/>
        <item x="73"/>
        <item x="124"/>
        <item x="159"/>
        <item x="137"/>
        <item x="129"/>
        <item x="213"/>
        <item x="230"/>
        <item x="217"/>
        <item x="317"/>
        <item x="227"/>
        <item x="106"/>
        <item x="163"/>
        <item x="243"/>
        <item x="84"/>
        <item x="332"/>
        <item x="164"/>
        <item x="83"/>
        <item x="180"/>
        <item x="77"/>
        <item x="33"/>
        <item x="229"/>
        <item x="168"/>
        <item x="328"/>
        <item x="259"/>
        <item x="355"/>
        <item x="21"/>
        <item x="192"/>
        <item x="193"/>
        <item x="171"/>
        <item x="233"/>
        <item x="349"/>
        <item x="265"/>
        <item x="32"/>
        <item x="42"/>
        <item x="116"/>
        <item x="314"/>
        <item x="130"/>
        <item x="123"/>
        <item x="119"/>
        <item x="337"/>
        <item x="208"/>
        <item x="142"/>
        <item x="66"/>
        <item x="15"/>
        <item x="324"/>
        <item x="122"/>
        <item x="111"/>
        <item x="194"/>
        <item x="79"/>
        <item x="214"/>
        <item x="99"/>
        <item x="362"/>
        <item x="219"/>
        <item x="253"/>
        <item x="105"/>
        <item x="50"/>
        <item x="59"/>
        <item x="261"/>
        <item x="55"/>
        <item x="35"/>
        <item x="101"/>
        <item x="235"/>
        <item x="343"/>
        <item x="250"/>
        <item x="175"/>
        <item x="87"/>
        <item x="295"/>
        <item x="330"/>
        <item x="144"/>
        <item x="189"/>
        <item x="308"/>
        <item x="185"/>
        <item x="277"/>
        <item x="151"/>
        <item x="29"/>
        <item x="326"/>
        <item x="363"/>
        <item x="76"/>
        <item x="41"/>
        <item x="218"/>
        <item x="104"/>
        <item x="6"/>
        <item x="352"/>
        <item x="49"/>
        <item x="115"/>
        <item x="244"/>
        <item x="153"/>
        <item x="280"/>
        <item x="237"/>
        <item x="25"/>
        <item x="260"/>
        <item x="147"/>
        <item x="236"/>
        <item x="135"/>
        <item x="263"/>
        <item x="181"/>
        <item x="241"/>
        <item x="65"/>
        <item x="331"/>
        <item x="183"/>
        <item x="13"/>
        <item x="359"/>
        <item x="329"/>
        <item x="34"/>
        <item x="91"/>
        <item x="46"/>
        <item x="220"/>
        <item x="103"/>
        <item x="354"/>
        <item x="215"/>
        <item x="226"/>
        <item x="90"/>
        <item x="238"/>
        <item x="30"/>
        <item x="187"/>
        <item x="51"/>
        <item x="95"/>
        <item x="303"/>
        <item x="96"/>
        <item x="145"/>
        <item x="5"/>
        <item x="16"/>
        <item x="211"/>
        <item x="323"/>
        <item x="188"/>
        <item x="353"/>
        <item x="278"/>
        <item x="92"/>
        <item x="68"/>
        <item x="63"/>
        <item x="333"/>
        <item x="300"/>
        <item x="22"/>
        <item x="242"/>
        <item x="231"/>
        <item x="38"/>
        <item x="195"/>
        <item x="47"/>
        <item x="78"/>
        <item x="198"/>
        <item x="288"/>
        <item x="312"/>
        <item x="282"/>
        <item x="306"/>
        <item x="81"/>
        <item x="256"/>
        <item x="36"/>
        <item x="4"/>
        <item x="154"/>
        <item x="304"/>
        <item x="112"/>
        <item x="140"/>
        <item x="149"/>
        <item x="335"/>
        <item x="80"/>
        <item x="67"/>
        <item x="178"/>
        <item x="247"/>
        <item x="287"/>
        <item x="27"/>
        <item x="93"/>
        <item x="271"/>
        <item x="98"/>
        <item x="302"/>
        <item x="239"/>
        <item x="293"/>
        <item x="205"/>
        <item x="234"/>
        <item x="286"/>
        <item x="43"/>
        <item x="361"/>
        <item x="358"/>
        <item x="20"/>
        <item x="89"/>
        <item x="252"/>
        <item x="264"/>
        <item x="100"/>
        <item x="118"/>
        <item x="255"/>
        <item x="191"/>
        <item x="39"/>
        <item x="7"/>
        <item x="222"/>
        <item x="279"/>
        <item x="275"/>
        <item x="338"/>
        <item x="321"/>
        <item x="342"/>
        <item x="176"/>
        <item x="299"/>
        <item x="10"/>
        <item x="14"/>
        <item x="285"/>
        <item x="309"/>
        <item x="74"/>
        <item x="179"/>
        <item x="228"/>
        <item x="325"/>
        <item x="206"/>
        <item x="28"/>
        <item x="334"/>
        <item x="86"/>
        <item x="350"/>
        <item x="203"/>
        <item x="200"/>
        <item x="148"/>
        <item x="348"/>
        <item x="210"/>
        <item x="62"/>
        <item x="292"/>
        <item x="53"/>
        <item x="196"/>
        <item x="136"/>
        <item x="170"/>
        <item x="257"/>
        <item x="319"/>
        <item x="224"/>
        <item x="2"/>
        <item x="12"/>
        <item x="232"/>
        <item x="297"/>
        <item x="209"/>
        <item x="283"/>
        <item x="357"/>
        <item x="0"/>
        <item x="109"/>
        <item x="150"/>
        <item x="341"/>
        <item t="default"/>
      </items>
    </pivotField>
    <pivotField axis="axisRow" showAll="0">
      <items count="31">
        <item x="17"/>
        <item x="2"/>
        <item x="7"/>
        <item x="14"/>
        <item x="29"/>
        <item x="5"/>
        <item x="16"/>
        <item x="27"/>
        <item x="20"/>
        <item x="25"/>
        <item x="28"/>
        <item x="21"/>
        <item x="19"/>
        <item x="11"/>
        <item x="12"/>
        <item x="10"/>
        <item x="24"/>
        <item x="8"/>
        <item x="1"/>
        <item x="3"/>
        <item x="4"/>
        <item x="26"/>
        <item x="15"/>
        <item x="22"/>
        <item x="23"/>
        <item x="0"/>
        <item x="6"/>
        <item x="13"/>
        <item x="9"/>
        <item x="18"/>
        <item t="default"/>
      </items>
    </pivotField>
    <pivotField showAll="0">
      <items count="5">
        <item x="3"/>
        <item h="1" x="1"/>
        <item h="1" x="0"/>
        <item h="1"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2"/>
  </rowFields>
  <rowItems count="8">
    <i>
      <x v="8"/>
    </i>
    <i>
      <x v="9"/>
    </i>
    <i>
      <x v="13"/>
    </i>
    <i>
      <x v="14"/>
    </i>
    <i>
      <x v="15"/>
    </i>
    <i>
      <x v="20"/>
    </i>
    <i>
      <x v="29"/>
    </i>
    <i t="grand">
      <x/>
    </i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EC83D-5002-4E07-859D-495648CB1EBC}" name="Tableau croisé dynamique7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D20:E25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Revenue" fld="12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6C8FB-3F07-4BAA-BB47-8D0CAFA716C3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6">
  <location ref="I1:J14" firstHeaderRow="1" firstDataRow="1" firstDataCol="1"/>
  <pivotFields count="16">
    <pivotField showAll="0"/>
    <pivotField numFmtId="14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showAll="0">
      <items count="23">
        <item x="9"/>
        <item x="5"/>
        <item x="11"/>
        <item x="18"/>
        <item x="1"/>
        <item x="21"/>
        <item x="8"/>
        <item x="2"/>
        <item x="19"/>
        <item x="17"/>
        <item x="4"/>
        <item x="15"/>
        <item x="20"/>
        <item x="3"/>
        <item x="16"/>
        <item x="14"/>
        <item x="13"/>
        <item x="0"/>
        <item x="7"/>
        <item x="6"/>
        <item x="12"/>
        <item x="10"/>
        <item t="default"/>
      </items>
    </pivotField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axis="axisRow" showAll="0" sortType="descending">
      <items count="13">
        <item x="3"/>
        <item x="2"/>
        <item x="5"/>
        <item x="1"/>
        <item x="10"/>
        <item x="9"/>
        <item x="11"/>
        <item x="7"/>
        <item x="8"/>
        <item x="0"/>
        <item x="6"/>
        <item x="4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Revenue" fld="12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0D21F-583A-4995-8D99-38FC233C4652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1:C2" firstHeaderRow="1" firstDataRow="1" firstDataCol="0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4" showAll="0"/>
    <pivotField numFmtId="9" showAll="0"/>
    <pivotField numFmtId="164" showAll="0"/>
    <pivotField showAll="0"/>
  </pivotFields>
  <rowItems count="1">
    <i/>
  </rowItems>
  <colItems count="1">
    <i/>
  </colItems>
  <dataFields count="1">
    <dataField name="Nombre de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64D1E-8C0F-4DD7-96B9-EE13C42AAF78}" name="Tableau croisé dynamique6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D7:E1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7">
        <item x="2"/>
        <item x="4"/>
        <item x="3"/>
        <item x="5"/>
        <item x="1"/>
        <item x="0"/>
        <item t="default"/>
      </items>
    </pivotField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Revenue" fld="12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0466E-FA17-4216-886F-9E9CD1A6F456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:A2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</pivotFields>
  <rowItems count="1">
    <i/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F80EA-806B-4B69-A43D-35BBCE3C3AC0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E1:E2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164" showAll="0"/>
    <pivotField numFmtId="9" showAll="0"/>
    <pivotField numFmtId="164" showAll="0"/>
    <pivotField showAll="0"/>
  </pivotFields>
  <rowItems count="1">
    <i/>
  </rowItems>
  <colItems count="1">
    <i/>
  </colItems>
  <dataFields count="1">
    <dataField name="Somme de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B5EF-F17F-4E77-91C0-AC66EAB0D1E5}" name="Tableau croisé dynamique8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I20:J26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23">
        <item x="10"/>
        <item x="12"/>
        <item x="6"/>
        <item x="7"/>
        <item x="0"/>
        <item x="13"/>
        <item x="14"/>
        <item x="16"/>
        <item x="3"/>
        <item x="20"/>
        <item x="15"/>
        <item x="4"/>
        <item x="17"/>
        <item x="19"/>
        <item x="2"/>
        <item x="8"/>
        <item x="21"/>
        <item x="1"/>
        <item x="18"/>
        <item x="11"/>
        <item x="5"/>
        <item x="9"/>
        <item t="default"/>
      </items>
    </pivotField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7"/>
  </rowFields>
  <rowItems count="6">
    <i>
      <x v="1"/>
    </i>
    <i>
      <x v="3"/>
    </i>
    <i>
      <x v="8"/>
    </i>
    <i>
      <x v="12"/>
    </i>
    <i>
      <x v="15"/>
    </i>
    <i t="grand">
      <x/>
    </i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1999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7A6480E2-53BD-42C6-9720-ED05C910460F}" sourceName="Region">
  <pivotTables>
    <pivotTable tabId="4" name="Tableau croisé dynamique5"/>
  </pivotTables>
  <data>
    <tabular pivotCacheId="1563586568">
      <items count="4">
        <i x="3" s="1"/>
        <i x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ales_Channel" xr10:uid="{D1347310-0D49-4E30-A352-E3FF55848A9C}" sourceName="Sales Channel">
  <pivotTables>
    <pivotTable tabId="4" name="Tableau croisé dynamique5"/>
  </pivotTables>
  <data>
    <tabular pivotCacheId="1563586568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ustomer_Type" xr10:uid="{6C88CF91-2FCC-4F3A-A7B4-CA295DD31F4B}" sourceName="Customer Type">
  <pivotTables>
    <pivotTable tabId="4" name="Tableau croisé dynamique5"/>
  </pivotTables>
  <data>
    <tabular pivotCacheId="1563586568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_Category" xr10:uid="{160BE65D-3920-4C8E-8C82-EE11D3ADB0C7}" sourceName="Product Category">
  <pivotTables>
    <pivotTable tabId="4" name="Tableau croisé dynamique5"/>
  </pivotTables>
  <data>
    <tabular pivotCacheId="1563586568">
      <items count="6">
        <i x="2" s="1"/>
        <i x="4" s="1"/>
        <i x="3" s="1"/>
        <i x="5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1DD67BD1-0569-4E92-BEC7-6F9996F8A475}" cache="Segment_Region" caption="Region" rowHeight="234950"/>
  <slicer name="Sales Channel" xr10:uid="{D4D2FB41-3D7B-4D5A-A598-50B708FB4290}" cache="Segment_Sales_Channel" caption="Sales Channel" rowHeight="234950"/>
  <slicer name="Customer Type" xr10:uid="{B05CA31F-7CAA-4885-97A4-BD065023D0AF}" cache="Segment_Customer_Type" caption="Customer Type" rowHeight="234950"/>
  <slicer name="Product Category" xr10:uid="{8933A82D-C683-413C-8577-CCE755D01693}" cache="Segment_Product_Category" caption="Product Category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56BD2-1ED2-4107-B405-818A1490395F}" name="Tableau2" displayName="Tableau2" ref="A1:M2001" totalsRowShown="0" headerRowDxfId="16" dataDxfId="14" headerRowBorderDxfId="15" tableBorderDxfId="13">
  <autoFilter ref="A1:M2001" xr:uid="{B2156BD2-1ED2-4107-B405-818A1490395F}"/>
  <tableColumns count="13">
    <tableColumn id="1" xr3:uid="{DC37D97B-3E19-4B1F-9961-86DEDED758A7}" name="Order ID" dataDxfId="12"/>
    <tableColumn id="2" xr3:uid="{7D45B1C9-520F-4289-BA7D-A21285139FD0}" name="Date" dataDxfId="11"/>
    <tableColumn id="3" xr3:uid="{E3F8827D-392A-4A96-B59B-5303AB97F158}" name="State" dataDxfId="10"/>
    <tableColumn id="4" xr3:uid="{EC576DCD-3844-40B9-BBAD-5BAAD67734EA}" name="Region" dataDxfId="9"/>
    <tableColumn id="5" xr3:uid="{65D2F177-9D1F-4624-BC6D-903342647F55}" name="Sales Channel" dataDxfId="8"/>
    <tableColumn id="6" xr3:uid="{68F7ABDD-DF14-4A90-875B-AC3FFDAE6424}" name="Customer Type" dataDxfId="7"/>
    <tableColumn id="7" xr3:uid="{7E6996F1-34CD-45DC-AE94-36110CA03834}" name="Product Category" dataDxfId="6"/>
    <tableColumn id="8" xr3:uid="{9C7F651E-104F-4421-83C5-4FC98095F5E8}" name="Product" dataDxfId="5"/>
    <tableColumn id="9" xr3:uid="{1D3F3187-9C2C-47AB-BEAD-BAF124426142}" name="Salesperson" dataDxfId="4"/>
    <tableColumn id="10" xr3:uid="{CA91B9EB-CA8A-4DA8-BC50-634DC43E7728}" name="Quantity" dataDxfId="3"/>
    <tableColumn id="11" xr3:uid="{D5A1D722-25E5-4D7E-B9FB-8366E9A9E0D4}" name="Unit Price" dataDxfId="2"/>
    <tableColumn id="12" xr3:uid="{C5C6C680-CBEE-4042-9419-3D693F806EAF}" name="Discount" dataDxfId="1"/>
    <tableColumn id="13" xr3:uid="{E49EF502-B9C2-45A6-B349-68B4541EE03B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" xr10:uid="{F51D154F-301A-44D5-9DA1-08EDC81C216B}" sourceName="Date">
  <pivotTables>
    <pivotTable tabId="4" name="Tableau croisé dynamique5"/>
  </pivotTables>
  <state minimalRefreshVersion="6" lastRefreshVersion="6" pivotCacheId="1563586568" filterType="unknown">
    <bounds startDate="2026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EE4DBA82-8F3E-42DA-977A-69EB4CE1724D}" cache="ChronologieNative_Date" caption="Date" level="2" selectionLevel="2" scrollPosition="2026-01-01T00:00:00"/>
</timeline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643A-7D11-4078-A51A-FACF06623731}">
  <dimension ref="A1:I19"/>
  <sheetViews>
    <sheetView workbookViewId="0">
      <selection activeCell="C23" sqref="C23"/>
    </sheetView>
  </sheetViews>
  <sheetFormatPr baseColWidth="10" defaultRowHeight="13.8"/>
  <cols>
    <col min="1" max="1" width="24.796875" bestFit="1" customWidth="1"/>
    <col min="2" max="2" width="44.09765625" bestFit="1" customWidth="1"/>
    <col min="4" max="4" width="36.296875" bestFit="1" customWidth="1"/>
    <col min="5" max="5" width="39.796875" bestFit="1" customWidth="1"/>
    <col min="7" max="7" width="38.5" bestFit="1" customWidth="1"/>
    <col min="8" max="8" width="34" bestFit="1" customWidth="1"/>
    <col min="9" max="9" width="24.59765625" bestFit="1" customWidth="1"/>
  </cols>
  <sheetData>
    <row r="1" spans="1:9" ht="15.6">
      <c r="A1" s="9" t="s">
        <v>2097</v>
      </c>
      <c r="D1" s="9" t="s">
        <v>2098</v>
      </c>
      <c r="G1" s="9" t="s">
        <v>2099</v>
      </c>
    </row>
    <row r="2" spans="1:9">
      <c r="A2" s="1" t="s">
        <v>2100</v>
      </c>
      <c r="B2" s="1" t="s">
        <v>2101</v>
      </c>
      <c r="D2" s="1" t="s">
        <v>2102</v>
      </c>
      <c r="E2" s="1" t="s">
        <v>2103</v>
      </c>
      <c r="G2" s="1" t="s">
        <v>2104</v>
      </c>
      <c r="H2" s="1" t="s">
        <v>2105</v>
      </c>
      <c r="I2" s="1" t="s">
        <v>2106</v>
      </c>
    </row>
    <row r="3" spans="1:9">
      <c r="A3" s="10" t="s">
        <v>0</v>
      </c>
      <c r="B3" s="11" t="s">
        <v>2107</v>
      </c>
      <c r="D3" s="11" t="s">
        <v>2108</v>
      </c>
      <c r="E3" s="11" t="s">
        <v>2109</v>
      </c>
      <c r="G3" s="10" t="s">
        <v>2110</v>
      </c>
      <c r="H3" s="11" t="s">
        <v>2111</v>
      </c>
      <c r="I3" s="11" t="s">
        <v>12</v>
      </c>
    </row>
    <row r="4" spans="1:9">
      <c r="A4" s="10" t="s">
        <v>1</v>
      </c>
      <c r="B4" s="11" t="s">
        <v>2112</v>
      </c>
      <c r="D4" s="11" t="s">
        <v>2113</v>
      </c>
      <c r="E4" s="11" t="s">
        <v>2114</v>
      </c>
      <c r="G4" s="10" t="s">
        <v>2115</v>
      </c>
      <c r="H4" s="11" t="s">
        <v>2116</v>
      </c>
      <c r="I4" s="11" t="s">
        <v>0</v>
      </c>
    </row>
    <row r="5" spans="1:9">
      <c r="A5" s="10" t="s">
        <v>2</v>
      </c>
      <c r="B5" s="11" t="s">
        <v>2117</v>
      </c>
      <c r="D5" s="11" t="s">
        <v>2118</v>
      </c>
      <c r="E5" s="11" t="s">
        <v>2119</v>
      </c>
      <c r="G5" s="10" t="s">
        <v>2120</v>
      </c>
      <c r="H5" s="11" t="s">
        <v>2121</v>
      </c>
      <c r="I5" s="11" t="s">
        <v>9</v>
      </c>
    </row>
    <row r="6" spans="1:9">
      <c r="A6" s="10" t="s">
        <v>3</v>
      </c>
      <c r="B6" s="11" t="s">
        <v>2122</v>
      </c>
      <c r="D6" s="11" t="s">
        <v>2123</v>
      </c>
      <c r="E6" s="11" t="s">
        <v>2124</v>
      </c>
      <c r="G6" s="10" t="s">
        <v>2125</v>
      </c>
      <c r="H6" s="11" t="s">
        <v>2126</v>
      </c>
      <c r="I6" s="11" t="s">
        <v>2127</v>
      </c>
    </row>
    <row r="7" spans="1:9">
      <c r="A7" s="10" t="s">
        <v>4</v>
      </c>
      <c r="B7" s="11" t="s">
        <v>2128</v>
      </c>
      <c r="D7" s="11" t="s">
        <v>2129</v>
      </c>
      <c r="E7" s="11" t="s">
        <v>2130</v>
      </c>
      <c r="G7" s="10" t="s">
        <v>2131</v>
      </c>
      <c r="H7" s="11" t="s">
        <v>2132</v>
      </c>
      <c r="I7" s="11" t="s">
        <v>2133</v>
      </c>
    </row>
    <row r="8" spans="1:9">
      <c r="A8" s="10" t="s">
        <v>5</v>
      </c>
      <c r="B8" s="11" t="s">
        <v>2134</v>
      </c>
      <c r="D8" s="11" t="s">
        <v>2135</v>
      </c>
      <c r="E8" s="11" t="s">
        <v>2136</v>
      </c>
      <c r="G8" s="10" t="s">
        <v>2137</v>
      </c>
      <c r="H8" s="11" t="s">
        <v>2138</v>
      </c>
      <c r="I8" s="11" t="s">
        <v>2139</v>
      </c>
    </row>
    <row r="9" spans="1:9">
      <c r="A9" s="10" t="s">
        <v>6</v>
      </c>
      <c r="B9" s="11" t="s">
        <v>2140</v>
      </c>
      <c r="D9" s="11" t="s">
        <v>2141</v>
      </c>
      <c r="E9" s="11" t="s">
        <v>2142</v>
      </c>
      <c r="G9" s="10" t="s">
        <v>2143</v>
      </c>
      <c r="H9" s="11" t="s">
        <v>2144</v>
      </c>
      <c r="I9" s="11" t="s">
        <v>2145</v>
      </c>
    </row>
    <row r="10" spans="1:9">
      <c r="A10" s="10" t="s">
        <v>7</v>
      </c>
      <c r="B10" s="11" t="s">
        <v>2146</v>
      </c>
      <c r="G10" s="10" t="s">
        <v>2147</v>
      </c>
      <c r="H10" s="11" t="s">
        <v>2148</v>
      </c>
      <c r="I10" s="11" t="s">
        <v>2149</v>
      </c>
    </row>
    <row r="11" spans="1:9">
      <c r="A11" s="10" t="s">
        <v>8</v>
      </c>
      <c r="B11" s="11" t="s">
        <v>2150</v>
      </c>
      <c r="G11" s="10" t="s">
        <v>2151</v>
      </c>
      <c r="H11" s="11" t="s">
        <v>2152</v>
      </c>
      <c r="I11" s="11" t="s">
        <v>2153</v>
      </c>
    </row>
    <row r="12" spans="1:9">
      <c r="A12" s="10" t="s">
        <v>9</v>
      </c>
      <c r="B12" s="11" t="s">
        <v>2154</v>
      </c>
    </row>
    <row r="13" spans="1:9">
      <c r="A13" s="10" t="s">
        <v>10</v>
      </c>
      <c r="B13" s="11" t="s">
        <v>2155</v>
      </c>
      <c r="G13" s="12"/>
    </row>
    <row r="14" spans="1:9">
      <c r="A14" s="10" t="s">
        <v>11</v>
      </c>
      <c r="B14" s="11" t="s">
        <v>2156</v>
      </c>
    </row>
    <row r="15" spans="1:9">
      <c r="A15" s="10" t="s">
        <v>12</v>
      </c>
      <c r="B15" s="11" t="s">
        <v>2157</v>
      </c>
    </row>
    <row r="19" spans="1:2" ht="66">
      <c r="A19" s="14" t="s">
        <v>2158</v>
      </c>
      <c r="B19" s="13" t="s">
        <v>2159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F429-5F1D-4858-8F4A-9B41FBDC2698}">
  <dimension ref="B3:T33"/>
  <sheetViews>
    <sheetView showGridLines="0" zoomScale="56" zoomScaleNormal="56" workbookViewId="0">
      <selection activeCell="B3" sqref="B3:T4"/>
    </sheetView>
  </sheetViews>
  <sheetFormatPr baseColWidth="10" defaultRowHeight="13.8"/>
  <cols>
    <col min="1" max="1" width="5.796875" customWidth="1"/>
  </cols>
  <sheetData>
    <row r="3" spans="2:20">
      <c r="B3" s="31" t="s">
        <v>2089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2:20">
      <c r="B5" s="7" t="s">
        <v>2090</v>
      </c>
    </row>
    <row r="7" spans="2:20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2:20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10" spans="2:20">
      <c r="B10" s="30" t="s">
        <v>2092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2:20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2:20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4" spans="2:20">
      <c r="B14" s="30" t="s">
        <v>2094</v>
      </c>
      <c r="C14" s="30"/>
      <c r="D14" s="30"/>
      <c r="E14" s="30"/>
      <c r="F14" s="30"/>
      <c r="G14" s="30"/>
      <c r="H14" s="30"/>
      <c r="I14" s="30"/>
      <c r="J14" s="30"/>
      <c r="L14" s="30" t="s">
        <v>2093</v>
      </c>
      <c r="M14" s="30"/>
      <c r="N14" s="30"/>
      <c r="O14" s="30"/>
      <c r="P14" s="30"/>
      <c r="Q14" s="30"/>
      <c r="R14" s="30"/>
      <c r="S14" s="30"/>
      <c r="T14" s="30"/>
    </row>
    <row r="15" spans="2:20">
      <c r="B15" s="30"/>
      <c r="C15" s="30"/>
      <c r="D15" s="30"/>
      <c r="E15" s="30"/>
      <c r="F15" s="30"/>
      <c r="G15" s="30"/>
      <c r="H15" s="30"/>
      <c r="I15" s="30"/>
      <c r="J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2:20">
      <c r="B16" s="30"/>
      <c r="C16" s="30"/>
      <c r="D16" s="30"/>
      <c r="E16" s="30"/>
      <c r="F16" s="30"/>
      <c r="G16" s="30"/>
      <c r="H16" s="30"/>
      <c r="I16" s="30"/>
      <c r="J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2:20">
      <c r="B17" s="30"/>
      <c r="C17" s="30"/>
      <c r="D17" s="30"/>
      <c r="E17" s="30"/>
      <c r="F17" s="30"/>
      <c r="G17" s="30"/>
      <c r="H17" s="30"/>
      <c r="I17" s="30"/>
      <c r="J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2:20">
      <c r="B18" s="30"/>
      <c r="C18" s="30"/>
      <c r="D18" s="30"/>
      <c r="E18" s="30"/>
      <c r="F18" s="30"/>
      <c r="G18" s="30"/>
      <c r="H18" s="30"/>
      <c r="I18" s="30"/>
      <c r="J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2:20">
      <c r="B19" s="30"/>
      <c r="C19" s="30"/>
      <c r="D19" s="30"/>
      <c r="E19" s="30"/>
      <c r="F19" s="30"/>
      <c r="G19" s="30"/>
      <c r="H19" s="30"/>
      <c r="I19" s="30"/>
      <c r="J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2:20">
      <c r="B20" s="30"/>
      <c r="C20" s="30"/>
      <c r="D20" s="30"/>
      <c r="E20" s="30"/>
      <c r="F20" s="30"/>
      <c r="G20" s="30"/>
      <c r="H20" s="30"/>
      <c r="I20" s="30"/>
      <c r="J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2:20">
      <c r="B21" s="30"/>
      <c r="C21" s="30"/>
      <c r="D21" s="30"/>
      <c r="E21" s="30"/>
      <c r="F21" s="30"/>
      <c r="G21" s="30"/>
      <c r="H21" s="30"/>
      <c r="I21" s="30"/>
      <c r="J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2:20">
      <c r="B22" s="30"/>
      <c r="C22" s="30"/>
      <c r="D22" s="30"/>
      <c r="E22" s="30"/>
      <c r="F22" s="30"/>
      <c r="G22" s="30"/>
      <c r="H22" s="30"/>
      <c r="I22" s="30"/>
      <c r="J22" s="30"/>
      <c r="L22" s="30"/>
      <c r="M22" s="30"/>
      <c r="N22" s="30"/>
      <c r="O22" s="30"/>
      <c r="P22" s="30"/>
      <c r="Q22" s="30"/>
      <c r="R22" s="30"/>
      <c r="S22" s="30"/>
      <c r="T22" s="30"/>
    </row>
    <row r="24" spans="2:20">
      <c r="B24" s="30" t="s">
        <v>2095</v>
      </c>
      <c r="C24" s="30"/>
      <c r="D24" s="30"/>
      <c r="E24" s="30"/>
      <c r="F24" s="30"/>
      <c r="G24" s="30"/>
      <c r="H24" s="30"/>
      <c r="I24" s="30"/>
      <c r="K24" s="30" t="s">
        <v>2096</v>
      </c>
      <c r="L24" s="30"/>
      <c r="M24" s="30"/>
      <c r="N24" s="30"/>
      <c r="O24" s="30"/>
      <c r="P24" s="30"/>
      <c r="Q24" s="30"/>
      <c r="R24" s="30"/>
      <c r="S24" s="30"/>
      <c r="T24" s="30"/>
    </row>
    <row r="25" spans="2:20">
      <c r="B25" s="30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2:20">
      <c r="B26" s="30"/>
      <c r="C26" s="30"/>
      <c r="D26" s="30"/>
      <c r="E26" s="30"/>
      <c r="F26" s="30"/>
      <c r="G26" s="30"/>
      <c r="H26" s="30"/>
      <c r="I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2:20">
      <c r="B27" s="30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2:20">
      <c r="B28" s="30"/>
      <c r="C28" s="30"/>
      <c r="D28" s="30"/>
      <c r="E28" s="30"/>
      <c r="F28" s="30"/>
      <c r="G28" s="30"/>
      <c r="H28" s="30"/>
      <c r="I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2:20">
      <c r="B29" s="30"/>
      <c r="C29" s="30"/>
      <c r="D29" s="30"/>
      <c r="E29" s="30"/>
      <c r="F29" s="30"/>
      <c r="G29" s="30"/>
      <c r="H29" s="30"/>
      <c r="I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2:20">
      <c r="B30" s="30"/>
      <c r="C30" s="30"/>
      <c r="D30" s="30"/>
      <c r="E30" s="30"/>
      <c r="F30" s="30"/>
      <c r="G30" s="30"/>
      <c r="H30" s="30"/>
      <c r="I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2:20">
      <c r="B31" s="30"/>
      <c r="C31" s="30"/>
      <c r="D31" s="30"/>
      <c r="E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3" spans="2:2">
      <c r="B33" s="8" t="s">
        <v>2091</v>
      </c>
    </row>
  </sheetData>
  <mergeCells count="7">
    <mergeCell ref="B24:I31"/>
    <mergeCell ref="K24:T31"/>
    <mergeCell ref="B3:T4"/>
    <mergeCell ref="B7:T8"/>
    <mergeCell ref="B10:T12"/>
    <mergeCell ref="B14:J22"/>
    <mergeCell ref="L14:T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0BB8-E1A5-427F-AD94-A9AEBDFE2980}">
  <dimension ref="A1:P6005"/>
  <sheetViews>
    <sheetView topLeftCell="D1" workbookViewId="0">
      <selection activeCell="N5" sqref="N5"/>
    </sheetView>
  </sheetViews>
  <sheetFormatPr baseColWidth="10" defaultRowHeight="13.8"/>
  <cols>
    <col min="5" max="5" width="12.796875" customWidth="1"/>
    <col min="6" max="6" width="13.3984375" customWidth="1"/>
    <col min="7" max="7" width="15" customWidth="1"/>
    <col min="9" max="9" width="11.5" customWidth="1"/>
    <col min="14" max="14" width="14.59765625" customWidth="1"/>
    <col min="16" max="16" width="13.8984375" customWidth="1"/>
  </cols>
  <sheetData>
    <row r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t="s">
        <v>2162</v>
      </c>
      <c r="O1">
        <f>COUNT(Tableau2[Revenue])</f>
        <v>2000</v>
      </c>
      <c r="P1" t="s">
        <v>2163</v>
      </c>
    </row>
    <row r="2" spans="1:16">
      <c r="A2" s="2" t="s">
        <v>13</v>
      </c>
      <c r="B2" s="3">
        <v>46384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>
        <v>5</v>
      </c>
      <c r="K2" s="5">
        <v>53.79</v>
      </c>
      <c r="L2" s="6">
        <v>0.2</v>
      </c>
      <c r="M2" s="5">
        <v>215.16</v>
      </c>
      <c r="N2" s="17">
        <f>SUM(Tableau2[Revenue])</f>
        <v>711860.9799999987</v>
      </c>
      <c r="P2" t="str">
        <f>TEXT(Tableau2[[#This Row],[Date]],"mmmm aaaa")</f>
        <v>décembre 2026</v>
      </c>
    </row>
    <row r="3" spans="1:16">
      <c r="A3" s="2" t="s">
        <v>21</v>
      </c>
      <c r="B3" s="3">
        <v>46102</v>
      </c>
      <c r="C3" s="2" t="s">
        <v>22</v>
      </c>
      <c r="D3" s="2" t="s">
        <v>23</v>
      </c>
      <c r="E3" s="2" t="s">
        <v>16</v>
      </c>
      <c r="F3" s="2" t="s">
        <v>17</v>
      </c>
      <c r="G3" s="2" t="s">
        <v>24</v>
      </c>
      <c r="H3" s="2" t="s">
        <v>25</v>
      </c>
      <c r="I3" s="2" t="s">
        <v>26</v>
      </c>
      <c r="J3" s="4">
        <v>4</v>
      </c>
      <c r="K3" s="5">
        <v>135.87</v>
      </c>
      <c r="L3" s="6">
        <v>0</v>
      </c>
      <c r="M3" s="5">
        <v>543.48</v>
      </c>
      <c r="N3">
        <f>COUNTA(Tableau2[Order ID])</f>
        <v>2000</v>
      </c>
      <c r="P3" t="str">
        <f>TEXT(Tableau2[[#This Row],[Date]],"mmmm aaaa")</f>
        <v>mars 2026</v>
      </c>
    </row>
    <row r="4" spans="1:16">
      <c r="A4" s="2" t="s">
        <v>27</v>
      </c>
      <c r="B4" s="3">
        <v>46377</v>
      </c>
      <c r="C4" s="2" t="s">
        <v>22</v>
      </c>
      <c r="D4" s="2" t="s">
        <v>23</v>
      </c>
      <c r="E4" s="2" t="s">
        <v>16</v>
      </c>
      <c r="F4" s="2" t="s">
        <v>28</v>
      </c>
      <c r="G4" s="2" t="s">
        <v>29</v>
      </c>
      <c r="H4" s="2" t="s">
        <v>30</v>
      </c>
      <c r="I4" s="2" t="s">
        <v>20</v>
      </c>
      <c r="J4" s="4">
        <v>2</v>
      </c>
      <c r="K4" s="5">
        <v>24.98</v>
      </c>
      <c r="L4" s="6">
        <v>0</v>
      </c>
      <c r="M4" s="5">
        <v>49.96</v>
      </c>
      <c r="N4">
        <f>AVERAGE(Tableau2[Revenue])</f>
        <v>355.93048999999934</v>
      </c>
      <c r="P4" t="str">
        <f>TEXT(Tableau2[[#This Row],[Date]],"mmmm aaaa")</f>
        <v>décembre 2026</v>
      </c>
    </row>
    <row r="5" spans="1:16">
      <c r="A5" s="2" t="s">
        <v>31</v>
      </c>
      <c r="B5" s="3">
        <v>46087</v>
      </c>
      <c r="C5" s="2" t="s">
        <v>32</v>
      </c>
      <c r="D5" s="2" t="s">
        <v>33</v>
      </c>
      <c r="E5" s="2" t="s">
        <v>34</v>
      </c>
      <c r="F5" s="2" t="s">
        <v>28</v>
      </c>
      <c r="G5" s="2" t="s">
        <v>24</v>
      </c>
      <c r="H5" s="2" t="s">
        <v>35</v>
      </c>
      <c r="I5" s="2" t="s">
        <v>36</v>
      </c>
      <c r="J5" s="4">
        <v>2</v>
      </c>
      <c r="K5" s="5">
        <v>176.2</v>
      </c>
      <c r="L5" s="6">
        <v>0.1</v>
      </c>
      <c r="M5" s="5">
        <v>317.16000000000003</v>
      </c>
      <c r="P5" t="str">
        <f>TEXT(Tableau2[[#This Row],[Date]],"mmmm aaaa")</f>
        <v>mars 2026</v>
      </c>
    </row>
    <row r="6" spans="1:16">
      <c r="A6" s="2" t="s">
        <v>37</v>
      </c>
      <c r="B6" s="3">
        <v>46306</v>
      </c>
      <c r="C6" s="2" t="s">
        <v>22</v>
      </c>
      <c r="D6" s="2" t="s">
        <v>23</v>
      </c>
      <c r="E6" s="2" t="s">
        <v>38</v>
      </c>
      <c r="F6" s="2" t="s">
        <v>17</v>
      </c>
      <c r="G6" s="2" t="s">
        <v>39</v>
      </c>
      <c r="H6" s="2" t="s">
        <v>40</v>
      </c>
      <c r="I6" s="2" t="s">
        <v>41</v>
      </c>
      <c r="J6" s="4">
        <v>4</v>
      </c>
      <c r="K6" s="5">
        <v>131.31</v>
      </c>
      <c r="L6" s="6">
        <v>0.05</v>
      </c>
      <c r="M6" s="5">
        <v>498.98</v>
      </c>
      <c r="P6" t="str">
        <f>TEXT(Tableau2[[#This Row],[Date]],"mmmm aaaa")</f>
        <v>octobre 2026</v>
      </c>
    </row>
    <row r="7" spans="1:16">
      <c r="A7" s="2" t="s">
        <v>42</v>
      </c>
      <c r="B7" s="3">
        <v>46279</v>
      </c>
      <c r="C7" s="2" t="s">
        <v>22</v>
      </c>
      <c r="D7" s="2" t="s">
        <v>23</v>
      </c>
      <c r="E7" s="2" t="s">
        <v>43</v>
      </c>
      <c r="F7" s="2" t="s">
        <v>28</v>
      </c>
      <c r="G7" s="2" t="s">
        <v>29</v>
      </c>
      <c r="H7" s="2" t="s">
        <v>44</v>
      </c>
      <c r="I7" s="2" t="s">
        <v>45</v>
      </c>
      <c r="J7" s="4">
        <v>6</v>
      </c>
      <c r="K7" s="5">
        <v>38.43</v>
      </c>
      <c r="L7" s="6">
        <v>0</v>
      </c>
      <c r="M7" s="5">
        <v>230.58</v>
      </c>
      <c r="P7" t="str">
        <f>TEXT(Tableau2[[#This Row],[Date]],"mmmm aaaa")</f>
        <v>septembre 2026</v>
      </c>
    </row>
    <row r="8" spans="1:16">
      <c r="A8" s="2" t="s">
        <v>46</v>
      </c>
      <c r="B8" s="3">
        <v>46240</v>
      </c>
      <c r="C8" s="2" t="s">
        <v>47</v>
      </c>
      <c r="D8" s="2" t="s">
        <v>15</v>
      </c>
      <c r="E8" s="2" t="s">
        <v>34</v>
      </c>
      <c r="F8" s="2" t="s">
        <v>17</v>
      </c>
      <c r="G8" s="2" t="s">
        <v>48</v>
      </c>
      <c r="H8" s="2" t="s">
        <v>49</v>
      </c>
      <c r="I8" s="2" t="s">
        <v>50</v>
      </c>
      <c r="J8" s="4">
        <v>1</v>
      </c>
      <c r="K8" s="5">
        <v>53.92</v>
      </c>
      <c r="L8" s="6">
        <v>0</v>
      </c>
      <c r="M8" s="5">
        <v>53.92</v>
      </c>
      <c r="P8" t="str">
        <f>TEXT(Tableau2[[#This Row],[Date]],"mmmm aaaa")</f>
        <v>août 2026</v>
      </c>
    </row>
    <row r="9" spans="1:16">
      <c r="A9" s="2" t="s">
        <v>51</v>
      </c>
      <c r="B9" s="3">
        <v>46340</v>
      </c>
      <c r="C9" s="2" t="s">
        <v>52</v>
      </c>
      <c r="D9" s="2" t="s">
        <v>53</v>
      </c>
      <c r="E9" s="2" t="s">
        <v>16</v>
      </c>
      <c r="F9" s="2" t="s">
        <v>17</v>
      </c>
      <c r="G9" s="2" t="s">
        <v>54</v>
      </c>
      <c r="H9" s="2" t="s">
        <v>55</v>
      </c>
      <c r="I9" s="2" t="s">
        <v>50</v>
      </c>
      <c r="J9" s="4">
        <v>5</v>
      </c>
      <c r="K9" s="5">
        <v>162.35</v>
      </c>
      <c r="L9" s="6">
        <v>0</v>
      </c>
      <c r="M9" s="5">
        <v>811.75</v>
      </c>
      <c r="P9" t="str">
        <f>TEXT(Tableau2[[#This Row],[Date]],"mmmm aaaa")</f>
        <v>novembre 2026</v>
      </c>
    </row>
    <row r="10" spans="1:16">
      <c r="A10" s="2" t="s">
        <v>56</v>
      </c>
      <c r="B10" s="3">
        <v>46133</v>
      </c>
      <c r="C10" s="2" t="s">
        <v>57</v>
      </c>
      <c r="D10" s="2" t="s">
        <v>15</v>
      </c>
      <c r="E10" s="2" t="s">
        <v>16</v>
      </c>
      <c r="F10" s="2" t="s">
        <v>17</v>
      </c>
      <c r="G10" s="2" t="s">
        <v>39</v>
      </c>
      <c r="H10" s="2" t="s">
        <v>40</v>
      </c>
      <c r="I10" s="2" t="s">
        <v>58</v>
      </c>
      <c r="J10" s="4">
        <v>4</v>
      </c>
      <c r="K10" s="5">
        <v>137.59</v>
      </c>
      <c r="L10" s="6">
        <v>0</v>
      </c>
      <c r="M10" s="5">
        <v>550.36</v>
      </c>
      <c r="P10" t="str">
        <f>TEXT(Tableau2[[#This Row],[Date]],"mmmm aaaa")</f>
        <v>avril 2026</v>
      </c>
    </row>
    <row r="11" spans="1:16">
      <c r="A11" s="2" t="s">
        <v>59</v>
      </c>
      <c r="B11" s="3">
        <v>46038</v>
      </c>
      <c r="C11" s="2" t="s">
        <v>60</v>
      </c>
      <c r="D11" s="2" t="s">
        <v>33</v>
      </c>
      <c r="E11" s="2" t="s">
        <v>16</v>
      </c>
      <c r="F11" s="2" t="s">
        <v>17</v>
      </c>
      <c r="G11" s="2" t="s">
        <v>24</v>
      </c>
      <c r="H11" s="2" t="s">
        <v>61</v>
      </c>
      <c r="I11" s="2" t="s">
        <v>50</v>
      </c>
      <c r="J11" s="4">
        <v>2</v>
      </c>
      <c r="K11" s="5">
        <v>228.33</v>
      </c>
      <c r="L11" s="6">
        <v>0.05</v>
      </c>
      <c r="M11" s="5">
        <v>433.83</v>
      </c>
      <c r="P11" t="str">
        <f>TEXT(Tableau2[[#This Row],[Date]],"mmmm aaaa")</f>
        <v>janvier 2026</v>
      </c>
    </row>
    <row r="12" spans="1:16">
      <c r="A12" s="2" t="s">
        <v>62</v>
      </c>
      <c r="B12" s="3">
        <v>46349</v>
      </c>
      <c r="C12" s="2" t="s">
        <v>63</v>
      </c>
      <c r="D12" s="2" t="s">
        <v>33</v>
      </c>
      <c r="E12" s="2" t="s">
        <v>16</v>
      </c>
      <c r="F12" s="2" t="s">
        <v>17</v>
      </c>
      <c r="G12" s="2" t="s">
        <v>54</v>
      </c>
      <c r="H12" s="2" t="s">
        <v>64</v>
      </c>
      <c r="I12" s="2" t="s">
        <v>50</v>
      </c>
      <c r="J12" s="4">
        <v>2</v>
      </c>
      <c r="K12" s="5">
        <v>83.9</v>
      </c>
      <c r="L12" s="6">
        <v>0</v>
      </c>
      <c r="M12" s="5">
        <v>167.8</v>
      </c>
      <c r="P12" t="str">
        <f>TEXT(Tableau2[[#This Row],[Date]],"mmmm aaaa")</f>
        <v>novembre 2026</v>
      </c>
    </row>
    <row r="13" spans="1:16">
      <c r="A13" s="2" t="s">
        <v>65</v>
      </c>
      <c r="B13" s="3">
        <v>46065</v>
      </c>
      <c r="C13" s="2" t="s">
        <v>66</v>
      </c>
      <c r="D13" s="2" t="s">
        <v>23</v>
      </c>
      <c r="E13" s="2" t="s">
        <v>16</v>
      </c>
      <c r="F13" s="2" t="s">
        <v>28</v>
      </c>
      <c r="G13" s="2" t="s">
        <v>29</v>
      </c>
      <c r="H13" s="2" t="s">
        <v>44</v>
      </c>
      <c r="I13" s="2" t="s">
        <v>58</v>
      </c>
      <c r="J13" s="4">
        <v>3</v>
      </c>
      <c r="K13" s="5">
        <v>38.67</v>
      </c>
      <c r="L13" s="6">
        <v>0</v>
      </c>
      <c r="M13" s="5">
        <v>116.01</v>
      </c>
      <c r="P13" t="str">
        <f>TEXT(Tableau2[[#This Row],[Date]],"mmmm aaaa")</f>
        <v>février 2026</v>
      </c>
    </row>
    <row r="14" spans="1:16">
      <c r="A14" s="2" t="s">
        <v>67</v>
      </c>
      <c r="B14" s="3">
        <v>46378</v>
      </c>
      <c r="C14" s="2" t="s">
        <v>14</v>
      </c>
      <c r="D14" s="2" t="s">
        <v>15</v>
      </c>
      <c r="E14" s="2" t="s">
        <v>34</v>
      </c>
      <c r="F14" s="2" t="s">
        <v>28</v>
      </c>
      <c r="G14" s="2" t="s">
        <v>24</v>
      </c>
      <c r="H14" s="2" t="s">
        <v>35</v>
      </c>
      <c r="I14" s="2" t="s">
        <v>50</v>
      </c>
      <c r="J14" s="4">
        <v>2</v>
      </c>
      <c r="K14" s="5">
        <v>168.02</v>
      </c>
      <c r="L14" s="6">
        <v>0</v>
      </c>
      <c r="M14" s="5">
        <v>336.04</v>
      </c>
      <c r="P14" t="str">
        <f>TEXT(Tableau2[[#This Row],[Date]],"mmmm aaaa")</f>
        <v>décembre 2026</v>
      </c>
    </row>
    <row r="15" spans="1:16">
      <c r="A15" s="2" t="s">
        <v>68</v>
      </c>
      <c r="B15" s="3">
        <v>46259</v>
      </c>
      <c r="C15" s="2" t="s">
        <v>22</v>
      </c>
      <c r="D15" s="2" t="s">
        <v>23</v>
      </c>
      <c r="E15" s="2" t="s">
        <v>43</v>
      </c>
      <c r="F15" s="2" t="s">
        <v>28</v>
      </c>
      <c r="G15" s="2" t="s">
        <v>18</v>
      </c>
      <c r="H15" s="2" t="s">
        <v>19</v>
      </c>
      <c r="I15" s="2" t="s">
        <v>26</v>
      </c>
      <c r="J15" s="4">
        <v>6</v>
      </c>
      <c r="K15" s="5">
        <v>53.01</v>
      </c>
      <c r="L15" s="6">
        <v>0.15</v>
      </c>
      <c r="M15" s="5">
        <v>270.35000000000002</v>
      </c>
      <c r="P15" t="str">
        <f>TEXT(Tableau2[[#This Row],[Date]],"mmmm aaaa")</f>
        <v>août 2026</v>
      </c>
    </row>
    <row r="16" spans="1:16">
      <c r="A16" s="2" t="s">
        <v>69</v>
      </c>
      <c r="B16" s="3">
        <v>46350</v>
      </c>
      <c r="C16" s="2" t="s">
        <v>14</v>
      </c>
      <c r="D16" s="2" t="s">
        <v>15</v>
      </c>
      <c r="E16" s="2" t="s">
        <v>16</v>
      </c>
      <c r="F16" s="2" t="s">
        <v>28</v>
      </c>
      <c r="G16" s="2" t="s">
        <v>48</v>
      </c>
      <c r="H16" s="2" t="s">
        <v>49</v>
      </c>
      <c r="I16" s="2" t="s">
        <v>58</v>
      </c>
      <c r="J16" s="4">
        <v>8</v>
      </c>
      <c r="K16" s="5">
        <v>55.24</v>
      </c>
      <c r="L16" s="6">
        <v>0.1</v>
      </c>
      <c r="M16" s="5">
        <v>397.73</v>
      </c>
      <c r="P16" t="str">
        <f>TEXT(Tableau2[[#This Row],[Date]],"mmmm aaaa")</f>
        <v>novembre 2026</v>
      </c>
    </row>
    <row r="17" spans="1:16">
      <c r="A17" s="2" t="s">
        <v>70</v>
      </c>
      <c r="B17" s="3">
        <v>46384</v>
      </c>
      <c r="C17" s="2" t="s">
        <v>22</v>
      </c>
      <c r="D17" s="2" t="s">
        <v>23</v>
      </c>
      <c r="E17" s="2" t="s">
        <v>43</v>
      </c>
      <c r="F17" s="2" t="s">
        <v>17</v>
      </c>
      <c r="G17" s="2" t="s">
        <v>39</v>
      </c>
      <c r="H17" s="2" t="s">
        <v>71</v>
      </c>
      <c r="I17" s="2" t="s">
        <v>26</v>
      </c>
      <c r="J17" s="4">
        <v>7</v>
      </c>
      <c r="K17" s="5">
        <v>116.1</v>
      </c>
      <c r="L17" s="6">
        <v>0.2</v>
      </c>
      <c r="M17" s="5">
        <v>650.16</v>
      </c>
      <c r="P17" t="str">
        <f>TEXT(Tableau2[[#This Row],[Date]],"mmmm aaaa")</f>
        <v>décembre 2026</v>
      </c>
    </row>
    <row r="18" spans="1:16">
      <c r="A18" s="2" t="s">
        <v>72</v>
      </c>
      <c r="B18" s="3">
        <v>46202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24</v>
      </c>
      <c r="H18" s="2" t="s">
        <v>25</v>
      </c>
      <c r="I18" s="2" t="s">
        <v>50</v>
      </c>
      <c r="J18" s="4">
        <v>1</v>
      </c>
      <c r="K18" s="5">
        <v>119.52</v>
      </c>
      <c r="L18" s="6">
        <v>0</v>
      </c>
      <c r="M18" s="5">
        <v>119.52</v>
      </c>
      <c r="P18" t="str">
        <f>TEXT(Tableau2[[#This Row],[Date]],"mmmm aaaa")</f>
        <v>juin 2026</v>
      </c>
    </row>
    <row r="19" spans="1:16">
      <c r="A19" s="2" t="s">
        <v>73</v>
      </c>
      <c r="B19" s="3">
        <v>46280</v>
      </c>
      <c r="C19" s="2" t="s">
        <v>32</v>
      </c>
      <c r="D19" s="2" t="s">
        <v>33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50</v>
      </c>
      <c r="J19" s="4">
        <v>6</v>
      </c>
      <c r="K19" s="5">
        <v>54.38</v>
      </c>
      <c r="L19" s="6">
        <v>0.05</v>
      </c>
      <c r="M19" s="5">
        <v>309.97000000000003</v>
      </c>
      <c r="P19" t="str">
        <f>TEXT(Tableau2[[#This Row],[Date]],"mmmm aaaa")</f>
        <v>septembre 2026</v>
      </c>
    </row>
    <row r="20" spans="1:16">
      <c r="A20" s="2" t="s">
        <v>74</v>
      </c>
      <c r="B20" s="3">
        <v>46063</v>
      </c>
      <c r="C20" s="2" t="s">
        <v>32</v>
      </c>
      <c r="D20" s="2" t="s">
        <v>33</v>
      </c>
      <c r="E20" s="2" t="s">
        <v>16</v>
      </c>
      <c r="F20" s="2" t="s">
        <v>28</v>
      </c>
      <c r="G20" s="2" t="s">
        <v>29</v>
      </c>
      <c r="H20" s="2" t="s">
        <v>30</v>
      </c>
      <c r="I20" s="2" t="s">
        <v>75</v>
      </c>
      <c r="J20" s="4">
        <v>1</v>
      </c>
      <c r="K20" s="5">
        <v>24.9</v>
      </c>
      <c r="L20" s="6">
        <v>0</v>
      </c>
      <c r="M20" s="5">
        <v>24.9</v>
      </c>
      <c r="P20" t="str">
        <f>TEXT(Tableau2[[#This Row],[Date]],"mmmm aaaa")</f>
        <v>février 2026</v>
      </c>
    </row>
    <row r="21" spans="1:16">
      <c r="A21" s="2" t="s">
        <v>76</v>
      </c>
      <c r="B21" s="3">
        <v>46154</v>
      </c>
      <c r="C21" s="2" t="s">
        <v>32</v>
      </c>
      <c r="D21" s="2" t="s">
        <v>33</v>
      </c>
      <c r="E21" s="2" t="s">
        <v>34</v>
      </c>
      <c r="F21" s="2" t="s">
        <v>17</v>
      </c>
      <c r="G21" s="2" t="s">
        <v>48</v>
      </c>
      <c r="H21" s="2" t="s">
        <v>77</v>
      </c>
      <c r="I21" s="2" t="s">
        <v>36</v>
      </c>
      <c r="J21" s="4">
        <v>4</v>
      </c>
      <c r="K21" s="5">
        <v>85.16</v>
      </c>
      <c r="L21" s="6">
        <v>0.15</v>
      </c>
      <c r="M21" s="5">
        <v>289.54000000000002</v>
      </c>
      <c r="P21" t="str">
        <f>TEXT(Tableau2[[#This Row],[Date]],"mmmm aaaa")</f>
        <v>mai 2026</v>
      </c>
    </row>
    <row r="22" spans="1:16">
      <c r="A22" s="2" t="s">
        <v>78</v>
      </c>
      <c r="B22" s="3">
        <v>46096</v>
      </c>
      <c r="C22" s="2" t="s">
        <v>79</v>
      </c>
      <c r="D22" s="2" t="s">
        <v>33</v>
      </c>
      <c r="E22" s="2" t="s">
        <v>43</v>
      </c>
      <c r="F22" s="2" t="s">
        <v>28</v>
      </c>
      <c r="G22" s="2" t="s">
        <v>24</v>
      </c>
      <c r="H22" s="2" t="s">
        <v>35</v>
      </c>
      <c r="I22" s="2" t="s">
        <v>41</v>
      </c>
      <c r="J22" s="4">
        <v>4</v>
      </c>
      <c r="K22" s="5">
        <v>171.54</v>
      </c>
      <c r="L22" s="6">
        <v>0.15</v>
      </c>
      <c r="M22" s="5">
        <v>583.24</v>
      </c>
      <c r="P22" t="str">
        <f>TEXT(Tableau2[[#This Row],[Date]],"mmmm aaaa")</f>
        <v>mars 2026</v>
      </c>
    </row>
    <row r="23" spans="1:16">
      <c r="A23" s="2" t="s">
        <v>80</v>
      </c>
      <c r="B23" s="3">
        <v>46331</v>
      </c>
      <c r="C23" s="2" t="s">
        <v>14</v>
      </c>
      <c r="D23" s="2" t="s">
        <v>15</v>
      </c>
      <c r="E23" s="2" t="s">
        <v>16</v>
      </c>
      <c r="F23" s="2" t="s">
        <v>28</v>
      </c>
      <c r="G23" s="2" t="s">
        <v>24</v>
      </c>
      <c r="H23" s="2" t="s">
        <v>61</v>
      </c>
      <c r="I23" s="2" t="s">
        <v>20</v>
      </c>
      <c r="J23" s="4">
        <v>4</v>
      </c>
      <c r="K23" s="5">
        <v>232.36</v>
      </c>
      <c r="L23" s="6">
        <v>0</v>
      </c>
      <c r="M23" s="5">
        <v>929.44</v>
      </c>
      <c r="P23" t="str">
        <f>TEXT(Tableau2[[#This Row],[Date]],"mmmm aaaa")</f>
        <v>novembre 2026</v>
      </c>
    </row>
    <row r="24" spans="1:16">
      <c r="A24" s="2" t="s">
        <v>81</v>
      </c>
      <c r="B24" s="3">
        <v>46184</v>
      </c>
      <c r="C24" s="2" t="s">
        <v>22</v>
      </c>
      <c r="D24" s="2" t="s">
        <v>23</v>
      </c>
      <c r="E24" s="2" t="s">
        <v>16</v>
      </c>
      <c r="F24" s="2" t="s">
        <v>28</v>
      </c>
      <c r="G24" s="2" t="s">
        <v>24</v>
      </c>
      <c r="H24" s="2" t="s">
        <v>82</v>
      </c>
      <c r="I24" s="2" t="s">
        <v>20</v>
      </c>
      <c r="J24" s="4">
        <v>3</v>
      </c>
      <c r="K24" s="5">
        <v>283.29000000000002</v>
      </c>
      <c r="L24" s="6">
        <v>0.1</v>
      </c>
      <c r="M24" s="5">
        <v>764.88</v>
      </c>
      <c r="P24" t="str">
        <f>TEXT(Tableau2[[#This Row],[Date]],"mmmm aaaa")</f>
        <v>juin 2026</v>
      </c>
    </row>
    <row r="25" spans="1:16">
      <c r="A25" s="2" t="s">
        <v>83</v>
      </c>
      <c r="B25" s="3">
        <v>46291</v>
      </c>
      <c r="C25" s="2" t="s">
        <v>66</v>
      </c>
      <c r="D25" s="2" t="s">
        <v>23</v>
      </c>
      <c r="E25" s="2" t="s">
        <v>43</v>
      </c>
      <c r="F25" s="2" t="s">
        <v>17</v>
      </c>
      <c r="G25" s="2" t="s">
        <v>48</v>
      </c>
      <c r="H25" s="2" t="s">
        <v>84</v>
      </c>
      <c r="I25" s="2" t="s">
        <v>36</v>
      </c>
      <c r="J25" s="4">
        <v>8</v>
      </c>
      <c r="K25" s="5">
        <v>92.3</v>
      </c>
      <c r="L25" s="6">
        <v>0.05</v>
      </c>
      <c r="M25" s="5">
        <v>701.48</v>
      </c>
      <c r="P25" t="str">
        <f>TEXT(Tableau2[[#This Row],[Date]],"mmmm aaaa")</f>
        <v>septembre 2026</v>
      </c>
    </row>
    <row r="26" spans="1:16">
      <c r="A26" s="2" t="s">
        <v>85</v>
      </c>
      <c r="B26" s="3">
        <v>46033</v>
      </c>
      <c r="C26" s="2" t="s">
        <v>86</v>
      </c>
      <c r="D26" s="2" t="s">
        <v>53</v>
      </c>
      <c r="E26" s="2" t="s">
        <v>34</v>
      </c>
      <c r="F26" s="2" t="s">
        <v>17</v>
      </c>
      <c r="G26" s="2" t="s">
        <v>24</v>
      </c>
      <c r="H26" s="2" t="s">
        <v>25</v>
      </c>
      <c r="I26" s="2" t="s">
        <v>50</v>
      </c>
      <c r="J26" s="4">
        <v>1</v>
      </c>
      <c r="K26" s="5">
        <v>130.94</v>
      </c>
      <c r="L26" s="6">
        <v>0.15</v>
      </c>
      <c r="M26" s="5">
        <v>111.3</v>
      </c>
      <c r="P26" t="str">
        <f>TEXT(Tableau2[[#This Row],[Date]],"mmmm aaaa")</f>
        <v>janvier 2026</v>
      </c>
    </row>
    <row r="27" spans="1:16">
      <c r="A27" s="2" t="s">
        <v>87</v>
      </c>
      <c r="B27" s="3">
        <v>46031</v>
      </c>
      <c r="C27" s="2" t="s">
        <v>57</v>
      </c>
      <c r="D27" s="2" t="s">
        <v>15</v>
      </c>
      <c r="E27" s="2" t="s">
        <v>34</v>
      </c>
      <c r="F27" s="2" t="s">
        <v>28</v>
      </c>
      <c r="G27" s="2" t="s">
        <v>48</v>
      </c>
      <c r="H27" s="2" t="s">
        <v>88</v>
      </c>
      <c r="I27" s="2" t="s">
        <v>50</v>
      </c>
      <c r="J27" s="4">
        <v>4</v>
      </c>
      <c r="K27" s="5">
        <v>81.86</v>
      </c>
      <c r="L27" s="6">
        <v>0.2</v>
      </c>
      <c r="M27" s="5">
        <v>261.95</v>
      </c>
      <c r="P27" t="str">
        <f>TEXT(Tableau2[[#This Row],[Date]],"mmmm aaaa")</f>
        <v>janvier 2026</v>
      </c>
    </row>
    <row r="28" spans="1:16">
      <c r="A28" s="2" t="s">
        <v>89</v>
      </c>
      <c r="B28" s="3">
        <v>46248</v>
      </c>
      <c r="C28" s="2" t="s">
        <v>90</v>
      </c>
      <c r="D28" s="2" t="s">
        <v>53</v>
      </c>
      <c r="E28" s="2" t="s">
        <v>34</v>
      </c>
      <c r="F28" s="2" t="s">
        <v>28</v>
      </c>
      <c r="G28" s="2" t="s">
        <v>18</v>
      </c>
      <c r="H28" s="2" t="s">
        <v>19</v>
      </c>
      <c r="I28" s="2" t="s">
        <v>36</v>
      </c>
      <c r="J28" s="4">
        <v>1</v>
      </c>
      <c r="K28" s="5">
        <v>55.3</v>
      </c>
      <c r="L28" s="6">
        <v>0</v>
      </c>
      <c r="M28" s="5">
        <v>55.3</v>
      </c>
      <c r="P28" t="str">
        <f>TEXT(Tableau2[[#This Row],[Date]],"mmmm aaaa")</f>
        <v>août 2026</v>
      </c>
    </row>
    <row r="29" spans="1:16">
      <c r="A29" s="2" t="s">
        <v>91</v>
      </c>
      <c r="B29" s="3">
        <v>46070</v>
      </c>
      <c r="C29" s="2" t="s">
        <v>92</v>
      </c>
      <c r="D29" s="2" t="s">
        <v>53</v>
      </c>
      <c r="E29" s="2" t="s">
        <v>34</v>
      </c>
      <c r="F29" s="2" t="s">
        <v>17</v>
      </c>
      <c r="G29" s="2" t="s">
        <v>54</v>
      </c>
      <c r="H29" s="2" t="s">
        <v>64</v>
      </c>
      <c r="I29" s="2" t="s">
        <v>50</v>
      </c>
      <c r="J29" s="4">
        <v>1</v>
      </c>
      <c r="K29" s="5">
        <v>84.36</v>
      </c>
      <c r="L29" s="6">
        <v>0</v>
      </c>
      <c r="M29" s="5">
        <v>84.36</v>
      </c>
      <c r="P29" t="str">
        <f>TEXT(Tableau2[[#This Row],[Date]],"mmmm aaaa")</f>
        <v>février 2026</v>
      </c>
    </row>
    <row r="30" spans="1:16">
      <c r="A30" s="2" t="s">
        <v>93</v>
      </c>
      <c r="B30" s="3">
        <v>46318</v>
      </c>
      <c r="C30" s="2" t="s">
        <v>94</v>
      </c>
      <c r="D30" s="2" t="s">
        <v>15</v>
      </c>
      <c r="E30" s="2" t="s">
        <v>34</v>
      </c>
      <c r="F30" s="2" t="s">
        <v>28</v>
      </c>
      <c r="G30" s="2" t="s">
        <v>39</v>
      </c>
      <c r="H30" s="2" t="s">
        <v>95</v>
      </c>
      <c r="I30" s="2" t="s">
        <v>26</v>
      </c>
      <c r="J30" s="4">
        <v>3</v>
      </c>
      <c r="K30" s="5">
        <v>102.78</v>
      </c>
      <c r="L30" s="6">
        <v>0</v>
      </c>
      <c r="M30" s="5">
        <v>308.33999999999997</v>
      </c>
      <c r="P30" t="str">
        <f>TEXT(Tableau2[[#This Row],[Date]],"mmmm aaaa")</f>
        <v>octobre 2026</v>
      </c>
    </row>
    <row r="31" spans="1:16">
      <c r="A31" s="2" t="s">
        <v>96</v>
      </c>
      <c r="B31" s="3">
        <v>46358</v>
      </c>
      <c r="C31" s="2" t="s">
        <v>57</v>
      </c>
      <c r="D31" s="2" t="s">
        <v>15</v>
      </c>
      <c r="E31" s="2" t="s">
        <v>43</v>
      </c>
      <c r="F31" s="2" t="s">
        <v>28</v>
      </c>
      <c r="G31" s="2" t="s">
        <v>48</v>
      </c>
      <c r="H31" s="2" t="s">
        <v>77</v>
      </c>
      <c r="I31" s="2" t="s">
        <v>20</v>
      </c>
      <c r="J31" s="4">
        <v>3</v>
      </c>
      <c r="K31" s="5">
        <v>79.73</v>
      </c>
      <c r="L31" s="6">
        <v>0</v>
      </c>
      <c r="M31" s="5">
        <v>239.19</v>
      </c>
      <c r="P31" t="str">
        <f>TEXT(Tableau2[[#This Row],[Date]],"mmmm aaaa")</f>
        <v>décembre 2026</v>
      </c>
    </row>
    <row r="32" spans="1:16">
      <c r="A32" s="2" t="s">
        <v>97</v>
      </c>
      <c r="B32" s="3">
        <v>46233</v>
      </c>
      <c r="C32" s="2" t="s">
        <v>86</v>
      </c>
      <c r="D32" s="2" t="s">
        <v>53</v>
      </c>
      <c r="E32" s="2" t="s">
        <v>16</v>
      </c>
      <c r="F32" s="2" t="s">
        <v>28</v>
      </c>
      <c r="G32" s="2" t="s">
        <v>24</v>
      </c>
      <c r="H32" s="2" t="s">
        <v>35</v>
      </c>
      <c r="I32" s="2" t="s">
        <v>50</v>
      </c>
      <c r="J32" s="4">
        <v>1</v>
      </c>
      <c r="K32" s="5">
        <v>157.97999999999999</v>
      </c>
      <c r="L32" s="6">
        <v>0.2</v>
      </c>
      <c r="M32" s="5">
        <v>126.38</v>
      </c>
      <c r="P32" t="str">
        <f>TEXT(Tableau2[[#This Row],[Date]],"mmmm aaaa")</f>
        <v>juillet 2026</v>
      </c>
    </row>
    <row r="33" spans="1:16">
      <c r="A33" s="2" t="s">
        <v>98</v>
      </c>
      <c r="B33" s="3">
        <v>46291</v>
      </c>
      <c r="C33" s="2" t="s">
        <v>79</v>
      </c>
      <c r="D33" s="2" t="s">
        <v>33</v>
      </c>
      <c r="E33" s="2" t="s">
        <v>34</v>
      </c>
      <c r="F33" s="2" t="s">
        <v>28</v>
      </c>
      <c r="G33" s="2" t="s">
        <v>29</v>
      </c>
      <c r="H33" s="2" t="s">
        <v>99</v>
      </c>
      <c r="I33" s="2" t="s">
        <v>41</v>
      </c>
      <c r="J33" s="4">
        <v>3</v>
      </c>
      <c r="K33" s="5">
        <v>66.25</v>
      </c>
      <c r="L33" s="6">
        <v>0</v>
      </c>
      <c r="M33" s="5">
        <v>198.75</v>
      </c>
      <c r="P33" t="str">
        <f>TEXT(Tableau2[[#This Row],[Date]],"mmmm aaaa")</f>
        <v>septembre 2026</v>
      </c>
    </row>
    <row r="34" spans="1:16">
      <c r="A34" s="2" t="s">
        <v>100</v>
      </c>
      <c r="B34" s="3">
        <v>46272</v>
      </c>
      <c r="C34" s="2" t="s">
        <v>101</v>
      </c>
      <c r="D34" s="2" t="s">
        <v>33</v>
      </c>
      <c r="E34" s="2" t="s">
        <v>16</v>
      </c>
      <c r="F34" s="2" t="s">
        <v>17</v>
      </c>
      <c r="G34" s="2" t="s">
        <v>54</v>
      </c>
      <c r="H34" s="2" t="s">
        <v>102</v>
      </c>
      <c r="I34" s="2" t="s">
        <v>45</v>
      </c>
      <c r="J34" s="4">
        <v>3</v>
      </c>
      <c r="K34" s="5">
        <v>224.5</v>
      </c>
      <c r="L34" s="6">
        <v>0</v>
      </c>
      <c r="M34" s="5">
        <v>673.5</v>
      </c>
      <c r="P34" t="str">
        <f>TEXT(Tableau2[[#This Row],[Date]],"mmmm aaaa")</f>
        <v>septembre 2026</v>
      </c>
    </row>
    <row r="35" spans="1:16">
      <c r="A35" s="2" t="s">
        <v>103</v>
      </c>
      <c r="B35" s="3">
        <v>46107</v>
      </c>
      <c r="C35" s="2" t="s">
        <v>94</v>
      </c>
      <c r="D35" s="2" t="s">
        <v>15</v>
      </c>
      <c r="E35" s="2" t="s">
        <v>34</v>
      </c>
      <c r="F35" s="2" t="s">
        <v>28</v>
      </c>
      <c r="G35" s="2" t="s">
        <v>29</v>
      </c>
      <c r="H35" s="2" t="s">
        <v>99</v>
      </c>
      <c r="I35" s="2" t="s">
        <v>20</v>
      </c>
      <c r="J35" s="4">
        <v>10</v>
      </c>
      <c r="K35" s="5">
        <v>62.89</v>
      </c>
      <c r="L35" s="6">
        <v>0.1</v>
      </c>
      <c r="M35" s="5">
        <v>566.01</v>
      </c>
      <c r="P35" t="str">
        <f>TEXT(Tableau2[[#This Row],[Date]],"mmmm aaaa")</f>
        <v>mars 2026</v>
      </c>
    </row>
    <row r="36" spans="1:16">
      <c r="A36" s="2" t="s">
        <v>104</v>
      </c>
      <c r="B36" s="3">
        <v>46191</v>
      </c>
      <c r="C36" s="2" t="s">
        <v>101</v>
      </c>
      <c r="D36" s="2" t="s">
        <v>33</v>
      </c>
      <c r="E36" s="2" t="s">
        <v>16</v>
      </c>
      <c r="F36" s="2" t="s">
        <v>17</v>
      </c>
      <c r="G36" s="2" t="s">
        <v>48</v>
      </c>
      <c r="H36" s="2" t="s">
        <v>84</v>
      </c>
      <c r="I36" s="2" t="s">
        <v>20</v>
      </c>
      <c r="J36" s="4">
        <v>3</v>
      </c>
      <c r="K36" s="5">
        <v>91.87</v>
      </c>
      <c r="L36" s="6">
        <v>0</v>
      </c>
      <c r="M36" s="5">
        <v>275.61</v>
      </c>
      <c r="P36" t="str">
        <f>TEXT(Tableau2[[#This Row],[Date]],"mmmm aaaa")</f>
        <v>juin 2026</v>
      </c>
    </row>
    <row r="37" spans="1:16">
      <c r="A37" s="2" t="s">
        <v>105</v>
      </c>
      <c r="B37" s="3">
        <v>46178</v>
      </c>
      <c r="C37" s="2" t="s">
        <v>106</v>
      </c>
      <c r="D37" s="2" t="s">
        <v>23</v>
      </c>
      <c r="E37" s="2" t="s">
        <v>16</v>
      </c>
      <c r="F37" s="2" t="s">
        <v>28</v>
      </c>
      <c r="G37" s="2" t="s">
        <v>48</v>
      </c>
      <c r="H37" s="2" t="s">
        <v>49</v>
      </c>
      <c r="I37" s="2" t="s">
        <v>20</v>
      </c>
      <c r="J37" s="4">
        <v>9</v>
      </c>
      <c r="K37" s="5">
        <v>57.31</v>
      </c>
      <c r="L37" s="6">
        <v>0.1</v>
      </c>
      <c r="M37" s="5">
        <v>464.21</v>
      </c>
      <c r="P37" t="str">
        <f>TEXT(Tableau2[[#This Row],[Date]],"mmmm aaaa")</f>
        <v>juin 2026</v>
      </c>
    </row>
    <row r="38" spans="1:16">
      <c r="A38" s="2" t="s">
        <v>107</v>
      </c>
      <c r="B38" s="3">
        <v>46262</v>
      </c>
      <c r="C38" s="2" t="s">
        <v>22</v>
      </c>
      <c r="D38" s="2" t="s">
        <v>23</v>
      </c>
      <c r="E38" s="2" t="s">
        <v>34</v>
      </c>
      <c r="F38" s="2" t="s">
        <v>28</v>
      </c>
      <c r="G38" s="2" t="s">
        <v>24</v>
      </c>
      <c r="H38" s="2" t="s">
        <v>25</v>
      </c>
      <c r="I38" s="2" t="s">
        <v>75</v>
      </c>
      <c r="J38" s="4">
        <v>5</v>
      </c>
      <c r="K38" s="5">
        <v>137.80000000000001</v>
      </c>
      <c r="L38" s="6">
        <v>0.15</v>
      </c>
      <c r="M38" s="5">
        <v>585.65</v>
      </c>
      <c r="P38" t="str">
        <f>TEXT(Tableau2[[#This Row],[Date]],"mmmm aaaa")</f>
        <v>août 2026</v>
      </c>
    </row>
    <row r="39" spans="1:16">
      <c r="A39" s="2" t="s">
        <v>108</v>
      </c>
      <c r="B39" s="3">
        <v>46218</v>
      </c>
      <c r="C39" s="2" t="s">
        <v>47</v>
      </c>
      <c r="D39" s="2" t="s">
        <v>15</v>
      </c>
      <c r="E39" s="2" t="s">
        <v>34</v>
      </c>
      <c r="F39" s="2" t="s">
        <v>17</v>
      </c>
      <c r="G39" s="2" t="s">
        <v>24</v>
      </c>
      <c r="H39" s="2" t="s">
        <v>82</v>
      </c>
      <c r="I39" s="2" t="s">
        <v>41</v>
      </c>
      <c r="J39" s="4">
        <v>1</v>
      </c>
      <c r="K39" s="5">
        <v>281.94</v>
      </c>
      <c r="L39" s="6">
        <v>0.15</v>
      </c>
      <c r="M39" s="5">
        <v>239.65</v>
      </c>
      <c r="P39" t="str">
        <f>TEXT(Tableau2[[#This Row],[Date]],"mmmm aaaa")</f>
        <v>juillet 2026</v>
      </c>
    </row>
    <row r="40" spans="1:16">
      <c r="A40" s="2" t="s">
        <v>109</v>
      </c>
      <c r="B40" s="3">
        <v>46305</v>
      </c>
      <c r="C40" s="2" t="s">
        <v>66</v>
      </c>
      <c r="D40" s="2" t="s">
        <v>23</v>
      </c>
      <c r="E40" s="2" t="s">
        <v>34</v>
      </c>
      <c r="F40" s="2" t="s">
        <v>17</v>
      </c>
      <c r="G40" s="2" t="s">
        <v>24</v>
      </c>
      <c r="H40" s="2" t="s">
        <v>35</v>
      </c>
      <c r="I40" s="2" t="s">
        <v>26</v>
      </c>
      <c r="J40" s="4">
        <v>1</v>
      </c>
      <c r="K40" s="5">
        <v>169.64</v>
      </c>
      <c r="L40" s="6">
        <v>0</v>
      </c>
      <c r="M40" s="5">
        <v>169.64</v>
      </c>
      <c r="P40" t="str">
        <f>TEXT(Tableau2[[#This Row],[Date]],"mmmm aaaa")</f>
        <v>octobre 2026</v>
      </c>
    </row>
    <row r="41" spans="1:16">
      <c r="A41" s="2" t="s">
        <v>110</v>
      </c>
      <c r="B41" s="3">
        <v>46158</v>
      </c>
      <c r="C41" s="2" t="s">
        <v>66</v>
      </c>
      <c r="D41" s="2" t="s">
        <v>23</v>
      </c>
      <c r="E41" s="2" t="s">
        <v>43</v>
      </c>
      <c r="F41" s="2" t="s">
        <v>17</v>
      </c>
      <c r="G41" s="2" t="s">
        <v>18</v>
      </c>
      <c r="H41" s="2" t="s">
        <v>19</v>
      </c>
      <c r="I41" s="2" t="s">
        <v>58</v>
      </c>
      <c r="J41" s="4">
        <v>11</v>
      </c>
      <c r="K41" s="5">
        <v>51.96</v>
      </c>
      <c r="L41" s="6">
        <v>0.1</v>
      </c>
      <c r="M41" s="5">
        <v>514.4</v>
      </c>
      <c r="P41" t="str">
        <f>TEXT(Tableau2[[#This Row],[Date]],"mmmm aaaa")</f>
        <v>mai 2026</v>
      </c>
    </row>
    <row r="42" spans="1:16">
      <c r="A42" s="2" t="s">
        <v>111</v>
      </c>
      <c r="B42" s="3">
        <v>46294</v>
      </c>
      <c r="C42" s="2" t="s">
        <v>22</v>
      </c>
      <c r="D42" s="2" t="s">
        <v>23</v>
      </c>
      <c r="E42" s="2" t="s">
        <v>34</v>
      </c>
      <c r="F42" s="2" t="s">
        <v>17</v>
      </c>
      <c r="G42" s="2" t="s">
        <v>48</v>
      </c>
      <c r="H42" s="2" t="s">
        <v>88</v>
      </c>
      <c r="I42" s="2" t="s">
        <v>26</v>
      </c>
      <c r="J42" s="4">
        <v>2</v>
      </c>
      <c r="K42" s="5">
        <v>75.540000000000006</v>
      </c>
      <c r="L42" s="6">
        <v>0.3</v>
      </c>
      <c r="M42" s="5">
        <v>105.76</v>
      </c>
      <c r="P42" t="str">
        <f>TEXT(Tableau2[[#This Row],[Date]],"mmmm aaaa")</f>
        <v>septembre 2026</v>
      </c>
    </row>
    <row r="43" spans="1:16">
      <c r="A43" s="2" t="s">
        <v>112</v>
      </c>
      <c r="B43" s="3">
        <v>46339</v>
      </c>
      <c r="C43" s="2" t="s">
        <v>32</v>
      </c>
      <c r="D43" s="2" t="s">
        <v>33</v>
      </c>
      <c r="E43" s="2" t="s">
        <v>16</v>
      </c>
      <c r="F43" s="2" t="s">
        <v>28</v>
      </c>
      <c r="G43" s="2" t="s">
        <v>39</v>
      </c>
      <c r="H43" s="2" t="s">
        <v>71</v>
      </c>
      <c r="I43" s="2" t="s">
        <v>58</v>
      </c>
      <c r="J43" s="4">
        <v>4</v>
      </c>
      <c r="K43" s="5">
        <v>117.62</v>
      </c>
      <c r="L43" s="6">
        <v>0.15</v>
      </c>
      <c r="M43" s="5">
        <v>399.91</v>
      </c>
      <c r="P43" t="str">
        <f>TEXT(Tableau2[[#This Row],[Date]],"mmmm aaaa")</f>
        <v>novembre 2026</v>
      </c>
    </row>
    <row r="44" spans="1:16">
      <c r="A44" s="2" t="s">
        <v>113</v>
      </c>
      <c r="B44" s="3">
        <v>46305</v>
      </c>
      <c r="C44" s="2" t="s">
        <v>66</v>
      </c>
      <c r="D44" s="2" t="s">
        <v>23</v>
      </c>
      <c r="E44" s="2" t="s">
        <v>16</v>
      </c>
      <c r="F44" s="2" t="s">
        <v>17</v>
      </c>
      <c r="G44" s="2" t="s">
        <v>39</v>
      </c>
      <c r="H44" s="2" t="s">
        <v>40</v>
      </c>
      <c r="I44" s="2" t="s">
        <v>75</v>
      </c>
      <c r="J44" s="4">
        <v>2</v>
      </c>
      <c r="K44" s="5">
        <v>137.72999999999999</v>
      </c>
      <c r="L44" s="6">
        <v>0</v>
      </c>
      <c r="M44" s="5">
        <v>275.45999999999998</v>
      </c>
      <c r="P44" t="str">
        <f>TEXT(Tableau2[[#This Row],[Date]],"mmmm aaaa")</f>
        <v>octobre 2026</v>
      </c>
    </row>
    <row r="45" spans="1:16">
      <c r="A45" s="2" t="s">
        <v>114</v>
      </c>
      <c r="B45" s="3">
        <v>46058</v>
      </c>
      <c r="C45" s="2" t="s">
        <v>47</v>
      </c>
      <c r="D45" s="2" t="s">
        <v>15</v>
      </c>
      <c r="E45" s="2" t="s">
        <v>34</v>
      </c>
      <c r="F45" s="2" t="s">
        <v>17</v>
      </c>
      <c r="G45" s="2" t="s">
        <v>48</v>
      </c>
      <c r="H45" s="2" t="s">
        <v>49</v>
      </c>
      <c r="I45" s="2" t="s">
        <v>36</v>
      </c>
      <c r="J45" s="4">
        <v>1</v>
      </c>
      <c r="K45" s="5">
        <v>61.77</v>
      </c>
      <c r="L45" s="6">
        <v>0.05</v>
      </c>
      <c r="M45" s="5">
        <v>58.68</v>
      </c>
      <c r="P45" t="str">
        <f>TEXT(Tableau2[[#This Row],[Date]],"mmmm aaaa")</f>
        <v>février 2026</v>
      </c>
    </row>
    <row r="46" spans="1:16">
      <c r="A46" s="2" t="s">
        <v>115</v>
      </c>
      <c r="B46" s="3">
        <v>46237</v>
      </c>
      <c r="C46" s="2" t="s">
        <v>116</v>
      </c>
      <c r="D46" s="2" t="s">
        <v>15</v>
      </c>
      <c r="E46" s="2" t="s">
        <v>43</v>
      </c>
      <c r="F46" s="2" t="s">
        <v>17</v>
      </c>
      <c r="G46" s="2" t="s">
        <v>29</v>
      </c>
      <c r="H46" s="2" t="s">
        <v>30</v>
      </c>
      <c r="I46" s="2" t="s">
        <v>45</v>
      </c>
      <c r="J46" s="4">
        <v>4</v>
      </c>
      <c r="K46" s="5">
        <v>27.93</v>
      </c>
      <c r="L46" s="6">
        <v>0.05</v>
      </c>
      <c r="M46" s="5">
        <v>106.13</v>
      </c>
      <c r="P46" t="str">
        <f>TEXT(Tableau2[[#This Row],[Date]],"mmmm aaaa")</f>
        <v>août 2026</v>
      </c>
    </row>
    <row r="47" spans="1:16">
      <c r="A47" s="2" t="s">
        <v>117</v>
      </c>
      <c r="B47" s="3">
        <v>46350</v>
      </c>
      <c r="C47" s="2" t="s">
        <v>66</v>
      </c>
      <c r="D47" s="2" t="s">
        <v>23</v>
      </c>
      <c r="E47" s="2" t="s">
        <v>38</v>
      </c>
      <c r="F47" s="2" t="s">
        <v>28</v>
      </c>
      <c r="G47" s="2" t="s">
        <v>39</v>
      </c>
      <c r="H47" s="2" t="s">
        <v>95</v>
      </c>
      <c r="I47" s="2" t="s">
        <v>36</v>
      </c>
      <c r="J47" s="4">
        <v>1</v>
      </c>
      <c r="K47" s="5">
        <v>105.71</v>
      </c>
      <c r="L47" s="6">
        <v>0.15</v>
      </c>
      <c r="M47" s="5">
        <v>89.85</v>
      </c>
      <c r="P47" t="str">
        <f>TEXT(Tableau2[[#This Row],[Date]],"mmmm aaaa")</f>
        <v>novembre 2026</v>
      </c>
    </row>
    <row r="48" spans="1:16">
      <c r="A48" s="2" t="s">
        <v>118</v>
      </c>
      <c r="B48" s="3">
        <v>46087</v>
      </c>
      <c r="C48" s="2" t="s">
        <v>119</v>
      </c>
      <c r="D48" s="2" t="s">
        <v>15</v>
      </c>
      <c r="E48" s="2" t="s">
        <v>38</v>
      </c>
      <c r="F48" s="2" t="s">
        <v>17</v>
      </c>
      <c r="G48" s="2" t="s">
        <v>24</v>
      </c>
      <c r="H48" s="2" t="s">
        <v>25</v>
      </c>
      <c r="I48" s="2" t="s">
        <v>45</v>
      </c>
      <c r="J48" s="4">
        <v>3</v>
      </c>
      <c r="K48" s="5">
        <v>127.52</v>
      </c>
      <c r="L48" s="6">
        <v>0</v>
      </c>
      <c r="M48" s="5">
        <v>382.56</v>
      </c>
      <c r="P48" t="str">
        <f>TEXT(Tableau2[[#This Row],[Date]],"mmmm aaaa")</f>
        <v>mars 2026</v>
      </c>
    </row>
    <row r="49" spans="1:16">
      <c r="A49" s="2" t="s">
        <v>120</v>
      </c>
      <c r="B49" s="3">
        <v>46192</v>
      </c>
      <c r="C49" s="2" t="s">
        <v>86</v>
      </c>
      <c r="D49" s="2" t="s">
        <v>53</v>
      </c>
      <c r="E49" s="2" t="s">
        <v>34</v>
      </c>
      <c r="F49" s="2" t="s">
        <v>28</v>
      </c>
      <c r="G49" s="2" t="s">
        <v>24</v>
      </c>
      <c r="H49" s="2" t="s">
        <v>25</v>
      </c>
      <c r="I49" s="2" t="s">
        <v>26</v>
      </c>
      <c r="J49" s="4">
        <v>1</v>
      </c>
      <c r="K49" s="5">
        <v>129.55000000000001</v>
      </c>
      <c r="L49" s="6">
        <v>0</v>
      </c>
      <c r="M49" s="5">
        <v>129.55000000000001</v>
      </c>
      <c r="P49" t="str">
        <f>TEXT(Tableau2[[#This Row],[Date]],"mmmm aaaa")</f>
        <v>juin 2026</v>
      </c>
    </row>
    <row r="50" spans="1:16">
      <c r="A50" s="2" t="s">
        <v>121</v>
      </c>
      <c r="B50" s="3">
        <v>46328</v>
      </c>
      <c r="C50" s="2" t="s">
        <v>14</v>
      </c>
      <c r="D50" s="2" t="s">
        <v>15</v>
      </c>
      <c r="E50" s="2" t="s">
        <v>16</v>
      </c>
      <c r="F50" s="2" t="s">
        <v>28</v>
      </c>
      <c r="G50" s="2" t="s">
        <v>24</v>
      </c>
      <c r="H50" s="2" t="s">
        <v>82</v>
      </c>
      <c r="I50" s="2" t="s">
        <v>41</v>
      </c>
      <c r="J50" s="4">
        <v>6</v>
      </c>
      <c r="K50" s="5">
        <v>310.39999999999998</v>
      </c>
      <c r="L50" s="6">
        <v>0</v>
      </c>
      <c r="M50" s="5">
        <v>1862.4</v>
      </c>
      <c r="P50" t="str">
        <f>TEXT(Tableau2[[#This Row],[Date]],"mmmm aaaa")</f>
        <v>novembre 2026</v>
      </c>
    </row>
    <row r="51" spans="1:16">
      <c r="A51" s="2" t="s">
        <v>122</v>
      </c>
      <c r="B51" s="3">
        <v>46127</v>
      </c>
      <c r="C51" s="2" t="s">
        <v>123</v>
      </c>
      <c r="D51" s="2" t="s">
        <v>53</v>
      </c>
      <c r="E51" s="2" t="s">
        <v>34</v>
      </c>
      <c r="F51" s="2" t="s">
        <v>17</v>
      </c>
      <c r="G51" s="2" t="s">
        <v>54</v>
      </c>
      <c r="H51" s="2" t="s">
        <v>102</v>
      </c>
      <c r="I51" s="2" t="s">
        <v>45</v>
      </c>
      <c r="J51" s="4">
        <v>1</v>
      </c>
      <c r="K51" s="5">
        <v>202.77</v>
      </c>
      <c r="L51" s="6">
        <v>0</v>
      </c>
      <c r="M51" s="5">
        <v>202.77</v>
      </c>
      <c r="P51" t="str">
        <f>TEXT(Tableau2[[#This Row],[Date]],"mmmm aaaa")</f>
        <v>avril 2026</v>
      </c>
    </row>
    <row r="52" spans="1:16">
      <c r="A52" s="2" t="s">
        <v>124</v>
      </c>
      <c r="B52" s="3">
        <v>46120</v>
      </c>
      <c r="C52" s="2" t="s">
        <v>125</v>
      </c>
      <c r="D52" s="2" t="s">
        <v>23</v>
      </c>
      <c r="E52" s="2" t="s">
        <v>34</v>
      </c>
      <c r="F52" s="2" t="s">
        <v>17</v>
      </c>
      <c r="G52" s="2" t="s">
        <v>29</v>
      </c>
      <c r="H52" s="2" t="s">
        <v>99</v>
      </c>
      <c r="I52" s="2" t="s">
        <v>26</v>
      </c>
      <c r="J52" s="4">
        <v>3</v>
      </c>
      <c r="K52" s="5">
        <v>58.23</v>
      </c>
      <c r="L52" s="6">
        <v>0</v>
      </c>
      <c r="M52" s="5">
        <v>174.69</v>
      </c>
      <c r="P52" t="str">
        <f>TEXT(Tableau2[[#This Row],[Date]],"mmmm aaaa")</f>
        <v>avril 2026</v>
      </c>
    </row>
    <row r="53" spans="1:16">
      <c r="A53" s="2" t="s">
        <v>126</v>
      </c>
      <c r="B53" s="3">
        <v>46264</v>
      </c>
      <c r="C53" s="2" t="s">
        <v>22</v>
      </c>
      <c r="D53" s="2" t="s">
        <v>23</v>
      </c>
      <c r="E53" s="2" t="s">
        <v>16</v>
      </c>
      <c r="F53" s="2" t="s">
        <v>28</v>
      </c>
      <c r="G53" s="2" t="s">
        <v>29</v>
      </c>
      <c r="H53" s="2" t="s">
        <v>44</v>
      </c>
      <c r="I53" s="2" t="s">
        <v>26</v>
      </c>
      <c r="J53" s="4">
        <v>5</v>
      </c>
      <c r="K53" s="5">
        <v>36.369999999999997</v>
      </c>
      <c r="L53" s="6">
        <v>0</v>
      </c>
      <c r="M53" s="5">
        <v>181.85</v>
      </c>
      <c r="P53" t="str">
        <f>TEXT(Tableau2[[#This Row],[Date]],"mmmm aaaa")</f>
        <v>août 2026</v>
      </c>
    </row>
    <row r="54" spans="1:16">
      <c r="A54" s="2" t="s">
        <v>127</v>
      </c>
      <c r="B54" s="3">
        <v>46296</v>
      </c>
      <c r="C54" s="2" t="s">
        <v>101</v>
      </c>
      <c r="D54" s="2" t="s">
        <v>33</v>
      </c>
      <c r="E54" s="2" t="s">
        <v>38</v>
      </c>
      <c r="F54" s="2" t="s">
        <v>28</v>
      </c>
      <c r="G54" s="2" t="s">
        <v>18</v>
      </c>
      <c r="H54" s="2" t="s">
        <v>19</v>
      </c>
      <c r="I54" s="2" t="s">
        <v>20</v>
      </c>
      <c r="J54" s="4">
        <v>2</v>
      </c>
      <c r="K54" s="5">
        <v>50.93</v>
      </c>
      <c r="L54" s="6">
        <v>0</v>
      </c>
      <c r="M54" s="5">
        <v>101.86</v>
      </c>
      <c r="P54" t="str">
        <f>TEXT(Tableau2[[#This Row],[Date]],"mmmm aaaa")</f>
        <v>octobre 2026</v>
      </c>
    </row>
    <row r="55" spans="1:16">
      <c r="A55" s="2" t="s">
        <v>128</v>
      </c>
      <c r="B55" s="3">
        <v>46041</v>
      </c>
      <c r="C55" s="2" t="s">
        <v>63</v>
      </c>
      <c r="D55" s="2" t="s">
        <v>33</v>
      </c>
      <c r="E55" s="2" t="s">
        <v>43</v>
      </c>
      <c r="F55" s="2" t="s">
        <v>17</v>
      </c>
      <c r="G55" s="2" t="s">
        <v>24</v>
      </c>
      <c r="H55" s="2" t="s">
        <v>82</v>
      </c>
      <c r="I55" s="2" t="s">
        <v>45</v>
      </c>
      <c r="J55" s="4">
        <v>1</v>
      </c>
      <c r="K55" s="5">
        <v>316.77</v>
      </c>
      <c r="L55" s="6">
        <v>0</v>
      </c>
      <c r="M55" s="5">
        <v>316.77</v>
      </c>
      <c r="P55" t="str">
        <f>TEXT(Tableau2[[#This Row],[Date]],"mmmm aaaa")</f>
        <v>janvier 2026</v>
      </c>
    </row>
    <row r="56" spans="1:16">
      <c r="A56" s="2" t="s">
        <v>129</v>
      </c>
      <c r="B56" s="3">
        <v>46242</v>
      </c>
      <c r="C56" s="2" t="s">
        <v>130</v>
      </c>
      <c r="D56" s="2" t="s">
        <v>53</v>
      </c>
      <c r="E56" s="2" t="s">
        <v>16</v>
      </c>
      <c r="F56" s="2" t="s">
        <v>17</v>
      </c>
      <c r="G56" s="2" t="s">
        <v>29</v>
      </c>
      <c r="H56" s="2" t="s">
        <v>99</v>
      </c>
      <c r="I56" s="2" t="s">
        <v>26</v>
      </c>
      <c r="J56" s="4">
        <v>2</v>
      </c>
      <c r="K56" s="5">
        <v>63.06</v>
      </c>
      <c r="L56" s="6">
        <v>0.15</v>
      </c>
      <c r="M56" s="5">
        <v>107.2</v>
      </c>
      <c r="P56" t="str">
        <f>TEXT(Tableau2[[#This Row],[Date]],"mmmm aaaa")</f>
        <v>août 2026</v>
      </c>
    </row>
    <row r="57" spans="1:16">
      <c r="A57" s="2" t="s">
        <v>131</v>
      </c>
      <c r="B57" s="3">
        <v>46214</v>
      </c>
      <c r="C57" s="2" t="s">
        <v>106</v>
      </c>
      <c r="D57" s="2" t="s">
        <v>23</v>
      </c>
      <c r="E57" s="2" t="s">
        <v>43</v>
      </c>
      <c r="F57" s="2" t="s">
        <v>17</v>
      </c>
      <c r="G57" s="2" t="s">
        <v>24</v>
      </c>
      <c r="H57" s="2" t="s">
        <v>61</v>
      </c>
      <c r="I57" s="2" t="s">
        <v>41</v>
      </c>
      <c r="J57" s="4">
        <v>5</v>
      </c>
      <c r="K57" s="5">
        <v>236.7</v>
      </c>
      <c r="L57" s="6">
        <v>0</v>
      </c>
      <c r="M57" s="5">
        <v>1183.5</v>
      </c>
      <c r="P57" t="str">
        <f>TEXT(Tableau2[[#This Row],[Date]],"mmmm aaaa")</f>
        <v>juillet 2026</v>
      </c>
    </row>
    <row r="58" spans="1:16">
      <c r="A58" s="2" t="s">
        <v>132</v>
      </c>
      <c r="B58" s="3">
        <v>46274</v>
      </c>
      <c r="C58" s="2" t="s">
        <v>63</v>
      </c>
      <c r="D58" s="2" t="s">
        <v>33</v>
      </c>
      <c r="E58" s="2" t="s">
        <v>16</v>
      </c>
      <c r="F58" s="2" t="s">
        <v>17</v>
      </c>
      <c r="G58" s="2" t="s">
        <v>29</v>
      </c>
      <c r="H58" s="2" t="s">
        <v>30</v>
      </c>
      <c r="I58" s="2" t="s">
        <v>50</v>
      </c>
      <c r="J58" s="4">
        <v>3</v>
      </c>
      <c r="K58" s="5">
        <v>27</v>
      </c>
      <c r="L58" s="6">
        <v>0</v>
      </c>
      <c r="M58" s="5">
        <v>81</v>
      </c>
      <c r="P58" t="str">
        <f>TEXT(Tableau2[[#This Row],[Date]],"mmmm aaaa")</f>
        <v>septembre 2026</v>
      </c>
    </row>
    <row r="59" spans="1:16">
      <c r="A59" s="2" t="s">
        <v>133</v>
      </c>
      <c r="B59" s="3">
        <v>46066</v>
      </c>
      <c r="C59" s="2" t="s">
        <v>134</v>
      </c>
      <c r="D59" s="2" t="s">
        <v>15</v>
      </c>
      <c r="E59" s="2" t="s">
        <v>34</v>
      </c>
      <c r="F59" s="2" t="s">
        <v>17</v>
      </c>
      <c r="G59" s="2" t="s">
        <v>48</v>
      </c>
      <c r="H59" s="2" t="s">
        <v>49</v>
      </c>
      <c r="I59" s="2" t="s">
        <v>50</v>
      </c>
      <c r="J59" s="4">
        <v>5</v>
      </c>
      <c r="K59" s="5">
        <v>57.42</v>
      </c>
      <c r="L59" s="6">
        <v>0.3</v>
      </c>
      <c r="M59" s="5">
        <v>200.97</v>
      </c>
      <c r="P59" t="str">
        <f>TEXT(Tableau2[[#This Row],[Date]],"mmmm aaaa")</f>
        <v>février 2026</v>
      </c>
    </row>
    <row r="60" spans="1:16">
      <c r="A60" s="2" t="s">
        <v>135</v>
      </c>
      <c r="B60" s="3">
        <v>46369</v>
      </c>
      <c r="C60" s="2" t="s">
        <v>92</v>
      </c>
      <c r="D60" s="2" t="s">
        <v>53</v>
      </c>
      <c r="E60" s="2" t="s">
        <v>38</v>
      </c>
      <c r="F60" s="2" t="s">
        <v>17</v>
      </c>
      <c r="G60" s="2" t="s">
        <v>18</v>
      </c>
      <c r="H60" s="2" t="s">
        <v>136</v>
      </c>
      <c r="I60" s="2" t="s">
        <v>20</v>
      </c>
      <c r="J60" s="4">
        <v>5</v>
      </c>
      <c r="K60" s="5">
        <v>31.91</v>
      </c>
      <c r="L60" s="6">
        <v>0</v>
      </c>
      <c r="M60" s="5">
        <v>159.55000000000001</v>
      </c>
      <c r="P60" t="str">
        <f>TEXT(Tableau2[[#This Row],[Date]],"mmmm aaaa")</f>
        <v>décembre 2026</v>
      </c>
    </row>
    <row r="61" spans="1:16">
      <c r="A61" s="2" t="s">
        <v>137</v>
      </c>
      <c r="B61" s="3">
        <v>46093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24</v>
      </c>
      <c r="H61" s="2" t="s">
        <v>61</v>
      </c>
      <c r="I61" s="2" t="s">
        <v>45</v>
      </c>
      <c r="J61" s="4">
        <v>3</v>
      </c>
      <c r="K61" s="5">
        <v>256.77</v>
      </c>
      <c r="L61" s="6">
        <v>0</v>
      </c>
      <c r="M61" s="5">
        <v>770.31</v>
      </c>
      <c r="P61" t="str">
        <f>TEXT(Tableau2[[#This Row],[Date]],"mmmm aaaa")</f>
        <v>mars 2026</v>
      </c>
    </row>
    <row r="62" spans="1:16">
      <c r="A62" s="2" t="s">
        <v>138</v>
      </c>
      <c r="B62" s="3">
        <v>46328</v>
      </c>
      <c r="C62" s="2" t="s">
        <v>22</v>
      </c>
      <c r="D62" s="2" t="s">
        <v>23</v>
      </c>
      <c r="E62" s="2" t="s">
        <v>43</v>
      </c>
      <c r="F62" s="2" t="s">
        <v>17</v>
      </c>
      <c r="G62" s="2" t="s">
        <v>29</v>
      </c>
      <c r="H62" s="2" t="s">
        <v>30</v>
      </c>
      <c r="I62" s="2" t="s">
        <v>50</v>
      </c>
      <c r="J62" s="4">
        <v>1</v>
      </c>
      <c r="K62" s="5">
        <v>26.27</v>
      </c>
      <c r="L62" s="6">
        <v>0.05</v>
      </c>
      <c r="M62" s="5">
        <v>24.96</v>
      </c>
      <c r="P62" t="str">
        <f>TEXT(Tableau2[[#This Row],[Date]],"mmmm aaaa")</f>
        <v>novembre 2026</v>
      </c>
    </row>
    <row r="63" spans="1:16">
      <c r="A63" s="2" t="s">
        <v>139</v>
      </c>
      <c r="B63" s="3">
        <v>46217</v>
      </c>
      <c r="C63" s="2" t="s">
        <v>57</v>
      </c>
      <c r="D63" s="2" t="s">
        <v>15</v>
      </c>
      <c r="E63" s="2" t="s">
        <v>16</v>
      </c>
      <c r="F63" s="2" t="s">
        <v>17</v>
      </c>
      <c r="G63" s="2" t="s">
        <v>29</v>
      </c>
      <c r="H63" s="2" t="s">
        <v>140</v>
      </c>
      <c r="I63" s="2" t="s">
        <v>20</v>
      </c>
      <c r="J63" s="4">
        <v>7</v>
      </c>
      <c r="K63" s="5">
        <v>45.62</v>
      </c>
      <c r="L63" s="6">
        <v>0</v>
      </c>
      <c r="M63" s="5">
        <v>319.33999999999997</v>
      </c>
      <c r="P63" t="str">
        <f>TEXT(Tableau2[[#This Row],[Date]],"mmmm aaaa")</f>
        <v>juillet 2026</v>
      </c>
    </row>
    <row r="64" spans="1:16">
      <c r="A64" s="2" t="s">
        <v>141</v>
      </c>
      <c r="B64" s="3">
        <v>46296</v>
      </c>
      <c r="C64" s="2" t="s">
        <v>116</v>
      </c>
      <c r="D64" s="2" t="s">
        <v>15</v>
      </c>
      <c r="E64" s="2" t="s">
        <v>16</v>
      </c>
      <c r="F64" s="2" t="s">
        <v>17</v>
      </c>
      <c r="G64" s="2" t="s">
        <v>24</v>
      </c>
      <c r="H64" s="2" t="s">
        <v>25</v>
      </c>
      <c r="I64" s="2" t="s">
        <v>36</v>
      </c>
      <c r="J64" s="4">
        <v>1</v>
      </c>
      <c r="K64" s="5">
        <v>132.80000000000001</v>
      </c>
      <c r="L64" s="6">
        <v>0</v>
      </c>
      <c r="M64" s="5">
        <v>132.80000000000001</v>
      </c>
      <c r="P64" t="str">
        <f>TEXT(Tableau2[[#This Row],[Date]],"mmmm aaaa")</f>
        <v>octobre 2026</v>
      </c>
    </row>
    <row r="65" spans="1:16">
      <c r="A65" s="2" t="s">
        <v>142</v>
      </c>
      <c r="B65" s="3">
        <v>46106</v>
      </c>
      <c r="C65" s="2" t="s">
        <v>86</v>
      </c>
      <c r="D65" s="2" t="s">
        <v>53</v>
      </c>
      <c r="E65" s="2" t="s">
        <v>16</v>
      </c>
      <c r="F65" s="2" t="s">
        <v>28</v>
      </c>
      <c r="G65" s="2" t="s">
        <v>18</v>
      </c>
      <c r="H65" s="2" t="s">
        <v>143</v>
      </c>
      <c r="I65" s="2" t="s">
        <v>75</v>
      </c>
      <c r="J65" s="4">
        <v>5</v>
      </c>
      <c r="K65" s="5">
        <v>69.36</v>
      </c>
      <c r="L65" s="6">
        <v>0.1</v>
      </c>
      <c r="M65" s="5">
        <v>312.12</v>
      </c>
      <c r="P65" t="str">
        <f>TEXT(Tableau2[[#This Row],[Date]],"mmmm aaaa")</f>
        <v>mars 2026</v>
      </c>
    </row>
    <row r="66" spans="1:16">
      <c r="A66" s="2" t="s">
        <v>144</v>
      </c>
      <c r="B66" s="3">
        <v>46100</v>
      </c>
      <c r="C66" s="2" t="s">
        <v>123</v>
      </c>
      <c r="D66" s="2" t="s">
        <v>53</v>
      </c>
      <c r="E66" s="2" t="s">
        <v>16</v>
      </c>
      <c r="F66" s="2" t="s">
        <v>17</v>
      </c>
      <c r="G66" s="2" t="s">
        <v>18</v>
      </c>
      <c r="H66" s="2" t="s">
        <v>136</v>
      </c>
      <c r="I66" s="2" t="s">
        <v>20</v>
      </c>
      <c r="J66" s="4">
        <v>3</v>
      </c>
      <c r="K66" s="5">
        <v>30.82</v>
      </c>
      <c r="L66" s="6">
        <v>0.15</v>
      </c>
      <c r="M66" s="5">
        <v>78.59</v>
      </c>
      <c r="P66" t="str">
        <f>TEXT(Tableau2[[#This Row],[Date]],"mmmm aaaa")</f>
        <v>mars 2026</v>
      </c>
    </row>
    <row r="67" spans="1:16">
      <c r="A67" s="2" t="s">
        <v>145</v>
      </c>
      <c r="B67" s="3">
        <v>46025</v>
      </c>
      <c r="C67" s="2" t="s">
        <v>94</v>
      </c>
      <c r="D67" s="2" t="s">
        <v>15</v>
      </c>
      <c r="E67" s="2" t="s">
        <v>34</v>
      </c>
      <c r="F67" s="2" t="s">
        <v>28</v>
      </c>
      <c r="G67" s="2" t="s">
        <v>18</v>
      </c>
      <c r="H67" s="2" t="s">
        <v>143</v>
      </c>
      <c r="I67" s="2" t="s">
        <v>26</v>
      </c>
      <c r="J67" s="4">
        <v>1</v>
      </c>
      <c r="K67" s="5">
        <v>66.87</v>
      </c>
      <c r="L67" s="6">
        <v>0</v>
      </c>
      <c r="M67" s="5">
        <v>66.87</v>
      </c>
      <c r="P67" t="str">
        <f>TEXT(Tableau2[[#This Row],[Date]],"mmmm aaaa")</f>
        <v>janvier 2026</v>
      </c>
    </row>
    <row r="68" spans="1:16">
      <c r="A68" s="2" t="s">
        <v>146</v>
      </c>
      <c r="B68" s="3">
        <v>46215</v>
      </c>
      <c r="C68" s="2" t="s">
        <v>130</v>
      </c>
      <c r="D68" s="2" t="s">
        <v>53</v>
      </c>
      <c r="E68" s="2" t="s">
        <v>34</v>
      </c>
      <c r="F68" s="2" t="s">
        <v>17</v>
      </c>
      <c r="G68" s="2" t="s">
        <v>48</v>
      </c>
      <c r="H68" s="2" t="s">
        <v>77</v>
      </c>
      <c r="I68" s="2" t="s">
        <v>58</v>
      </c>
      <c r="J68" s="4">
        <v>1</v>
      </c>
      <c r="K68" s="5">
        <v>90.62</v>
      </c>
      <c r="L68" s="6">
        <v>0</v>
      </c>
      <c r="M68" s="5">
        <v>90.62</v>
      </c>
      <c r="P68" t="str">
        <f>TEXT(Tableau2[[#This Row],[Date]],"mmmm aaaa")</f>
        <v>juillet 2026</v>
      </c>
    </row>
    <row r="69" spans="1:16">
      <c r="A69" s="2" t="s">
        <v>147</v>
      </c>
      <c r="B69" s="3">
        <v>46145</v>
      </c>
      <c r="C69" s="2" t="s">
        <v>63</v>
      </c>
      <c r="D69" s="2" t="s">
        <v>33</v>
      </c>
      <c r="E69" s="2" t="s">
        <v>38</v>
      </c>
      <c r="F69" s="2" t="s">
        <v>28</v>
      </c>
      <c r="G69" s="2" t="s">
        <v>29</v>
      </c>
      <c r="H69" s="2" t="s">
        <v>30</v>
      </c>
      <c r="I69" s="2" t="s">
        <v>58</v>
      </c>
      <c r="J69" s="4">
        <v>3</v>
      </c>
      <c r="K69" s="5">
        <v>25.75</v>
      </c>
      <c r="L69" s="6">
        <v>0</v>
      </c>
      <c r="M69" s="5">
        <v>77.25</v>
      </c>
      <c r="P69" t="str">
        <f>TEXT(Tableau2[[#This Row],[Date]],"mmmm aaaa")</f>
        <v>mai 2026</v>
      </c>
    </row>
    <row r="70" spans="1:16">
      <c r="A70" s="2" t="s">
        <v>148</v>
      </c>
      <c r="B70" s="3">
        <v>46024</v>
      </c>
      <c r="C70" s="2" t="s">
        <v>22</v>
      </c>
      <c r="D70" s="2" t="s">
        <v>23</v>
      </c>
      <c r="E70" s="2" t="s">
        <v>16</v>
      </c>
      <c r="F70" s="2" t="s">
        <v>28</v>
      </c>
      <c r="G70" s="2" t="s">
        <v>39</v>
      </c>
      <c r="H70" s="2" t="s">
        <v>71</v>
      </c>
      <c r="I70" s="2" t="s">
        <v>45</v>
      </c>
      <c r="J70" s="4">
        <v>1</v>
      </c>
      <c r="K70" s="5">
        <v>119.12</v>
      </c>
      <c r="L70" s="6">
        <v>0</v>
      </c>
      <c r="M70" s="5">
        <v>119.12</v>
      </c>
      <c r="P70" t="str">
        <f>TEXT(Tableau2[[#This Row],[Date]],"mmmm aaaa")</f>
        <v>janvier 2026</v>
      </c>
    </row>
    <row r="71" spans="1:16">
      <c r="A71" s="2" t="s">
        <v>149</v>
      </c>
      <c r="B71" s="3">
        <v>46367</v>
      </c>
      <c r="C71" s="2" t="s">
        <v>52</v>
      </c>
      <c r="D71" s="2" t="s">
        <v>53</v>
      </c>
      <c r="E71" s="2" t="s">
        <v>34</v>
      </c>
      <c r="F71" s="2" t="s">
        <v>28</v>
      </c>
      <c r="G71" s="2" t="s">
        <v>54</v>
      </c>
      <c r="H71" s="2" t="s">
        <v>55</v>
      </c>
      <c r="I71" s="2" t="s">
        <v>50</v>
      </c>
      <c r="J71" s="4">
        <v>2</v>
      </c>
      <c r="K71" s="5">
        <v>153.79</v>
      </c>
      <c r="L71" s="6">
        <v>0</v>
      </c>
      <c r="M71" s="5">
        <v>307.58</v>
      </c>
      <c r="P71" t="str">
        <f>TEXT(Tableau2[[#This Row],[Date]],"mmmm aaaa")</f>
        <v>décembre 2026</v>
      </c>
    </row>
    <row r="72" spans="1:16">
      <c r="A72" s="2" t="s">
        <v>150</v>
      </c>
      <c r="B72" s="3">
        <v>46288</v>
      </c>
      <c r="C72" s="2" t="s">
        <v>151</v>
      </c>
      <c r="D72" s="2" t="s">
        <v>15</v>
      </c>
      <c r="E72" s="2" t="s">
        <v>43</v>
      </c>
      <c r="F72" s="2" t="s">
        <v>28</v>
      </c>
      <c r="G72" s="2" t="s">
        <v>39</v>
      </c>
      <c r="H72" s="2" t="s">
        <v>40</v>
      </c>
      <c r="I72" s="2" t="s">
        <v>45</v>
      </c>
      <c r="J72" s="4">
        <v>4</v>
      </c>
      <c r="K72" s="5">
        <v>131.56</v>
      </c>
      <c r="L72" s="6">
        <v>0</v>
      </c>
      <c r="M72" s="5">
        <v>526.24</v>
      </c>
      <c r="P72" t="str">
        <f>TEXT(Tableau2[[#This Row],[Date]],"mmmm aaaa")</f>
        <v>septembre 2026</v>
      </c>
    </row>
    <row r="73" spans="1:16">
      <c r="A73" s="2" t="s">
        <v>152</v>
      </c>
      <c r="B73" s="3">
        <v>46058</v>
      </c>
      <c r="C73" s="2" t="s">
        <v>94</v>
      </c>
      <c r="D73" s="2" t="s">
        <v>15</v>
      </c>
      <c r="E73" s="2" t="s">
        <v>16</v>
      </c>
      <c r="F73" s="2" t="s">
        <v>28</v>
      </c>
      <c r="G73" s="2" t="s">
        <v>54</v>
      </c>
      <c r="H73" s="2" t="s">
        <v>102</v>
      </c>
      <c r="I73" s="2" t="s">
        <v>50</v>
      </c>
      <c r="J73" s="4">
        <v>2</v>
      </c>
      <c r="K73" s="5">
        <v>219.82</v>
      </c>
      <c r="L73" s="6">
        <v>0</v>
      </c>
      <c r="M73" s="5">
        <v>439.64</v>
      </c>
      <c r="P73" t="str">
        <f>TEXT(Tableau2[[#This Row],[Date]],"mmmm aaaa")</f>
        <v>février 2026</v>
      </c>
    </row>
    <row r="74" spans="1:16">
      <c r="A74" s="2" t="s">
        <v>153</v>
      </c>
      <c r="B74" s="3">
        <v>46069</v>
      </c>
      <c r="C74" s="2" t="s">
        <v>57</v>
      </c>
      <c r="D74" s="2" t="s">
        <v>15</v>
      </c>
      <c r="E74" s="2" t="s">
        <v>43</v>
      </c>
      <c r="F74" s="2" t="s">
        <v>17</v>
      </c>
      <c r="G74" s="2" t="s">
        <v>54</v>
      </c>
      <c r="H74" s="2" t="s">
        <v>102</v>
      </c>
      <c r="I74" s="2" t="s">
        <v>45</v>
      </c>
      <c r="J74" s="4">
        <v>1</v>
      </c>
      <c r="K74" s="5">
        <v>219.4</v>
      </c>
      <c r="L74" s="6">
        <v>0</v>
      </c>
      <c r="M74" s="5">
        <v>219.4</v>
      </c>
      <c r="P74" t="str">
        <f>TEXT(Tableau2[[#This Row],[Date]],"mmmm aaaa")</f>
        <v>février 2026</v>
      </c>
    </row>
    <row r="75" spans="1:16">
      <c r="A75" s="2" t="s">
        <v>154</v>
      </c>
      <c r="B75" s="3">
        <v>46256</v>
      </c>
      <c r="C75" s="2" t="s">
        <v>151</v>
      </c>
      <c r="D75" s="2" t="s">
        <v>15</v>
      </c>
      <c r="E75" s="2" t="s">
        <v>16</v>
      </c>
      <c r="F75" s="2" t="s">
        <v>17</v>
      </c>
      <c r="G75" s="2" t="s">
        <v>48</v>
      </c>
      <c r="H75" s="2" t="s">
        <v>84</v>
      </c>
      <c r="I75" s="2" t="s">
        <v>20</v>
      </c>
      <c r="J75" s="4">
        <v>1</v>
      </c>
      <c r="K75" s="5">
        <v>88.74</v>
      </c>
      <c r="L75" s="6">
        <v>0</v>
      </c>
      <c r="M75" s="5">
        <v>88.74</v>
      </c>
      <c r="P75" t="str">
        <f>TEXT(Tableau2[[#This Row],[Date]],"mmmm aaaa")</f>
        <v>août 2026</v>
      </c>
    </row>
    <row r="76" spans="1:16">
      <c r="A76" s="2" t="s">
        <v>155</v>
      </c>
      <c r="B76" s="3">
        <v>46201</v>
      </c>
      <c r="C76" s="2" t="s">
        <v>156</v>
      </c>
      <c r="D76" s="2" t="s">
        <v>15</v>
      </c>
      <c r="E76" s="2" t="s">
        <v>34</v>
      </c>
      <c r="F76" s="2" t="s">
        <v>28</v>
      </c>
      <c r="G76" s="2" t="s">
        <v>18</v>
      </c>
      <c r="H76" s="2" t="s">
        <v>136</v>
      </c>
      <c r="I76" s="2" t="s">
        <v>41</v>
      </c>
      <c r="J76" s="4">
        <v>2</v>
      </c>
      <c r="K76" s="5">
        <v>30.59</v>
      </c>
      <c r="L76" s="6">
        <v>0.1</v>
      </c>
      <c r="M76" s="5">
        <v>55.06</v>
      </c>
      <c r="P76" t="str">
        <f>TEXT(Tableau2[[#This Row],[Date]],"mmmm aaaa")</f>
        <v>juin 2026</v>
      </c>
    </row>
    <row r="77" spans="1:16">
      <c r="A77" s="2" t="s">
        <v>157</v>
      </c>
      <c r="B77" s="3">
        <v>46314</v>
      </c>
      <c r="C77" s="2" t="s">
        <v>22</v>
      </c>
      <c r="D77" s="2" t="s">
        <v>23</v>
      </c>
      <c r="E77" s="2" t="s">
        <v>34</v>
      </c>
      <c r="F77" s="2" t="s">
        <v>28</v>
      </c>
      <c r="G77" s="2" t="s">
        <v>18</v>
      </c>
      <c r="H77" s="2" t="s">
        <v>158</v>
      </c>
      <c r="I77" s="2" t="s">
        <v>58</v>
      </c>
      <c r="J77" s="4">
        <v>8</v>
      </c>
      <c r="K77" s="5">
        <v>46.85</v>
      </c>
      <c r="L77" s="6">
        <v>0.2</v>
      </c>
      <c r="M77" s="5">
        <v>299.83999999999997</v>
      </c>
      <c r="P77" t="str">
        <f>TEXT(Tableau2[[#This Row],[Date]],"mmmm aaaa")</f>
        <v>octobre 2026</v>
      </c>
    </row>
    <row r="78" spans="1:16">
      <c r="A78" s="2" t="s">
        <v>159</v>
      </c>
      <c r="B78" s="3">
        <v>46287</v>
      </c>
      <c r="C78" s="2" t="s">
        <v>160</v>
      </c>
      <c r="D78" s="2" t="s">
        <v>33</v>
      </c>
      <c r="E78" s="2" t="s">
        <v>16</v>
      </c>
      <c r="F78" s="2" t="s">
        <v>17</v>
      </c>
      <c r="G78" s="2" t="s">
        <v>18</v>
      </c>
      <c r="H78" s="2" t="s">
        <v>158</v>
      </c>
      <c r="I78" s="2" t="s">
        <v>50</v>
      </c>
      <c r="J78" s="4">
        <v>4</v>
      </c>
      <c r="K78" s="5">
        <v>44.71</v>
      </c>
      <c r="L78" s="6">
        <v>0</v>
      </c>
      <c r="M78" s="5">
        <v>178.84</v>
      </c>
      <c r="P78" t="str">
        <f>TEXT(Tableau2[[#This Row],[Date]],"mmmm aaaa")</f>
        <v>septembre 2026</v>
      </c>
    </row>
    <row r="79" spans="1:16">
      <c r="A79" s="2" t="s">
        <v>161</v>
      </c>
      <c r="B79" s="3">
        <v>46097</v>
      </c>
      <c r="C79" s="2" t="s">
        <v>90</v>
      </c>
      <c r="D79" s="2" t="s">
        <v>53</v>
      </c>
      <c r="E79" s="2" t="s">
        <v>16</v>
      </c>
      <c r="F79" s="2" t="s">
        <v>17</v>
      </c>
      <c r="G79" s="2" t="s">
        <v>24</v>
      </c>
      <c r="H79" s="2" t="s">
        <v>25</v>
      </c>
      <c r="I79" s="2" t="s">
        <v>26</v>
      </c>
      <c r="J79" s="4">
        <v>2</v>
      </c>
      <c r="K79" s="5">
        <v>130.62</v>
      </c>
      <c r="L79" s="6">
        <v>0</v>
      </c>
      <c r="M79" s="5">
        <v>261.24</v>
      </c>
      <c r="P79" t="str">
        <f>TEXT(Tableau2[[#This Row],[Date]],"mmmm aaaa")</f>
        <v>mars 2026</v>
      </c>
    </row>
    <row r="80" spans="1:16">
      <c r="A80" s="2" t="s">
        <v>162</v>
      </c>
      <c r="B80" s="3">
        <v>46075</v>
      </c>
      <c r="C80" s="2" t="s">
        <v>22</v>
      </c>
      <c r="D80" s="2" t="s">
        <v>23</v>
      </c>
      <c r="E80" s="2" t="s">
        <v>16</v>
      </c>
      <c r="F80" s="2" t="s">
        <v>17</v>
      </c>
      <c r="G80" s="2" t="s">
        <v>24</v>
      </c>
      <c r="H80" s="2" t="s">
        <v>61</v>
      </c>
      <c r="I80" s="2" t="s">
        <v>36</v>
      </c>
      <c r="J80" s="4">
        <v>1</v>
      </c>
      <c r="K80" s="5">
        <v>237.79</v>
      </c>
      <c r="L80" s="6">
        <v>0.1</v>
      </c>
      <c r="M80" s="5">
        <v>214.01</v>
      </c>
      <c r="P80" t="str">
        <f>TEXT(Tableau2[[#This Row],[Date]],"mmmm aaaa")</f>
        <v>février 2026</v>
      </c>
    </row>
    <row r="81" spans="1:16">
      <c r="A81" s="2" t="s">
        <v>163</v>
      </c>
      <c r="B81" s="3">
        <v>46027</v>
      </c>
      <c r="C81" s="2" t="s">
        <v>164</v>
      </c>
      <c r="D81" s="2" t="s">
        <v>53</v>
      </c>
      <c r="E81" s="2" t="s">
        <v>16</v>
      </c>
      <c r="F81" s="2" t="s">
        <v>17</v>
      </c>
      <c r="G81" s="2" t="s">
        <v>48</v>
      </c>
      <c r="H81" s="2" t="s">
        <v>84</v>
      </c>
      <c r="I81" s="2" t="s">
        <v>20</v>
      </c>
      <c r="J81" s="4">
        <v>1</v>
      </c>
      <c r="K81" s="5">
        <v>97.02</v>
      </c>
      <c r="L81" s="6">
        <v>0</v>
      </c>
      <c r="M81" s="5">
        <v>97.02</v>
      </c>
      <c r="P81" t="str">
        <f>TEXT(Tableau2[[#This Row],[Date]],"mmmm aaaa")</f>
        <v>janvier 2026</v>
      </c>
    </row>
    <row r="82" spans="1:16">
      <c r="A82" s="2" t="s">
        <v>165</v>
      </c>
      <c r="B82" s="3">
        <v>46367</v>
      </c>
      <c r="C82" s="2" t="s">
        <v>47</v>
      </c>
      <c r="D82" s="2" t="s">
        <v>15</v>
      </c>
      <c r="E82" s="2" t="s">
        <v>43</v>
      </c>
      <c r="F82" s="2" t="s">
        <v>17</v>
      </c>
      <c r="G82" s="2" t="s">
        <v>48</v>
      </c>
      <c r="H82" s="2" t="s">
        <v>88</v>
      </c>
      <c r="I82" s="2" t="s">
        <v>75</v>
      </c>
      <c r="J82" s="4">
        <v>6</v>
      </c>
      <c r="K82" s="5">
        <v>71.569999999999993</v>
      </c>
      <c r="L82" s="6">
        <v>0</v>
      </c>
      <c r="M82" s="5">
        <v>429.42</v>
      </c>
      <c r="P82" t="str">
        <f>TEXT(Tableau2[[#This Row],[Date]],"mmmm aaaa")</f>
        <v>décembre 2026</v>
      </c>
    </row>
    <row r="83" spans="1:16">
      <c r="A83" s="2" t="s">
        <v>166</v>
      </c>
      <c r="B83" s="3">
        <v>46272</v>
      </c>
      <c r="C83" s="2" t="s">
        <v>101</v>
      </c>
      <c r="D83" s="2" t="s">
        <v>33</v>
      </c>
      <c r="E83" s="2" t="s">
        <v>34</v>
      </c>
      <c r="F83" s="2" t="s">
        <v>17</v>
      </c>
      <c r="G83" s="2" t="s">
        <v>29</v>
      </c>
      <c r="H83" s="2" t="s">
        <v>99</v>
      </c>
      <c r="I83" s="2" t="s">
        <v>20</v>
      </c>
      <c r="J83" s="4">
        <v>8</v>
      </c>
      <c r="K83" s="5">
        <v>58.99</v>
      </c>
      <c r="L83" s="6">
        <v>0</v>
      </c>
      <c r="M83" s="5">
        <v>471.92</v>
      </c>
      <c r="P83" t="str">
        <f>TEXT(Tableau2[[#This Row],[Date]],"mmmm aaaa")</f>
        <v>septembre 2026</v>
      </c>
    </row>
    <row r="84" spans="1:16">
      <c r="A84" s="2" t="s">
        <v>167</v>
      </c>
      <c r="B84" s="3">
        <v>46067</v>
      </c>
      <c r="C84" s="2" t="s">
        <v>130</v>
      </c>
      <c r="D84" s="2" t="s">
        <v>53</v>
      </c>
      <c r="E84" s="2" t="s">
        <v>16</v>
      </c>
      <c r="F84" s="2" t="s">
        <v>17</v>
      </c>
      <c r="G84" s="2" t="s">
        <v>18</v>
      </c>
      <c r="H84" s="2" t="s">
        <v>158</v>
      </c>
      <c r="I84" s="2" t="s">
        <v>20</v>
      </c>
      <c r="J84" s="4">
        <v>1</v>
      </c>
      <c r="K84" s="5">
        <v>46.98</v>
      </c>
      <c r="L84" s="6">
        <v>0</v>
      </c>
      <c r="M84" s="5">
        <v>46.98</v>
      </c>
      <c r="P84" t="str">
        <f>TEXT(Tableau2[[#This Row],[Date]],"mmmm aaaa")</f>
        <v>février 2026</v>
      </c>
    </row>
    <row r="85" spans="1:16">
      <c r="A85" s="2" t="s">
        <v>168</v>
      </c>
      <c r="B85" s="3">
        <v>46159</v>
      </c>
      <c r="C85" s="2" t="s">
        <v>169</v>
      </c>
      <c r="D85" s="2" t="s">
        <v>33</v>
      </c>
      <c r="E85" s="2" t="s">
        <v>34</v>
      </c>
      <c r="F85" s="2" t="s">
        <v>17</v>
      </c>
      <c r="G85" s="2" t="s">
        <v>24</v>
      </c>
      <c r="H85" s="2" t="s">
        <v>82</v>
      </c>
      <c r="I85" s="2" t="s">
        <v>58</v>
      </c>
      <c r="J85" s="4">
        <v>8</v>
      </c>
      <c r="K85" s="5">
        <v>301.87</v>
      </c>
      <c r="L85" s="6">
        <v>0</v>
      </c>
      <c r="M85" s="5">
        <v>2414.96</v>
      </c>
      <c r="P85" t="str">
        <f>TEXT(Tableau2[[#This Row],[Date]],"mmmm aaaa")</f>
        <v>mai 2026</v>
      </c>
    </row>
    <row r="86" spans="1:16">
      <c r="A86" s="2" t="s">
        <v>170</v>
      </c>
      <c r="B86" s="3">
        <v>46024</v>
      </c>
      <c r="C86" s="2" t="s">
        <v>171</v>
      </c>
      <c r="D86" s="2" t="s">
        <v>33</v>
      </c>
      <c r="E86" s="2" t="s">
        <v>43</v>
      </c>
      <c r="F86" s="2" t="s">
        <v>28</v>
      </c>
      <c r="G86" s="2" t="s">
        <v>48</v>
      </c>
      <c r="H86" s="2" t="s">
        <v>49</v>
      </c>
      <c r="I86" s="2" t="s">
        <v>50</v>
      </c>
      <c r="J86" s="4">
        <v>3</v>
      </c>
      <c r="K86" s="5">
        <v>58.82</v>
      </c>
      <c r="L86" s="6">
        <v>0.1</v>
      </c>
      <c r="M86" s="5">
        <v>158.81</v>
      </c>
      <c r="P86" t="str">
        <f>TEXT(Tableau2[[#This Row],[Date]],"mmmm aaaa")</f>
        <v>janvier 2026</v>
      </c>
    </row>
    <row r="87" spans="1:16">
      <c r="A87" s="2" t="s">
        <v>172</v>
      </c>
      <c r="B87" s="3">
        <v>46353</v>
      </c>
      <c r="C87" s="2" t="s">
        <v>79</v>
      </c>
      <c r="D87" s="2" t="s">
        <v>33</v>
      </c>
      <c r="E87" s="2" t="s">
        <v>34</v>
      </c>
      <c r="F87" s="2" t="s">
        <v>17</v>
      </c>
      <c r="G87" s="2" t="s">
        <v>39</v>
      </c>
      <c r="H87" s="2" t="s">
        <v>40</v>
      </c>
      <c r="I87" s="2" t="s">
        <v>75</v>
      </c>
      <c r="J87" s="4">
        <v>1</v>
      </c>
      <c r="K87" s="5">
        <v>140.41</v>
      </c>
      <c r="L87" s="6">
        <v>0</v>
      </c>
      <c r="M87" s="5">
        <v>140.41</v>
      </c>
      <c r="P87" t="str">
        <f>TEXT(Tableau2[[#This Row],[Date]],"mmmm aaaa")</f>
        <v>novembre 2026</v>
      </c>
    </row>
    <row r="88" spans="1:16">
      <c r="A88" s="2" t="s">
        <v>173</v>
      </c>
      <c r="B88" s="3">
        <v>46081</v>
      </c>
      <c r="C88" s="2" t="s">
        <v>52</v>
      </c>
      <c r="D88" s="2" t="s">
        <v>53</v>
      </c>
      <c r="E88" s="2" t="s">
        <v>38</v>
      </c>
      <c r="F88" s="2" t="s">
        <v>28</v>
      </c>
      <c r="G88" s="2" t="s">
        <v>18</v>
      </c>
      <c r="H88" s="2" t="s">
        <v>136</v>
      </c>
      <c r="I88" s="2" t="s">
        <v>26</v>
      </c>
      <c r="J88" s="4">
        <v>1</v>
      </c>
      <c r="K88" s="5">
        <v>33.1</v>
      </c>
      <c r="L88" s="6">
        <v>0.05</v>
      </c>
      <c r="M88" s="5">
        <v>31.45</v>
      </c>
      <c r="P88" t="str">
        <f>TEXT(Tableau2[[#This Row],[Date]],"mmmm aaaa")</f>
        <v>février 2026</v>
      </c>
    </row>
    <row r="89" spans="1:16">
      <c r="A89" s="2" t="s">
        <v>174</v>
      </c>
      <c r="B89" s="3">
        <v>46236</v>
      </c>
      <c r="C89" s="2" t="s">
        <v>164</v>
      </c>
      <c r="D89" s="2" t="s">
        <v>53</v>
      </c>
      <c r="E89" s="2" t="s">
        <v>34</v>
      </c>
      <c r="F89" s="2" t="s">
        <v>17</v>
      </c>
      <c r="G89" s="2" t="s">
        <v>18</v>
      </c>
      <c r="H89" s="2" t="s">
        <v>143</v>
      </c>
      <c r="I89" s="2" t="s">
        <v>45</v>
      </c>
      <c r="J89" s="4">
        <v>5</v>
      </c>
      <c r="K89" s="5">
        <v>64.099999999999994</v>
      </c>
      <c r="L89" s="6">
        <v>0.05</v>
      </c>
      <c r="M89" s="5">
        <v>304.47000000000003</v>
      </c>
      <c r="P89" t="str">
        <f>TEXT(Tableau2[[#This Row],[Date]],"mmmm aaaa")</f>
        <v>août 2026</v>
      </c>
    </row>
    <row r="90" spans="1:16">
      <c r="A90" s="2" t="s">
        <v>175</v>
      </c>
      <c r="B90" s="3">
        <v>46177</v>
      </c>
      <c r="C90" s="2" t="s">
        <v>52</v>
      </c>
      <c r="D90" s="2" t="s">
        <v>53</v>
      </c>
      <c r="E90" s="2" t="s">
        <v>16</v>
      </c>
      <c r="F90" s="2" t="s">
        <v>17</v>
      </c>
      <c r="G90" s="2" t="s">
        <v>24</v>
      </c>
      <c r="H90" s="2" t="s">
        <v>25</v>
      </c>
      <c r="I90" s="2" t="s">
        <v>75</v>
      </c>
      <c r="J90" s="4">
        <v>1</v>
      </c>
      <c r="K90" s="5">
        <v>136.1</v>
      </c>
      <c r="L90" s="6">
        <v>0</v>
      </c>
      <c r="M90" s="5">
        <v>136.1</v>
      </c>
      <c r="P90" t="str">
        <f>TEXT(Tableau2[[#This Row],[Date]],"mmmm aaaa")</f>
        <v>juin 2026</v>
      </c>
    </row>
    <row r="91" spans="1:16">
      <c r="A91" s="2" t="s">
        <v>176</v>
      </c>
      <c r="B91" s="3">
        <v>46297</v>
      </c>
      <c r="C91" s="2" t="s">
        <v>14</v>
      </c>
      <c r="D91" s="2" t="s">
        <v>15</v>
      </c>
      <c r="E91" s="2" t="s">
        <v>16</v>
      </c>
      <c r="F91" s="2" t="s">
        <v>28</v>
      </c>
      <c r="G91" s="2" t="s">
        <v>54</v>
      </c>
      <c r="H91" s="2" t="s">
        <v>102</v>
      </c>
      <c r="I91" s="2" t="s">
        <v>50</v>
      </c>
      <c r="J91" s="4">
        <v>1</v>
      </c>
      <c r="K91" s="5">
        <v>218.55</v>
      </c>
      <c r="L91" s="6">
        <v>0</v>
      </c>
      <c r="M91" s="5">
        <v>218.55</v>
      </c>
      <c r="P91" t="str">
        <f>TEXT(Tableau2[[#This Row],[Date]],"mmmm aaaa")</f>
        <v>octobre 2026</v>
      </c>
    </row>
    <row r="92" spans="1:16">
      <c r="A92" s="2" t="s">
        <v>177</v>
      </c>
      <c r="B92" s="3">
        <v>46207</v>
      </c>
      <c r="C92" s="2" t="s">
        <v>178</v>
      </c>
      <c r="D92" s="2" t="s">
        <v>15</v>
      </c>
      <c r="E92" s="2" t="s">
        <v>16</v>
      </c>
      <c r="F92" s="2" t="s">
        <v>28</v>
      </c>
      <c r="G92" s="2" t="s">
        <v>48</v>
      </c>
      <c r="H92" s="2" t="s">
        <v>84</v>
      </c>
      <c r="I92" s="2" t="s">
        <v>50</v>
      </c>
      <c r="J92" s="4">
        <v>2</v>
      </c>
      <c r="K92" s="5">
        <v>87.64</v>
      </c>
      <c r="L92" s="6">
        <v>0</v>
      </c>
      <c r="M92" s="5">
        <v>175.28</v>
      </c>
      <c r="P92" t="str">
        <f>TEXT(Tableau2[[#This Row],[Date]],"mmmm aaaa")</f>
        <v>juillet 2026</v>
      </c>
    </row>
    <row r="93" spans="1:16">
      <c r="A93" s="2" t="s">
        <v>179</v>
      </c>
      <c r="B93" s="3">
        <v>46313</v>
      </c>
      <c r="C93" s="2" t="s">
        <v>57</v>
      </c>
      <c r="D93" s="2" t="s">
        <v>15</v>
      </c>
      <c r="E93" s="2" t="s">
        <v>16</v>
      </c>
      <c r="F93" s="2" t="s">
        <v>28</v>
      </c>
      <c r="G93" s="2" t="s">
        <v>29</v>
      </c>
      <c r="H93" s="2" t="s">
        <v>140</v>
      </c>
      <c r="I93" s="2" t="s">
        <v>41</v>
      </c>
      <c r="J93" s="4">
        <v>10</v>
      </c>
      <c r="K93" s="5">
        <v>44.93</v>
      </c>
      <c r="L93" s="6">
        <v>0.15</v>
      </c>
      <c r="M93" s="5">
        <v>381.9</v>
      </c>
      <c r="P93" t="str">
        <f>TEXT(Tableau2[[#This Row],[Date]],"mmmm aaaa")</f>
        <v>octobre 2026</v>
      </c>
    </row>
    <row r="94" spans="1:16">
      <c r="A94" s="2" t="s">
        <v>180</v>
      </c>
      <c r="B94" s="3">
        <v>46303</v>
      </c>
      <c r="C94" s="2" t="s">
        <v>119</v>
      </c>
      <c r="D94" s="2" t="s">
        <v>15</v>
      </c>
      <c r="E94" s="2" t="s">
        <v>34</v>
      </c>
      <c r="F94" s="2" t="s">
        <v>17</v>
      </c>
      <c r="G94" s="2" t="s">
        <v>39</v>
      </c>
      <c r="H94" s="2" t="s">
        <v>40</v>
      </c>
      <c r="I94" s="2" t="s">
        <v>45</v>
      </c>
      <c r="J94" s="4">
        <v>2</v>
      </c>
      <c r="K94" s="5">
        <v>137.32</v>
      </c>
      <c r="L94" s="6">
        <v>0</v>
      </c>
      <c r="M94" s="5">
        <v>274.64</v>
      </c>
      <c r="P94" t="str">
        <f>TEXT(Tableau2[[#This Row],[Date]],"mmmm aaaa")</f>
        <v>octobre 2026</v>
      </c>
    </row>
    <row r="95" spans="1:16">
      <c r="A95" s="2" t="s">
        <v>181</v>
      </c>
      <c r="B95" s="3">
        <v>46145</v>
      </c>
      <c r="C95" s="2" t="s">
        <v>116</v>
      </c>
      <c r="D95" s="2" t="s">
        <v>15</v>
      </c>
      <c r="E95" s="2" t="s">
        <v>43</v>
      </c>
      <c r="F95" s="2" t="s">
        <v>17</v>
      </c>
      <c r="G95" s="2" t="s">
        <v>48</v>
      </c>
      <c r="H95" s="2" t="s">
        <v>49</v>
      </c>
      <c r="I95" s="2" t="s">
        <v>58</v>
      </c>
      <c r="J95" s="4">
        <v>8</v>
      </c>
      <c r="K95" s="5">
        <v>56.54</v>
      </c>
      <c r="L95" s="6">
        <v>0</v>
      </c>
      <c r="M95" s="5">
        <v>452.32</v>
      </c>
      <c r="P95" t="str">
        <f>TEXT(Tableau2[[#This Row],[Date]],"mmmm aaaa")</f>
        <v>mai 2026</v>
      </c>
    </row>
    <row r="96" spans="1:16">
      <c r="A96" s="2" t="s">
        <v>182</v>
      </c>
      <c r="B96" s="3">
        <v>46116</v>
      </c>
      <c r="C96" s="2" t="s">
        <v>94</v>
      </c>
      <c r="D96" s="2" t="s">
        <v>15</v>
      </c>
      <c r="E96" s="2" t="s">
        <v>38</v>
      </c>
      <c r="F96" s="2" t="s">
        <v>17</v>
      </c>
      <c r="G96" s="2" t="s">
        <v>48</v>
      </c>
      <c r="H96" s="2" t="s">
        <v>88</v>
      </c>
      <c r="I96" s="2" t="s">
        <v>26</v>
      </c>
      <c r="J96" s="4">
        <v>1</v>
      </c>
      <c r="K96" s="5">
        <v>73.430000000000007</v>
      </c>
      <c r="L96" s="6">
        <v>0.1</v>
      </c>
      <c r="M96" s="5">
        <v>66.09</v>
      </c>
      <c r="P96" t="str">
        <f>TEXT(Tableau2[[#This Row],[Date]],"mmmm aaaa")</f>
        <v>avril 2026</v>
      </c>
    </row>
    <row r="97" spans="1:16">
      <c r="A97" s="2" t="s">
        <v>183</v>
      </c>
      <c r="B97" s="3">
        <v>46175</v>
      </c>
      <c r="C97" s="2" t="s">
        <v>125</v>
      </c>
      <c r="D97" s="2" t="s">
        <v>23</v>
      </c>
      <c r="E97" s="2" t="s">
        <v>16</v>
      </c>
      <c r="F97" s="2" t="s">
        <v>28</v>
      </c>
      <c r="G97" s="2" t="s">
        <v>39</v>
      </c>
      <c r="H97" s="2" t="s">
        <v>71</v>
      </c>
      <c r="I97" s="2" t="s">
        <v>50</v>
      </c>
      <c r="J97" s="4">
        <v>13</v>
      </c>
      <c r="K97" s="5">
        <v>120.77</v>
      </c>
      <c r="L97" s="6">
        <v>0.15</v>
      </c>
      <c r="M97" s="5">
        <v>1334.51</v>
      </c>
      <c r="P97" t="str">
        <f>TEXT(Tableau2[[#This Row],[Date]],"mmmm aaaa")</f>
        <v>juin 2026</v>
      </c>
    </row>
    <row r="98" spans="1:16">
      <c r="A98" s="2" t="s">
        <v>184</v>
      </c>
      <c r="B98" s="3">
        <v>46172</v>
      </c>
      <c r="C98" s="2" t="s">
        <v>101</v>
      </c>
      <c r="D98" s="2" t="s">
        <v>33</v>
      </c>
      <c r="E98" s="2" t="s">
        <v>34</v>
      </c>
      <c r="F98" s="2" t="s">
        <v>28</v>
      </c>
      <c r="G98" s="2" t="s">
        <v>24</v>
      </c>
      <c r="H98" s="2" t="s">
        <v>61</v>
      </c>
      <c r="I98" s="2" t="s">
        <v>50</v>
      </c>
      <c r="J98" s="4">
        <v>1</v>
      </c>
      <c r="K98" s="5">
        <v>240.99</v>
      </c>
      <c r="L98" s="6">
        <v>0</v>
      </c>
      <c r="M98" s="5">
        <v>240.99</v>
      </c>
      <c r="P98" t="str">
        <f>TEXT(Tableau2[[#This Row],[Date]],"mmmm aaaa")</f>
        <v>mai 2026</v>
      </c>
    </row>
    <row r="99" spans="1:16">
      <c r="A99" s="2" t="s">
        <v>185</v>
      </c>
      <c r="B99" s="3">
        <v>46078</v>
      </c>
      <c r="C99" s="2" t="s">
        <v>130</v>
      </c>
      <c r="D99" s="2" t="s">
        <v>53</v>
      </c>
      <c r="E99" s="2" t="s">
        <v>34</v>
      </c>
      <c r="F99" s="2" t="s">
        <v>28</v>
      </c>
      <c r="G99" s="2" t="s">
        <v>48</v>
      </c>
      <c r="H99" s="2" t="s">
        <v>49</v>
      </c>
      <c r="I99" s="2" t="s">
        <v>50</v>
      </c>
      <c r="J99" s="4">
        <v>1</v>
      </c>
      <c r="K99" s="5">
        <v>59.54</v>
      </c>
      <c r="L99" s="6">
        <v>0.1</v>
      </c>
      <c r="M99" s="5">
        <v>53.59</v>
      </c>
      <c r="P99" t="str">
        <f>TEXT(Tableau2[[#This Row],[Date]],"mmmm aaaa")</f>
        <v>février 2026</v>
      </c>
    </row>
    <row r="100" spans="1:16">
      <c r="A100" s="2" t="s">
        <v>186</v>
      </c>
      <c r="B100" s="3">
        <v>46360</v>
      </c>
      <c r="C100" s="2" t="s">
        <v>156</v>
      </c>
      <c r="D100" s="2" t="s">
        <v>15</v>
      </c>
      <c r="E100" s="2" t="s">
        <v>43</v>
      </c>
      <c r="F100" s="2" t="s">
        <v>17</v>
      </c>
      <c r="G100" s="2" t="s">
        <v>54</v>
      </c>
      <c r="H100" s="2" t="s">
        <v>64</v>
      </c>
      <c r="I100" s="2" t="s">
        <v>26</v>
      </c>
      <c r="J100" s="4">
        <v>3</v>
      </c>
      <c r="K100" s="5">
        <v>85.36</v>
      </c>
      <c r="L100" s="6">
        <v>0.15</v>
      </c>
      <c r="M100" s="5">
        <v>217.67</v>
      </c>
      <c r="P100" t="str">
        <f>TEXT(Tableau2[[#This Row],[Date]],"mmmm aaaa")</f>
        <v>décembre 2026</v>
      </c>
    </row>
    <row r="101" spans="1:16">
      <c r="A101" s="2" t="s">
        <v>187</v>
      </c>
      <c r="B101" s="3">
        <v>46224</v>
      </c>
      <c r="C101" s="2" t="s">
        <v>106</v>
      </c>
      <c r="D101" s="2" t="s">
        <v>23</v>
      </c>
      <c r="E101" s="2" t="s">
        <v>34</v>
      </c>
      <c r="F101" s="2" t="s">
        <v>17</v>
      </c>
      <c r="G101" s="2" t="s">
        <v>24</v>
      </c>
      <c r="H101" s="2" t="s">
        <v>61</v>
      </c>
      <c r="I101" s="2" t="s">
        <v>50</v>
      </c>
      <c r="J101" s="4">
        <v>1</v>
      </c>
      <c r="K101" s="5">
        <v>252.78</v>
      </c>
      <c r="L101" s="6">
        <v>0</v>
      </c>
      <c r="M101" s="5">
        <v>252.78</v>
      </c>
      <c r="P101" t="str">
        <f>TEXT(Tableau2[[#This Row],[Date]],"mmmm aaaa")</f>
        <v>juillet 2026</v>
      </c>
    </row>
    <row r="102" spans="1:16">
      <c r="A102" s="2" t="s">
        <v>188</v>
      </c>
      <c r="B102" s="3">
        <v>46063</v>
      </c>
      <c r="C102" s="2" t="s">
        <v>52</v>
      </c>
      <c r="D102" s="2" t="s">
        <v>53</v>
      </c>
      <c r="E102" s="2" t="s">
        <v>34</v>
      </c>
      <c r="F102" s="2" t="s">
        <v>17</v>
      </c>
      <c r="G102" s="2" t="s">
        <v>54</v>
      </c>
      <c r="H102" s="2" t="s">
        <v>64</v>
      </c>
      <c r="I102" s="2" t="s">
        <v>58</v>
      </c>
      <c r="J102" s="4">
        <v>1</v>
      </c>
      <c r="K102" s="5">
        <v>88.44</v>
      </c>
      <c r="L102" s="6">
        <v>0.15</v>
      </c>
      <c r="M102" s="5">
        <v>75.17</v>
      </c>
      <c r="P102" t="str">
        <f>TEXT(Tableau2[[#This Row],[Date]],"mmmm aaaa")</f>
        <v>février 2026</v>
      </c>
    </row>
    <row r="103" spans="1:16">
      <c r="A103" s="2" t="s">
        <v>189</v>
      </c>
      <c r="B103" s="3">
        <v>46129</v>
      </c>
      <c r="C103" s="2" t="s">
        <v>169</v>
      </c>
      <c r="D103" s="2" t="s">
        <v>33</v>
      </c>
      <c r="E103" s="2" t="s">
        <v>16</v>
      </c>
      <c r="F103" s="2" t="s">
        <v>28</v>
      </c>
      <c r="G103" s="2" t="s">
        <v>29</v>
      </c>
      <c r="H103" s="2" t="s">
        <v>44</v>
      </c>
      <c r="I103" s="2" t="s">
        <v>36</v>
      </c>
      <c r="J103" s="4">
        <v>3</v>
      </c>
      <c r="K103" s="5">
        <v>35.979999999999997</v>
      </c>
      <c r="L103" s="6">
        <v>0</v>
      </c>
      <c r="M103" s="5">
        <v>107.94</v>
      </c>
      <c r="P103" t="str">
        <f>TEXT(Tableau2[[#This Row],[Date]],"mmmm aaaa")</f>
        <v>avril 2026</v>
      </c>
    </row>
    <row r="104" spans="1:16">
      <c r="A104" s="2" t="s">
        <v>190</v>
      </c>
      <c r="B104" s="3">
        <v>46332</v>
      </c>
      <c r="C104" s="2" t="s">
        <v>52</v>
      </c>
      <c r="D104" s="2" t="s">
        <v>53</v>
      </c>
      <c r="E104" s="2" t="s">
        <v>16</v>
      </c>
      <c r="F104" s="2" t="s">
        <v>28</v>
      </c>
      <c r="G104" s="2" t="s">
        <v>18</v>
      </c>
      <c r="H104" s="2" t="s">
        <v>19</v>
      </c>
      <c r="I104" s="2" t="s">
        <v>45</v>
      </c>
      <c r="J104" s="4">
        <v>5</v>
      </c>
      <c r="K104" s="5">
        <v>52.54</v>
      </c>
      <c r="L104" s="6">
        <v>0</v>
      </c>
      <c r="M104" s="5">
        <v>262.7</v>
      </c>
      <c r="P104" t="str">
        <f>TEXT(Tableau2[[#This Row],[Date]],"mmmm aaaa")</f>
        <v>novembre 2026</v>
      </c>
    </row>
    <row r="105" spans="1:16">
      <c r="A105" s="2" t="s">
        <v>191</v>
      </c>
      <c r="B105" s="3">
        <v>46202</v>
      </c>
      <c r="C105" s="2" t="s">
        <v>94</v>
      </c>
      <c r="D105" s="2" t="s">
        <v>15</v>
      </c>
      <c r="E105" s="2" t="s">
        <v>16</v>
      </c>
      <c r="F105" s="2" t="s">
        <v>17</v>
      </c>
      <c r="G105" s="2" t="s">
        <v>18</v>
      </c>
      <c r="H105" s="2" t="s">
        <v>158</v>
      </c>
      <c r="I105" s="2" t="s">
        <v>26</v>
      </c>
      <c r="J105" s="4">
        <v>2</v>
      </c>
      <c r="K105" s="5">
        <v>44.81</v>
      </c>
      <c r="L105" s="6">
        <v>0.05</v>
      </c>
      <c r="M105" s="5">
        <v>85.14</v>
      </c>
      <c r="P105" t="str">
        <f>TEXT(Tableau2[[#This Row],[Date]],"mmmm aaaa")</f>
        <v>juin 2026</v>
      </c>
    </row>
    <row r="106" spans="1:16">
      <c r="A106" s="2" t="s">
        <v>192</v>
      </c>
      <c r="B106" s="3">
        <v>46270</v>
      </c>
      <c r="C106" s="2" t="s">
        <v>47</v>
      </c>
      <c r="D106" s="2" t="s">
        <v>15</v>
      </c>
      <c r="E106" s="2" t="s">
        <v>43</v>
      </c>
      <c r="F106" s="2" t="s">
        <v>17</v>
      </c>
      <c r="G106" s="2" t="s">
        <v>29</v>
      </c>
      <c r="H106" s="2" t="s">
        <v>30</v>
      </c>
      <c r="I106" s="2" t="s">
        <v>45</v>
      </c>
      <c r="J106" s="4">
        <v>2</v>
      </c>
      <c r="K106" s="5">
        <v>26.09</v>
      </c>
      <c r="L106" s="6">
        <v>0</v>
      </c>
      <c r="M106" s="5">
        <v>52.18</v>
      </c>
      <c r="P106" t="str">
        <f>TEXT(Tableau2[[#This Row],[Date]],"mmmm aaaa")</f>
        <v>septembre 2026</v>
      </c>
    </row>
    <row r="107" spans="1:16">
      <c r="A107" s="2" t="s">
        <v>193</v>
      </c>
      <c r="B107" s="3">
        <v>46263</v>
      </c>
      <c r="C107" s="2" t="s">
        <v>57</v>
      </c>
      <c r="D107" s="2" t="s">
        <v>15</v>
      </c>
      <c r="E107" s="2" t="s">
        <v>43</v>
      </c>
      <c r="F107" s="2" t="s">
        <v>17</v>
      </c>
      <c r="G107" s="2" t="s">
        <v>48</v>
      </c>
      <c r="H107" s="2" t="s">
        <v>49</v>
      </c>
      <c r="I107" s="2" t="s">
        <v>75</v>
      </c>
      <c r="J107" s="4">
        <v>10</v>
      </c>
      <c r="K107" s="5">
        <v>55.43</v>
      </c>
      <c r="L107" s="6">
        <v>0</v>
      </c>
      <c r="M107" s="5">
        <v>554.29999999999995</v>
      </c>
      <c r="P107" t="str">
        <f>TEXT(Tableau2[[#This Row],[Date]],"mmmm aaaa")</f>
        <v>août 2026</v>
      </c>
    </row>
    <row r="108" spans="1:16">
      <c r="A108" s="2" t="s">
        <v>194</v>
      </c>
      <c r="B108" s="3">
        <v>46286</v>
      </c>
      <c r="C108" s="2" t="s">
        <v>116</v>
      </c>
      <c r="D108" s="2" t="s">
        <v>15</v>
      </c>
      <c r="E108" s="2" t="s">
        <v>38</v>
      </c>
      <c r="F108" s="2" t="s">
        <v>28</v>
      </c>
      <c r="G108" s="2" t="s">
        <v>18</v>
      </c>
      <c r="H108" s="2" t="s">
        <v>19</v>
      </c>
      <c r="I108" s="2" t="s">
        <v>58</v>
      </c>
      <c r="J108" s="4">
        <v>2</v>
      </c>
      <c r="K108" s="5">
        <v>50.28</v>
      </c>
      <c r="L108" s="6">
        <v>0</v>
      </c>
      <c r="M108" s="5">
        <v>100.56</v>
      </c>
      <c r="P108" t="str">
        <f>TEXT(Tableau2[[#This Row],[Date]],"mmmm aaaa")</f>
        <v>septembre 2026</v>
      </c>
    </row>
    <row r="109" spans="1:16">
      <c r="A109" s="2" t="s">
        <v>195</v>
      </c>
      <c r="B109" s="3">
        <v>46319</v>
      </c>
      <c r="C109" s="2" t="s">
        <v>14</v>
      </c>
      <c r="D109" s="2" t="s">
        <v>15</v>
      </c>
      <c r="E109" s="2" t="s">
        <v>16</v>
      </c>
      <c r="F109" s="2" t="s">
        <v>28</v>
      </c>
      <c r="G109" s="2" t="s">
        <v>24</v>
      </c>
      <c r="H109" s="2" t="s">
        <v>82</v>
      </c>
      <c r="I109" s="2" t="s">
        <v>20</v>
      </c>
      <c r="J109" s="4">
        <v>1</v>
      </c>
      <c r="K109" s="5">
        <v>286.2</v>
      </c>
      <c r="L109" s="6">
        <v>0.1</v>
      </c>
      <c r="M109" s="5">
        <v>257.58</v>
      </c>
      <c r="P109" t="str">
        <f>TEXT(Tableau2[[#This Row],[Date]],"mmmm aaaa")</f>
        <v>octobre 2026</v>
      </c>
    </row>
    <row r="110" spans="1:16">
      <c r="A110" s="2" t="s">
        <v>196</v>
      </c>
      <c r="B110" s="3">
        <v>46242</v>
      </c>
      <c r="C110" s="2" t="s">
        <v>134</v>
      </c>
      <c r="D110" s="2" t="s">
        <v>15</v>
      </c>
      <c r="E110" s="2" t="s">
        <v>34</v>
      </c>
      <c r="F110" s="2" t="s">
        <v>17</v>
      </c>
      <c r="G110" s="2" t="s">
        <v>29</v>
      </c>
      <c r="H110" s="2" t="s">
        <v>140</v>
      </c>
      <c r="I110" s="2" t="s">
        <v>58</v>
      </c>
      <c r="J110" s="4">
        <v>1</v>
      </c>
      <c r="K110" s="5">
        <v>47.3</v>
      </c>
      <c r="L110" s="6">
        <v>0.2</v>
      </c>
      <c r="M110" s="5">
        <v>37.840000000000003</v>
      </c>
      <c r="P110" t="str">
        <f>TEXT(Tableau2[[#This Row],[Date]],"mmmm aaaa")</f>
        <v>août 2026</v>
      </c>
    </row>
    <row r="111" spans="1:16">
      <c r="A111" s="2" t="s">
        <v>197</v>
      </c>
      <c r="B111" s="3">
        <v>46121</v>
      </c>
      <c r="C111" s="2" t="s">
        <v>119</v>
      </c>
      <c r="D111" s="2" t="s">
        <v>15</v>
      </c>
      <c r="E111" s="2" t="s">
        <v>43</v>
      </c>
      <c r="F111" s="2" t="s">
        <v>28</v>
      </c>
      <c r="G111" s="2" t="s">
        <v>48</v>
      </c>
      <c r="H111" s="2" t="s">
        <v>88</v>
      </c>
      <c r="I111" s="2" t="s">
        <v>75</v>
      </c>
      <c r="J111" s="4">
        <v>11</v>
      </c>
      <c r="K111" s="5">
        <v>76.069999999999993</v>
      </c>
      <c r="L111" s="6">
        <v>0</v>
      </c>
      <c r="M111" s="5">
        <v>836.77</v>
      </c>
      <c r="P111" t="str">
        <f>TEXT(Tableau2[[#This Row],[Date]],"mmmm aaaa")</f>
        <v>avril 2026</v>
      </c>
    </row>
    <row r="112" spans="1:16">
      <c r="A112" s="2" t="s">
        <v>198</v>
      </c>
      <c r="B112" s="3">
        <v>46275</v>
      </c>
      <c r="C112" s="2" t="s">
        <v>63</v>
      </c>
      <c r="D112" s="2" t="s">
        <v>33</v>
      </c>
      <c r="E112" s="2" t="s">
        <v>43</v>
      </c>
      <c r="F112" s="2" t="s">
        <v>17</v>
      </c>
      <c r="G112" s="2" t="s">
        <v>54</v>
      </c>
      <c r="H112" s="2" t="s">
        <v>64</v>
      </c>
      <c r="I112" s="2" t="s">
        <v>45</v>
      </c>
      <c r="J112" s="4">
        <v>2</v>
      </c>
      <c r="K112" s="5">
        <v>83.97</v>
      </c>
      <c r="L112" s="6">
        <v>0</v>
      </c>
      <c r="M112" s="5">
        <v>167.94</v>
      </c>
      <c r="P112" t="str">
        <f>TEXT(Tableau2[[#This Row],[Date]],"mmmm aaaa")</f>
        <v>septembre 2026</v>
      </c>
    </row>
    <row r="113" spans="1:16">
      <c r="A113" s="2" t="s">
        <v>199</v>
      </c>
      <c r="B113" s="3">
        <v>46277</v>
      </c>
      <c r="C113" s="2" t="s">
        <v>130</v>
      </c>
      <c r="D113" s="2" t="s">
        <v>53</v>
      </c>
      <c r="E113" s="2" t="s">
        <v>16</v>
      </c>
      <c r="F113" s="2" t="s">
        <v>28</v>
      </c>
      <c r="G113" s="2" t="s">
        <v>24</v>
      </c>
      <c r="H113" s="2" t="s">
        <v>82</v>
      </c>
      <c r="I113" s="2" t="s">
        <v>75</v>
      </c>
      <c r="J113" s="4">
        <v>4</v>
      </c>
      <c r="K113" s="5">
        <v>278.98</v>
      </c>
      <c r="L113" s="6">
        <v>0</v>
      </c>
      <c r="M113" s="5">
        <v>1115.92</v>
      </c>
      <c r="P113" t="str">
        <f>TEXT(Tableau2[[#This Row],[Date]],"mmmm aaaa")</f>
        <v>septembre 2026</v>
      </c>
    </row>
    <row r="114" spans="1:16">
      <c r="A114" s="2" t="s">
        <v>200</v>
      </c>
      <c r="B114" s="3">
        <v>46061</v>
      </c>
      <c r="C114" s="2" t="s">
        <v>63</v>
      </c>
      <c r="D114" s="2" t="s">
        <v>33</v>
      </c>
      <c r="E114" s="2" t="s">
        <v>43</v>
      </c>
      <c r="F114" s="2" t="s">
        <v>17</v>
      </c>
      <c r="G114" s="2" t="s">
        <v>54</v>
      </c>
      <c r="H114" s="2" t="s">
        <v>64</v>
      </c>
      <c r="I114" s="2" t="s">
        <v>26</v>
      </c>
      <c r="J114" s="4">
        <v>3</v>
      </c>
      <c r="K114" s="5">
        <v>85.16</v>
      </c>
      <c r="L114" s="6">
        <v>0</v>
      </c>
      <c r="M114" s="5">
        <v>255.48</v>
      </c>
      <c r="P114" t="str">
        <f>TEXT(Tableau2[[#This Row],[Date]],"mmmm aaaa")</f>
        <v>février 2026</v>
      </c>
    </row>
    <row r="115" spans="1:16">
      <c r="A115" s="2" t="s">
        <v>201</v>
      </c>
      <c r="B115" s="3">
        <v>46321</v>
      </c>
      <c r="C115" s="2" t="s">
        <v>60</v>
      </c>
      <c r="D115" s="2" t="s">
        <v>33</v>
      </c>
      <c r="E115" s="2" t="s">
        <v>16</v>
      </c>
      <c r="F115" s="2" t="s">
        <v>28</v>
      </c>
      <c r="G115" s="2" t="s">
        <v>18</v>
      </c>
      <c r="H115" s="2" t="s">
        <v>143</v>
      </c>
      <c r="I115" s="2" t="s">
        <v>20</v>
      </c>
      <c r="J115" s="4">
        <v>1</v>
      </c>
      <c r="K115" s="5">
        <v>71.33</v>
      </c>
      <c r="L115" s="6">
        <v>0</v>
      </c>
      <c r="M115" s="5">
        <v>71.33</v>
      </c>
      <c r="P115" t="str">
        <f>TEXT(Tableau2[[#This Row],[Date]],"mmmm aaaa")</f>
        <v>octobre 2026</v>
      </c>
    </row>
    <row r="116" spans="1:16">
      <c r="A116" s="2" t="s">
        <v>202</v>
      </c>
      <c r="B116" s="3">
        <v>46209</v>
      </c>
      <c r="C116" s="2" t="s">
        <v>57</v>
      </c>
      <c r="D116" s="2" t="s">
        <v>15</v>
      </c>
      <c r="E116" s="2" t="s">
        <v>34</v>
      </c>
      <c r="F116" s="2" t="s">
        <v>17</v>
      </c>
      <c r="G116" s="2" t="s">
        <v>24</v>
      </c>
      <c r="H116" s="2" t="s">
        <v>61</v>
      </c>
      <c r="I116" s="2" t="s">
        <v>20</v>
      </c>
      <c r="J116" s="4">
        <v>1</v>
      </c>
      <c r="K116" s="5">
        <v>251.87</v>
      </c>
      <c r="L116" s="6">
        <v>0.2</v>
      </c>
      <c r="M116" s="5">
        <v>201.5</v>
      </c>
      <c r="P116" t="str">
        <f>TEXT(Tableau2[[#This Row],[Date]],"mmmm aaaa")</f>
        <v>juillet 2026</v>
      </c>
    </row>
    <row r="117" spans="1:16">
      <c r="A117" s="2" t="s">
        <v>203</v>
      </c>
      <c r="B117" s="3">
        <v>46058</v>
      </c>
      <c r="C117" s="2" t="s">
        <v>63</v>
      </c>
      <c r="D117" s="2" t="s">
        <v>33</v>
      </c>
      <c r="E117" s="2" t="s">
        <v>34</v>
      </c>
      <c r="F117" s="2" t="s">
        <v>17</v>
      </c>
      <c r="G117" s="2" t="s">
        <v>18</v>
      </c>
      <c r="H117" s="2" t="s">
        <v>136</v>
      </c>
      <c r="I117" s="2" t="s">
        <v>20</v>
      </c>
      <c r="J117" s="4">
        <v>6</v>
      </c>
      <c r="K117" s="5">
        <v>30.37</v>
      </c>
      <c r="L117" s="6">
        <v>0</v>
      </c>
      <c r="M117" s="5">
        <v>182.22</v>
      </c>
      <c r="P117" t="str">
        <f>TEXT(Tableau2[[#This Row],[Date]],"mmmm aaaa")</f>
        <v>février 2026</v>
      </c>
    </row>
    <row r="118" spans="1:16">
      <c r="A118" s="2" t="s">
        <v>204</v>
      </c>
      <c r="B118" s="3">
        <v>46335</v>
      </c>
      <c r="C118" s="2" t="s">
        <v>63</v>
      </c>
      <c r="D118" s="2" t="s">
        <v>33</v>
      </c>
      <c r="E118" s="2" t="s">
        <v>34</v>
      </c>
      <c r="F118" s="2" t="s">
        <v>28</v>
      </c>
      <c r="G118" s="2" t="s">
        <v>54</v>
      </c>
      <c r="H118" s="2" t="s">
        <v>64</v>
      </c>
      <c r="I118" s="2" t="s">
        <v>41</v>
      </c>
      <c r="J118" s="4">
        <v>6</v>
      </c>
      <c r="K118" s="5">
        <v>88.05</v>
      </c>
      <c r="L118" s="6">
        <v>0</v>
      </c>
      <c r="M118" s="5">
        <v>528.29999999999995</v>
      </c>
      <c r="P118" t="str">
        <f>TEXT(Tableau2[[#This Row],[Date]],"mmmm aaaa")</f>
        <v>novembre 2026</v>
      </c>
    </row>
    <row r="119" spans="1:16">
      <c r="A119" s="2" t="s">
        <v>205</v>
      </c>
      <c r="B119" s="3">
        <v>46219</v>
      </c>
      <c r="C119" s="2" t="s">
        <v>63</v>
      </c>
      <c r="D119" s="2" t="s">
        <v>33</v>
      </c>
      <c r="E119" s="2" t="s">
        <v>16</v>
      </c>
      <c r="F119" s="2" t="s">
        <v>28</v>
      </c>
      <c r="G119" s="2" t="s">
        <v>39</v>
      </c>
      <c r="H119" s="2" t="s">
        <v>40</v>
      </c>
      <c r="I119" s="2" t="s">
        <v>50</v>
      </c>
      <c r="J119" s="4">
        <v>2</v>
      </c>
      <c r="K119" s="5">
        <v>140.65</v>
      </c>
      <c r="L119" s="6">
        <v>0</v>
      </c>
      <c r="M119" s="5">
        <v>281.3</v>
      </c>
      <c r="P119" t="str">
        <f>TEXT(Tableau2[[#This Row],[Date]],"mmmm aaaa")</f>
        <v>juillet 2026</v>
      </c>
    </row>
    <row r="120" spans="1:16">
      <c r="A120" s="2" t="s">
        <v>206</v>
      </c>
      <c r="B120" s="3">
        <v>46217</v>
      </c>
      <c r="C120" s="2" t="s">
        <v>160</v>
      </c>
      <c r="D120" s="2" t="s">
        <v>33</v>
      </c>
      <c r="E120" s="2" t="s">
        <v>38</v>
      </c>
      <c r="F120" s="2" t="s">
        <v>28</v>
      </c>
      <c r="G120" s="2" t="s">
        <v>39</v>
      </c>
      <c r="H120" s="2" t="s">
        <v>95</v>
      </c>
      <c r="I120" s="2" t="s">
        <v>75</v>
      </c>
      <c r="J120" s="4">
        <v>3</v>
      </c>
      <c r="K120" s="5">
        <v>104.09</v>
      </c>
      <c r="L120" s="6">
        <v>0.2</v>
      </c>
      <c r="M120" s="5">
        <v>249.82</v>
      </c>
      <c r="P120" t="str">
        <f>TEXT(Tableau2[[#This Row],[Date]],"mmmm aaaa")</f>
        <v>juillet 2026</v>
      </c>
    </row>
    <row r="121" spans="1:16">
      <c r="A121" s="2" t="s">
        <v>207</v>
      </c>
      <c r="B121" s="3">
        <v>46130</v>
      </c>
      <c r="C121" s="2" t="s">
        <v>116</v>
      </c>
      <c r="D121" s="2" t="s">
        <v>15</v>
      </c>
      <c r="E121" s="2" t="s">
        <v>16</v>
      </c>
      <c r="F121" s="2" t="s">
        <v>28</v>
      </c>
      <c r="G121" s="2" t="s">
        <v>48</v>
      </c>
      <c r="H121" s="2" t="s">
        <v>88</v>
      </c>
      <c r="I121" s="2" t="s">
        <v>26</v>
      </c>
      <c r="J121" s="4">
        <v>6</v>
      </c>
      <c r="K121" s="5">
        <v>73.400000000000006</v>
      </c>
      <c r="L121" s="6">
        <v>0</v>
      </c>
      <c r="M121" s="5">
        <v>440.4</v>
      </c>
      <c r="P121" t="str">
        <f>TEXT(Tableau2[[#This Row],[Date]],"mmmm aaaa")</f>
        <v>avril 2026</v>
      </c>
    </row>
    <row r="122" spans="1:16">
      <c r="A122" s="2" t="s">
        <v>208</v>
      </c>
      <c r="B122" s="3">
        <v>46266</v>
      </c>
      <c r="C122" s="2" t="s">
        <v>63</v>
      </c>
      <c r="D122" s="2" t="s">
        <v>33</v>
      </c>
      <c r="E122" s="2" t="s">
        <v>34</v>
      </c>
      <c r="F122" s="2" t="s">
        <v>17</v>
      </c>
      <c r="G122" s="2" t="s">
        <v>24</v>
      </c>
      <c r="H122" s="2" t="s">
        <v>82</v>
      </c>
      <c r="I122" s="2" t="s">
        <v>45</v>
      </c>
      <c r="J122" s="4">
        <v>2</v>
      </c>
      <c r="K122" s="5">
        <v>290.52999999999997</v>
      </c>
      <c r="L122" s="6">
        <v>0.1</v>
      </c>
      <c r="M122" s="5">
        <v>522.95000000000005</v>
      </c>
      <c r="P122" t="str">
        <f>TEXT(Tableau2[[#This Row],[Date]],"mmmm aaaa")</f>
        <v>septembre 2026</v>
      </c>
    </row>
    <row r="123" spans="1:16">
      <c r="A123" s="2" t="s">
        <v>209</v>
      </c>
      <c r="B123" s="3">
        <v>46239</v>
      </c>
      <c r="C123" s="2" t="s">
        <v>52</v>
      </c>
      <c r="D123" s="2" t="s">
        <v>53</v>
      </c>
      <c r="E123" s="2" t="s">
        <v>34</v>
      </c>
      <c r="F123" s="2" t="s">
        <v>28</v>
      </c>
      <c r="G123" s="2" t="s">
        <v>29</v>
      </c>
      <c r="H123" s="2" t="s">
        <v>44</v>
      </c>
      <c r="I123" s="2" t="s">
        <v>50</v>
      </c>
      <c r="J123" s="4">
        <v>2</v>
      </c>
      <c r="K123" s="5">
        <v>40.090000000000003</v>
      </c>
      <c r="L123" s="6">
        <v>0</v>
      </c>
      <c r="M123" s="5">
        <v>80.180000000000007</v>
      </c>
      <c r="P123" t="str">
        <f>TEXT(Tableau2[[#This Row],[Date]],"mmmm aaaa")</f>
        <v>août 2026</v>
      </c>
    </row>
    <row r="124" spans="1:16">
      <c r="A124" s="2" t="s">
        <v>210</v>
      </c>
      <c r="B124" s="3">
        <v>46213</v>
      </c>
      <c r="C124" s="2" t="s">
        <v>66</v>
      </c>
      <c r="D124" s="2" t="s">
        <v>23</v>
      </c>
      <c r="E124" s="2" t="s">
        <v>34</v>
      </c>
      <c r="F124" s="2" t="s">
        <v>17</v>
      </c>
      <c r="G124" s="2" t="s">
        <v>24</v>
      </c>
      <c r="H124" s="2" t="s">
        <v>82</v>
      </c>
      <c r="I124" s="2" t="s">
        <v>45</v>
      </c>
      <c r="J124" s="4">
        <v>1</v>
      </c>
      <c r="K124" s="5">
        <v>302.19</v>
      </c>
      <c r="L124" s="6">
        <v>0</v>
      </c>
      <c r="M124" s="5">
        <v>302.19</v>
      </c>
      <c r="P124" t="str">
        <f>TEXT(Tableau2[[#This Row],[Date]],"mmmm aaaa")</f>
        <v>juillet 2026</v>
      </c>
    </row>
    <row r="125" spans="1:16">
      <c r="A125" s="2" t="s">
        <v>211</v>
      </c>
      <c r="B125" s="3">
        <v>46358</v>
      </c>
      <c r="C125" s="2" t="s">
        <v>134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136</v>
      </c>
      <c r="I125" s="2" t="s">
        <v>41</v>
      </c>
      <c r="J125" s="4">
        <v>2</v>
      </c>
      <c r="K125" s="5">
        <v>30.61</v>
      </c>
      <c r="L125" s="6">
        <v>0.1</v>
      </c>
      <c r="M125" s="5">
        <v>55.1</v>
      </c>
      <c r="P125" t="str">
        <f>TEXT(Tableau2[[#This Row],[Date]],"mmmm aaaa")</f>
        <v>décembre 2026</v>
      </c>
    </row>
    <row r="126" spans="1:16">
      <c r="A126" s="2" t="s">
        <v>212</v>
      </c>
      <c r="B126" s="3">
        <v>46107</v>
      </c>
      <c r="C126" s="2" t="s">
        <v>156</v>
      </c>
      <c r="D126" s="2" t="s">
        <v>15</v>
      </c>
      <c r="E126" s="2" t="s">
        <v>34</v>
      </c>
      <c r="F126" s="2" t="s">
        <v>28</v>
      </c>
      <c r="G126" s="2" t="s">
        <v>24</v>
      </c>
      <c r="H126" s="2" t="s">
        <v>25</v>
      </c>
      <c r="I126" s="2" t="s">
        <v>36</v>
      </c>
      <c r="J126" s="4">
        <v>5</v>
      </c>
      <c r="K126" s="5">
        <v>135.37</v>
      </c>
      <c r="L126" s="6">
        <v>0.1</v>
      </c>
      <c r="M126" s="5">
        <v>609.16999999999996</v>
      </c>
      <c r="P126" t="str">
        <f>TEXT(Tableau2[[#This Row],[Date]],"mmmm aaaa")</f>
        <v>mars 2026</v>
      </c>
    </row>
    <row r="127" spans="1:16">
      <c r="A127" s="2" t="s">
        <v>213</v>
      </c>
      <c r="B127" s="3">
        <v>46236</v>
      </c>
      <c r="C127" s="2" t="s">
        <v>94</v>
      </c>
      <c r="D127" s="2" t="s">
        <v>15</v>
      </c>
      <c r="E127" s="2" t="s">
        <v>43</v>
      </c>
      <c r="F127" s="2" t="s">
        <v>17</v>
      </c>
      <c r="G127" s="2" t="s">
        <v>24</v>
      </c>
      <c r="H127" s="2" t="s">
        <v>25</v>
      </c>
      <c r="I127" s="2" t="s">
        <v>75</v>
      </c>
      <c r="J127" s="4">
        <v>6</v>
      </c>
      <c r="K127" s="5">
        <v>137.91999999999999</v>
      </c>
      <c r="L127" s="6">
        <v>0.3</v>
      </c>
      <c r="M127" s="5">
        <v>579.26</v>
      </c>
      <c r="P127" t="str">
        <f>TEXT(Tableau2[[#This Row],[Date]],"mmmm aaaa")</f>
        <v>août 2026</v>
      </c>
    </row>
    <row r="128" spans="1:16">
      <c r="A128" s="2" t="s">
        <v>214</v>
      </c>
      <c r="B128" s="3">
        <v>46202</v>
      </c>
      <c r="C128" s="2" t="s">
        <v>169</v>
      </c>
      <c r="D128" s="2" t="s">
        <v>33</v>
      </c>
      <c r="E128" s="2" t="s">
        <v>34</v>
      </c>
      <c r="F128" s="2" t="s">
        <v>17</v>
      </c>
      <c r="G128" s="2" t="s">
        <v>39</v>
      </c>
      <c r="H128" s="2" t="s">
        <v>95</v>
      </c>
      <c r="I128" s="2" t="s">
        <v>20</v>
      </c>
      <c r="J128" s="4">
        <v>2</v>
      </c>
      <c r="K128" s="5">
        <v>99.78</v>
      </c>
      <c r="L128" s="6">
        <v>0</v>
      </c>
      <c r="M128" s="5">
        <v>199.56</v>
      </c>
      <c r="P128" t="str">
        <f>TEXT(Tableau2[[#This Row],[Date]],"mmmm aaaa")</f>
        <v>juin 2026</v>
      </c>
    </row>
    <row r="129" spans="1:16">
      <c r="A129" s="2" t="s">
        <v>215</v>
      </c>
      <c r="B129" s="3">
        <v>46169</v>
      </c>
      <c r="C129" s="2" t="s">
        <v>66</v>
      </c>
      <c r="D129" s="2" t="s">
        <v>23</v>
      </c>
      <c r="E129" s="2" t="s">
        <v>16</v>
      </c>
      <c r="F129" s="2" t="s">
        <v>28</v>
      </c>
      <c r="G129" s="2" t="s">
        <v>24</v>
      </c>
      <c r="H129" s="2" t="s">
        <v>35</v>
      </c>
      <c r="I129" s="2" t="s">
        <v>75</v>
      </c>
      <c r="J129" s="4">
        <v>2</v>
      </c>
      <c r="K129" s="5">
        <v>170.75</v>
      </c>
      <c r="L129" s="6">
        <v>0</v>
      </c>
      <c r="M129" s="5">
        <v>341.5</v>
      </c>
      <c r="P129" t="str">
        <f>TEXT(Tableau2[[#This Row],[Date]],"mmmm aaaa")</f>
        <v>mai 2026</v>
      </c>
    </row>
    <row r="130" spans="1:16">
      <c r="A130" s="2" t="s">
        <v>216</v>
      </c>
      <c r="B130" s="3">
        <v>46056</v>
      </c>
      <c r="C130" s="2" t="s">
        <v>14</v>
      </c>
      <c r="D130" s="2" t="s">
        <v>15</v>
      </c>
      <c r="E130" s="2" t="s">
        <v>34</v>
      </c>
      <c r="F130" s="2" t="s">
        <v>17</v>
      </c>
      <c r="G130" s="2" t="s">
        <v>24</v>
      </c>
      <c r="H130" s="2" t="s">
        <v>35</v>
      </c>
      <c r="I130" s="2" t="s">
        <v>36</v>
      </c>
      <c r="J130" s="4">
        <v>1</v>
      </c>
      <c r="K130" s="5">
        <v>178.46</v>
      </c>
      <c r="L130" s="6">
        <v>0.3</v>
      </c>
      <c r="M130" s="5">
        <v>124.92</v>
      </c>
      <c r="P130" t="str">
        <f>TEXT(Tableau2[[#This Row],[Date]],"mmmm aaaa")</f>
        <v>février 2026</v>
      </c>
    </row>
    <row r="131" spans="1:16">
      <c r="A131" s="2" t="s">
        <v>217</v>
      </c>
      <c r="B131" s="3">
        <v>46122</v>
      </c>
      <c r="C131" s="2" t="s">
        <v>123</v>
      </c>
      <c r="D131" s="2" t="s">
        <v>53</v>
      </c>
      <c r="E131" s="2" t="s">
        <v>43</v>
      </c>
      <c r="F131" s="2" t="s">
        <v>17</v>
      </c>
      <c r="G131" s="2" t="s">
        <v>48</v>
      </c>
      <c r="H131" s="2" t="s">
        <v>77</v>
      </c>
      <c r="I131" s="2" t="s">
        <v>20</v>
      </c>
      <c r="J131" s="4">
        <v>6</v>
      </c>
      <c r="K131" s="5">
        <v>89.06</v>
      </c>
      <c r="L131" s="6">
        <v>0.1</v>
      </c>
      <c r="M131" s="5">
        <v>480.92</v>
      </c>
      <c r="P131" t="str">
        <f>TEXT(Tableau2[[#This Row],[Date]],"mmmm aaaa")</f>
        <v>avril 2026</v>
      </c>
    </row>
    <row r="132" spans="1:16">
      <c r="A132" s="2" t="s">
        <v>218</v>
      </c>
      <c r="B132" s="3">
        <v>46385</v>
      </c>
      <c r="C132" s="2" t="s">
        <v>90</v>
      </c>
      <c r="D132" s="2" t="s">
        <v>53</v>
      </c>
      <c r="E132" s="2" t="s">
        <v>16</v>
      </c>
      <c r="F132" s="2" t="s">
        <v>17</v>
      </c>
      <c r="G132" s="2" t="s">
        <v>24</v>
      </c>
      <c r="H132" s="2" t="s">
        <v>25</v>
      </c>
      <c r="I132" s="2" t="s">
        <v>36</v>
      </c>
      <c r="J132" s="4">
        <v>1</v>
      </c>
      <c r="K132" s="5">
        <v>125.08</v>
      </c>
      <c r="L132" s="6">
        <v>0</v>
      </c>
      <c r="M132" s="5">
        <v>125.08</v>
      </c>
      <c r="P132" t="str">
        <f>TEXT(Tableau2[[#This Row],[Date]],"mmmm aaaa")</f>
        <v>décembre 2026</v>
      </c>
    </row>
    <row r="133" spans="1:16">
      <c r="A133" s="2" t="s">
        <v>219</v>
      </c>
      <c r="B133" s="3">
        <v>46083</v>
      </c>
      <c r="C133" s="2" t="s">
        <v>106</v>
      </c>
      <c r="D133" s="2" t="s">
        <v>23</v>
      </c>
      <c r="E133" s="2" t="s">
        <v>43</v>
      </c>
      <c r="F133" s="2" t="s">
        <v>28</v>
      </c>
      <c r="G133" s="2" t="s">
        <v>24</v>
      </c>
      <c r="H133" s="2" t="s">
        <v>61</v>
      </c>
      <c r="I133" s="2" t="s">
        <v>58</v>
      </c>
      <c r="J133" s="4">
        <v>1</v>
      </c>
      <c r="K133" s="5">
        <v>229.19</v>
      </c>
      <c r="L133" s="6">
        <v>0</v>
      </c>
      <c r="M133" s="5">
        <v>229.19</v>
      </c>
      <c r="P133" t="str">
        <f>TEXT(Tableau2[[#This Row],[Date]],"mmmm aaaa")</f>
        <v>mars 2026</v>
      </c>
    </row>
    <row r="134" spans="1:16">
      <c r="A134" s="2" t="s">
        <v>220</v>
      </c>
      <c r="B134" s="3">
        <v>46205</v>
      </c>
      <c r="C134" s="2" t="s">
        <v>63</v>
      </c>
      <c r="D134" s="2" t="s">
        <v>33</v>
      </c>
      <c r="E134" s="2" t="s">
        <v>16</v>
      </c>
      <c r="F134" s="2" t="s">
        <v>17</v>
      </c>
      <c r="G134" s="2" t="s">
        <v>48</v>
      </c>
      <c r="H134" s="2" t="s">
        <v>88</v>
      </c>
      <c r="I134" s="2" t="s">
        <v>50</v>
      </c>
      <c r="J134" s="4">
        <v>3</v>
      </c>
      <c r="K134" s="5">
        <v>80.86</v>
      </c>
      <c r="L134" s="6">
        <v>0</v>
      </c>
      <c r="M134" s="5">
        <v>242.58</v>
      </c>
      <c r="P134" t="str">
        <f>TEXT(Tableau2[[#This Row],[Date]],"mmmm aaaa")</f>
        <v>juillet 2026</v>
      </c>
    </row>
    <row r="135" spans="1:16">
      <c r="A135" s="2" t="s">
        <v>221</v>
      </c>
      <c r="B135" s="3">
        <v>46358</v>
      </c>
      <c r="C135" s="2" t="s">
        <v>130</v>
      </c>
      <c r="D135" s="2" t="s">
        <v>53</v>
      </c>
      <c r="E135" s="2" t="s">
        <v>16</v>
      </c>
      <c r="F135" s="2" t="s">
        <v>28</v>
      </c>
      <c r="G135" s="2" t="s">
        <v>18</v>
      </c>
      <c r="H135" s="2" t="s">
        <v>143</v>
      </c>
      <c r="I135" s="2" t="s">
        <v>36</v>
      </c>
      <c r="J135" s="4">
        <v>1</v>
      </c>
      <c r="K135" s="5">
        <v>69.13</v>
      </c>
      <c r="L135" s="6">
        <v>0</v>
      </c>
      <c r="M135" s="5">
        <v>69.13</v>
      </c>
      <c r="P135" t="str">
        <f>TEXT(Tableau2[[#This Row],[Date]],"mmmm aaaa")</f>
        <v>décembre 2026</v>
      </c>
    </row>
    <row r="136" spans="1:16">
      <c r="A136" s="2" t="s">
        <v>222</v>
      </c>
      <c r="B136" s="3">
        <v>46202</v>
      </c>
      <c r="C136" s="2" t="s">
        <v>116</v>
      </c>
      <c r="D136" s="2" t="s">
        <v>15</v>
      </c>
      <c r="E136" s="2" t="s">
        <v>16</v>
      </c>
      <c r="F136" s="2" t="s">
        <v>28</v>
      </c>
      <c r="G136" s="2" t="s">
        <v>24</v>
      </c>
      <c r="H136" s="2" t="s">
        <v>82</v>
      </c>
      <c r="I136" s="2" t="s">
        <v>75</v>
      </c>
      <c r="J136" s="4">
        <v>4</v>
      </c>
      <c r="K136" s="5">
        <v>281.83</v>
      </c>
      <c r="L136" s="6">
        <v>0.05</v>
      </c>
      <c r="M136" s="5">
        <v>1070.95</v>
      </c>
      <c r="P136" t="str">
        <f>TEXT(Tableau2[[#This Row],[Date]],"mmmm aaaa")</f>
        <v>juin 2026</v>
      </c>
    </row>
    <row r="137" spans="1:16">
      <c r="A137" s="2" t="s">
        <v>223</v>
      </c>
      <c r="B137" s="3">
        <v>46309</v>
      </c>
      <c r="C137" s="2" t="s">
        <v>66</v>
      </c>
      <c r="D137" s="2" t="s">
        <v>23</v>
      </c>
      <c r="E137" s="2" t="s">
        <v>16</v>
      </c>
      <c r="F137" s="2" t="s">
        <v>17</v>
      </c>
      <c r="G137" s="2" t="s">
        <v>54</v>
      </c>
      <c r="H137" s="2" t="s">
        <v>102</v>
      </c>
      <c r="I137" s="2" t="s">
        <v>58</v>
      </c>
      <c r="J137" s="4">
        <v>3</v>
      </c>
      <c r="K137" s="5">
        <v>205.81</v>
      </c>
      <c r="L137" s="6">
        <v>0</v>
      </c>
      <c r="M137" s="5">
        <v>617.42999999999995</v>
      </c>
      <c r="P137" t="str">
        <f>TEXT(Tableau2[[#This Row],[Date]],"mmmm aaaa")</f>
        <v>octobre 2026</v>
      </c>
    </row>
    <row r="138" spans="1:16">
      <c r="A138" s="2" t="s">
        <v>224</v>
      </c>
      <c r="B138" s="3">
        <v>46062</v>
      </c>
      <c r="C138" s="2" t="s">
        <v>14</v>
      </c>
      <c r="D138" s="2" t="s">
        <v>15</v>
      </c>
      <c r="E138" s="2" t="s">
        <v>34</v>
      </c>
      <c r="F138" s="2" t="s">
        <v>17</v>
      </c>
      <c r="G138" s="2" t="s">
        <v>29</v>
      </c>
      <c r="H138" s="2" t="s">
        <v>30</v>
      </c>
      <c r="I138" s="2" t="s">
        <v>26</v>
      </c>
      <c r="J138" s="4">
        <v>2</v>
      </c>
      <c r="K138" s="5">
        <v>24.69</v>
      </c>
      <c r="L138" s="6">
        <v>0</v>
      </c>
      <c r="M138" s="5">
        <v>49.38</v>
      </c>
      <c r="P138" t="str">
        <f>TEXT(Tableau2[[#This Row],[Date]],"mmmm aaaa")</f>
        <v>février 2026</v>
      </c>
    </row>
    <row r="139" spans="1:16">
      <c r="A139" s="2" t="s">
        <v>225</v>
      </c>
      <c r="B139" s="3">
        <v>46318</v>
      </c>
      <c r="C139" s="2" t="s">
        <v>57</v>
      </c>
      <c r="D139" s="2" t="s">
        <v>15</v>
      </c>
      <c r="E139" s="2" t="s">
        <v>38</v>
      </c>
      <c r="F139" s="2" t="s">
        <v>17</v>
      </c>
      <c r="G139" s="2" t="s">
        <v>54</v>
      </c>
      <c r="H139" s="2" t="s">
        <v>55</v>
      </c>
      <c r="I139" s="2" t="s">
        <v>36</v>
      </c>
      <c r="J139" s="4">
        <v>1</v>
      </c>
      <c r="K139" s="5">
        <v>156.43</v>
      </c>
      <c r="L139" s="6">
        <v>0</v>
      </c>
      <c r="M139" s="5">
        <v>156.43</v>
      </c>
      <c r="P139" t="str">
        <f>TEXT(Tableau2[[#This Row],[Date]],"mmmm aaaa")</f>
        <v>octobre 2026</v>
      </c>
    </row>
    <row r="140" spans="1:16">
      <c r="A140" s="2" t="s">
        <v>226</v>
      </c>
      <c r="B140" s="3">
        <v>46060</v>
      </c>
      <c r="C140" s="2" t="s">
        <v>47</v>
      </c>
      <c r="D140" s="2" t="s">
        <v>15</v>
      </c>
      <c r="E140" s="2" t="s">
        <v>16</v>
      </c>
      <c r="F140" s="2" t="s">
        <v>28</v>
      </c>
      <c r="G140" s="2" t="s">
        <v>48</v>
      </c>
      <c r="H140" s="2" t="s">
        <v>49</v>
      </c>
      <c r="I140" s="2" t="s">
        <v>20</v>
      </c>
      <c r="J140" s="4">
        <v>1</v>
      </c>
      <c r="K140" s="5">
        <v>56.7</v>
      </c>
      <c r="L140" s="6">
        <v>0</v>
      </c>
      <c r="M140" s="5">
        <v>56.7</v>
      </c>
      <c r="P140" t="str">
        <f>TEXT(Tableau2[[#This Row],[Date]],"mmmm aaaa")</f>
        <v>février 2026</v>
      </c>
    </row>
    <row r="141" spans="1:16">
      <c r="A141" s="2" t="s">
        <v>227</v>
      </c>
      <c r="B141" s="3">
        <v>46243</v>
      </c>
      <c r="C141" s="2" t="s">
        <v>106</v>
      </c>
      <c r="D141" s="2" t="s">
        <v>23</v>
      </c>
      <c r="E141" s="2" t="s">
        <v>34</v>
      </c>
      <c r="F141" s="2" t="s">
        <v>17</v>
      </c>
      <c r="G141" s="2" t="s">
        <v>39</v>
      </c>
      <c r="H141" s="2" t="s">
        <v>95</v>
      </c>
      <c r="I141" s="2" t="s">
        <v>45</v>
      </c>
      <c r="J141" s="4">
        <v>3</v>
      </c>
      <c r="K141" s="5">
        <v>95.74</v>
      </c>
      <c r="L141" s="6">
        <v>0.15</v>
      </c>
      <c r="M141" s="5">
        <v>244.14</v>
      </c>
      <c r="P141" t="str">
        <f>TEXT(Tableau2[[#This Row],[Date]],"mmmm aaaa")</f>
        <v>août 2026</v>
      </c>
    </row>
    <row r="142" spans="1:16">
      <c r="A142" s="2" t="s">
        <v>228</v>
      </c>
      <c r="B142" s="3">
        <v>46193</v>
      </c>
      <c r="C142" s="2" t="s">
        <v>130</v>
      </c>
      <c r="D142" s="2" t="s">
        <v>53</v>
      </c>
      <c r="E142" s="2" t="s">
        <v>16</v>
      </c>
      <c r="F142" s="2" t="s">
        <v>17</v>
      </c>
      <c r="G142" s="2" t="s">
        <v>39</v>
      </c>
      <c r="H142" s="2" t="s">
        <v>40</v>
      </c>
      <c r="I142" s="2" t="s">
        <v>45</v>
      </c>
      <c r="J142" s="4">
        <v>1</v>
      </c>
      <c r="K142" s="5">
        <v>126.58</v>
      </c>
      <c r="L142" s="6">
        <v>0</v>
      </c>
      <c r="M142" s="5">
        <v>126.58</v>
      </c>
      <c r="P142" t="str">
        <f>TEXT(Tableau2[[#This Row],[Date]],"mmmm aaaa")</f>
        <v>juin 2026</v>
      </c>
    </row>
    <row r="143" spans="1:16">
      <c r="A143" s="2" t="s">
        <v>229</v>
      </c>
      <c r="B143" s="3">
        <v>46233</v>
      </c>
      <c r="C143" s="2" t="s">
        <v>90</v>
      </c>
      <c r="D143" s="2" t="s">
        <v>53</v>
      </c>
      <c r="E143" s="2" t="s">
        <v>16</v>
      </c>
      <c r="F143" s="2" t="s">
        <v>28</v>
      </c>
      <c r="G143" s="2" t="s">
        <v>48</v>
      </c>
      <c r="H143" s="2" t="s">
        <v>49</v>
      </c>
      <c r="I143" s="2" t="s">
        <v>75</v>
      </c>
      <c r="J143" s="4">
        <v>5</v>
      </c>
      <c r="K143" s="5">
        <v>59.24</v>
      </c>
      <c r="L143" s="6">
        <v>0.05</v>
      </c>
      <c r="M143" s="5">
        <v>281.39</v>
      </c>
      <c r="P143" t="str">
        <f>TEXT(Tableau2[[#This Row],[Date]],"mmmm aaaa")</f>
        <v>juillet 2026</v>
      </c>
    </row>
    <row r="144" spans="1:16">
      <c r="A144" s="2" t="s">
        <v>230</v>
      </c>
      <c r="B144" s="3">
        <v>46296</v>
      </c>
      <c r="C144" s="2" t="s">
        <v>52</v>
      </c>
      <c r="D144" s="2" t="s">
        <v>53</v>
      </c>
      <c r="E144" s="2" t="s">
        <v>16</v>
      </c>
      <c r="F144" s="2" t="s">
        <v>28</v>
      </c>
      <c r="G144" s="2" t="s">
        <v>48</v>
      </c>
      <c r="H144" s="2" t="s">
        <v>77</v>
      </c>
      <c r="I144" s="2" t="s">
        <v>50</v>
      </c>
      <c r="J144" s="4">
        <v>2</v>
      </c>
      <c r="K144" s="5">
        <v>81.19</v>
      </c>
      <c r="L144" s="6">
        <v>0</v>
      </c>
      <c r="M144" s="5">
        <v>162.38</v>
      </c>
      <c r="P144" t="str">
        <f>TEXT(Tableau2[[#This Row],[Date]],"mmmm aaaa")</f>
        <v>octobre 2026</v>
      </c>
    </row>
    <row r="145" spans="1:16">
      <c r="A145" s="2" t="s">
        <v>231</v>
      </c>
      <c r="B145" s="3">
        <v>46110</v>
      </c>
      <c r="C145" s="2" t="s">
        <v>90</v>
      </c>
      <c r="D145" s="2" t="s">
        <v>53</v>
      </c>
      <c r="E145" s="2" t="s">
        <v>43</v>
      </c>
      <c r="F145" s="2" t="s">
        <v>17</v>
      </c>
      <c r="G145" s="2" t="s">
        <v>48</v>
      </c>
      <c r="H145" s="2" t="s">
        <v>88</v>
      </c>
      <c r="I145" s="2" t="s">
        <v>41</v>
      </c>
      <c r="J145" s="4">
        <v>2</v>
      </c>
      <c r="K145" s="5">
        <v>75.23</v>
      </c>
      <c r="L145" s="6">
        <v>0</v>
      </c>
      <c r="M145" s="5">
        <v>150.46</v>
      </c>
      <c r="P145" t="str">
        <f>TEXT(Tableau2[[#This Row],[Date]],"mmmm aaaa")</f>
        <v>mars 2026</v>
      </c>
    </row>
    <row r="146" spans="1:16">
      <c r="A146" s="2" t="s">
        <v>232</v>
      </c>
      <c r="B146" s="3">
        <v>46336</v>
      </c>
      <c r="C146" s="2" t="s">
        <v>63</v>
      </c>
      <c r="D146" s="2" t="s">
        <v>33</v>
      </c>
      <c r="E146" s="2" t="s">
        <v>38</v>
      </c>
      <c r="F146" s="2" t="s">
        <v>17</v>
      </c>
      <c r="G146" s="2" t="s">
        <v>48</v>
      </c>
      <c r="H146" s="2" t="s">
        <v>88</v>
      </c>
      <c r="I146" s="2" t="s">
        <v>45</v>
      </c>
      <c r="J146" s="4">
        <v>4</v>
      </c>
      <c r="K146" s="5">
        <v>70.81</v>
      </c>
      <c r="L146" s="6">
        <v>0.05</v>
      </c>
      <c r="M146" s="5">
        <v>269.08</v>
      </c>
      <c r="P146" t="str">
        <f>TEXT(Tableau2[[#This Row],[Date]],"mmmm aaaa")</f>
        <v>novembre 2026</v>
      </c>
    </row>
    <row r="147" spans="1:16">
      <c r="A147" s="2" t="s">
        <v>233</v>
      </c>
      <c r="B147" s="3">
        <v>46197</v>
      </c>
      <c r="C147" s="2" t="s">
        <v>57</v>
      </c>
      <c r="D147" s="2" t="s">
        <v>15</v>
      </c>
      <c r="E147" s="2" t="s">
        <v>38</v>
      </c>
      <c r="F147" s="2" t="s">
        <v>28</v>
      </c>
      <c r="G147" s="2" t="s">
        <v>18</v>
      </c>
      <c r="H147" s="2" t="s">
        <v>136</v>
      </c>
      <c r="I147" s="2" t="s">
        <v>45</v>
      </c>
      <c r="J147" s="4">
        <v>1</v>
      </c>
      <c r="K147" s="5">
        <v>33.979999999999997</v>
      </c>
      <c r="L147" s="6">
        <v>0.1</v>
      </c>
      <c r="M147" s="5">
        <v>30.58</v>
      </c>
      <c r="P147" t="str">
        <f>TEXT(Tableau2[[#This Row],[Date]],"mmmm aaaa")</f>
        <v>juin 2026</v>
      </c>
    </row>
    <row r="148" spans="1:16">
      <c r="A148" s="2" t="s">
        <v>234</v>
      </c>
      <c r="B148" s="3">
        <v>46353</v>
      </c>
      <c r="C148" s="2" t="s">
        <v>178</v>
      </c>
      <c r="D148" s="2" t="s">
        <v>15</v>
      </c>
      <c r="E148" s="2" t="s">
        <v>34</v>
      </c>
      <c r="F148" s="2" t="s">
        <v>28</v>
      </c>
      <c r="G148" s="2" t="s">
        <v>24</v>
      </c>
      <c r="H148" s="2" t="s">
        <v>61</v>
      </c>
      <c r="I148" s="2" t="s">
        <v>75</v>
      </c>
      <c r="J148" s="4">
        <v>2</v>
      </c>
      <c r="K148" s="5">
        <v>220.99</v>
      </c>
      <c r="L148" s="6">
        <v>0</v>
      </c>
      <c r="M148" s="5">
        <v>441.98</v>
      </c>
      <c r="P148" t="str">
        <f>TEXT(Tableau2[[#This Row],[Date]],"mmmm aaaa")</f>
        <v>novembre 2026</v>
      </c>
    </row>
    <row r="149" spans="1:16">
      <c r="A149" s="2" t="s">
        <v>235</v>
      </c>
      <c r="B149" s="3">
        <v>46091</v>
      </c>
      <c r="C149" s="2" t="s">
        <v>86</v>
      </c>
      <c r="D149" s="2" t="s">
        <v>53</v>
      </c>
      <c r="E149" s="2" t="s">
        <v>38</v>
      </c>
      <c r="F149" s="2" t="s">
        <v>17</v>
      </c>
      <c r="G149" s="2" t="s">
        <v>24</v>
      </c>
      <c r="H149" s="2" t="s">
        <v>82</v>
      </c>
      <c r="I149" s="2" t="s">
        <v>45</v>
      </c>
      <c r="J149" s="4">
        <v>4</v>
      </c>
      <c r="K149" s="5">
        <v>278.97000000000003</v>
      </c>
      <c r="L149" s="6">
        <v>0.05</v>
      </c>
      <c r="M149" s="5">
        <v>1060.0899999999999</v>
      </c>
      <c r="P149" t="str">
        <f>TEXT(Tableau2[[#This Row],[Date]],"mmmm aaaa")</f>
        <v>mars 2026</v>
      </c>
    </row>
    <row r="150" spans="1:16">
      <c r="A150" s="2" t="s">
        <v>236</v>
      </c>
      <c r="B150" s="3">
        <v>46120</v>
      </c>
      <c r="C150" s="2" t="s">
        <v>86</v>
      </c>
      <c r="D150" s="2" t="s">
        <v>53</v>
      </c>
      <c r="E150" s="2" t="s">
        <v>43</v>
      </c>
      <c r="F150" s="2" t="s">
        <v>17</v>
      </c>
      <c r="G150" s="2" t="s">
        <v>39</v>
      </c>
      <c r="H150" s="2" t="s">
        <v>71</v>
      </c>
      <c r="I150" s="2" t="s">
        <v>26</v>
      </c>
      <c r="J150" s="4">
        <v>1</v>
      </c>
      <c r="K150" s="5">
        <v>109.25</v>
      </c>
      <c r="L150" s="6">
        <v>0</v>
      </c>
      <c r="M150" s="5">
        <v>109.25</v>
      </c>
      <c r="P150" t="str">
        <f>TEXT(Tableau2[[#This Row],[Date]],"mmmm aaaa")</f>
        <v>avril 2026</v>
      </c>
    </row>
    <row r="151" spans="1:16">
      <c r="A151" s="2" t="s">
        <v>237</v>
      </c>
      <c r="B151" s="3">
        <v>46239</v>
      </c>
      <c r="C151" s="2" t="s">
        <v>52</v>
      </c>
      <c r="D151" s="2" t="s">
        <v>53</v>
      </c>
      <c r="E151" s="2" t="s">
        <v>16</v>
      </c>
      <c r="F151" s="2" t="s">
        <v>28</v>
      </c>
      <c r="G151" s="2" t="s">
        <v>24</v>
      </c>
      <c r="H151" s="2" t="s">
        <v>35</v>
      </c>
      <c r="I151" s="2" t="s">
        <v>36</v>
      </c>
      <c r="J151" s="4">
        <v>6</v>
      </c>
      <c r="K151" s="5">
        <v>166.56</v>
      </c>
      <c r="L151" s="6">
        <v>0</v>
      </c>
      <c r="M151" s="5">
        <v>999.36</v>
      </c>
      <c r="P151" t="str">
        <f>TEXT(Tableau2[[#This Row],[Date]],"mmmm aaaa")</f>
        <v>août 2026</v>
      </c>
    </row>
    <row r="152" spans="1:16">
      <c r="A152" s="2" t="s">
        <v>238</v>
      </c>
      <c r="B152" s="3">
        <v>46150</v>
      </c>
      <c r="C152" s="2" t="s">
        <v>57</v>
      </c>
      <c r="D152" s="2" t="s">
        <v>15</v>
      </c>
      <c r="E152" s="2" t="s">
        <v>16</v>
      </c>
      <c r="F152" s="2" t="s">
        <v>28</v>
      </c>
      <c r="G152" s="2" t="s">
        <v>48</v>
      </c>
      <c r="H152" s="2" t="s">
        <v>49</v>
      </c>
      <c r="I152" s="2" t="s">
        <v>20</v>
      </c>
      <c r="J152" s="4">
        <v>5</v>
      </c>
      <c r="K152" s="5">
        <v>61.53</v>
      </c>
      <c r="L152" s="6">
        <v>0.2</v>
      </c>
      <c r="M152" s="5">
        <v>246.12</v>
      </c>
      <c r="P152" t="str">
        <f>TEXT(Tableau2[[#This Row],[Date]],"mmmm aaaa")</f>
        <v>mai 2026</v>
      </c>
    </row>
    <row r="153" spans="1:16">
      <c r="A153" s="2" t="s">
        <v>239</v>
      </c>
      <c r="B153" s="3">
        <v>46332</v>
      </c>
      <c r="C153" s="2" t="s">
        <v>101</v>
      </c>
      <c r="D153" s="2" t="s">
        <v>33</v>
      </c>
      <c r="E153" s="2" t="s">
        <v>16</v>
      </c>
      <c r="F153" s="2" t="s">
        <v>28</v>
      </c>
      <c r="G153" s="2" t="s">
        <v>18</v>
      </c>
      <c r="H153" s="2" t="s">
        <v>158</v>
      </c>
      <c r="I153" s="2" t="s">
        <v>26</v>
      </c>
      <c r="J153" s="4">
        <v>5</v>
      </c>
      <c r="K153" s="5">
        <v>47.74</v>
      </c>
      <c r="L153" s="6">
        <v>0.15</v>
      </c>
      <c r="M153" s="5">
        <v>202.9</v>
      </c>
      <c r="P153" t="str">
        <f>TEXT(Tableau2[[#This Row],[Date]],"mmmm aaaa")</f>
        <v>novembre 2026</v>
      </c>
    </row>
    <row r="154" spans="1:16">
      <c r="A154" s="2" t="s">
        <v>240</v>
      </c>
      <c r="B154" s="3">
        <v>46102</v>
      </c>
      <c r="C154" s="2" t="s">
        <v>116</v>
      </c>
      <c r="D154" s="2" t="s">
        <v>15</v>
      </c>
      <c r="E154" s="2" t="s">
        <v>34</v>
      </c>
      <c r="F154" s="2" t="s">
        <v>17</v>
      </c>
      <c r="G154" s="2" t="s">
        <v>29</v>
      </c>
      <c r="H154" s="2" t="s">
        <v>30</v>
      </c>
      <c r="I154" s="2" t="s">
        <v>75</v>
      </c>
      <c r="J154" s="4">
        <v>1</v>
      </c>
      <c r="K154" s="5">
        <v>27.56</v>
      </c>
      <c r="L154" s="6">
        <v>0.2</v>
      </c>
      <c r="M154" s="5">
        <v>22.05</v>
      </c>
      <c r="P154" t="str">
        <f>TEXT(Tableau2[[#This Row],[Date]],"mmmm aaaa")</f>
        <v>mars 2026</v>
      </c>
    </row>
    <row r="155" spans="1:16">
      <c r="A155" s="2" t="s">
        <v>241</v>
      </c>
      <c r="B155" s="3">
        <v>46204</v>
      </c>
      <c r="C155" s="2" t="s">
        <v>63</v>
      </c>
      <c r="D155" s="2" t="s">
        <v>33</v>
      </c>
      <c r="E155" s="2" t="s">
        <v>38</v>
      </c>
      <c r="F155" s="2" t="s">
        <v>17</v>
      </c>
      <c r="G155" s="2" t="s">
        <v>18</v>
      </c>
      <c r="H155" s="2" t="s">
        <v>158</v>
      </c>
      <c r="I155" s="2" t="s">
        <v>75</v>
      </c>
      <c r="J155" s="4">
        <v>9</v>
      </c>
      <c r="K155" s="5">
        <v>47.61</v>
      </c>
      <c r="L155" s="6">
        <v>0</v>
      </c>
      <c r="M155" s="5">
        <v>428.49</v>
      </c>
      <c r="P155" t="str">
        <f>TEXT(Tableau2[[#This Row],[Date]],"mmmm aaaa")</f>
        <v>juillet 2026</v>
      </c>
    </row>
    <row r="156" spans="1:16">
      <c r="A156" s="2" t="s">
        <v>242</v>
      </c>
      <c r="B156" s="3">
        <v>46196</v>
      </c>
      <c r="C156" s="2" t="s">
        <v>57</v>
      </c>
      <c r="D156" s="2" t="s">
        <v>15</v>
      </c>
      <c r="E156" s="2" t="s">
        <v>16</v>
      </c>
      <c r="F156" s="2" t="s">
        <v>28</v>
      </c>
      <c r="G156" s="2" t="s">
        <v>29</v>
      </c>
      <c r="H156" s="2" t="s">
        <v>30</v>
      </c>
      <c r="I156" s="2" t="s">
        <v>20</v>
      </c>
      <c r="J156" s="4">
        <v>2</v>
      </c>
      <c r="K156" s="5">
        <v>24.51</v>
      </c>
      <c r="L156" s="6">
        <v>0</v>
      </c>
      <c r="M156" s="5">
        <v>49.02</v>
      </c>
      <c r="P156" t="str">
        <f>TEXT(Tableau2[[#This Row],[Date]],"mmmm aaaa")</f>
        <v>juin 2026</v>
      </c>
    </row>
    <row r="157" spans="1:16">
      <c r="A157" s="2" t="s">
        <v>243</v>
      </c>
      <c r="B157" s="3">
        <v>46133</v>
      </c>
      <c r="C157" s="2" t="s">
        <v>116</v>
      </c>
      <c r="D157" s="2" t="s">
        <v>15</v>
      </c>
      <c r="E157" s="2" t="s">
        <v>43</v>
      </c>
      <c r="F157" s="2" t="s">
        <v>28</v>
      </c>
      <c r="G157" s="2" t="s">
        <v>54</v>
      </c>
      <c r="H157" s="2" t="s">
        <v>64</v>
      </c>
      <c r="I157" s="2" t="s">
        <v>58</v>
      </c>
      <c r="J157" s="4">
        <v>1</v>
      </c>
      <c r="K157" s="5">
        <v>82.46</v>
      </c>
      <c r="L157" s="6">
        <v>0</v>
      </c>
      <c r="M157" s="5">
        <v>82.46</v>
      </c>
      <c r="P157" t="str">
        <f>TEXT(Tableau2[[#This Row],[Date]],"mmmm aaaa")</f>
        <v>avril 2026</v>
      </c>
    </row>
    <row r="158" spans="1:16">
      <c r="A158" s="2" t="s">
        <v>244</v>
      </c>
      <c r="B158" s="3">
        <v>46160</v>
      </c>
      <c r="C158" s="2" t="s">
        <v>92</v>
      </c>
      <c r="D158" s="2" t="s">
        <v>53</v>
      </c>
      <c r="E158" s="2" t="s">
        <v>16</v>
      </c>
      <c r="F158" s="2" t="s">
        <v>17</v>
      </c>
      <c r="G158" s="2" t="s">
        <v>48</v>
      </c>
      <c r="H158" s="2" t="s">
        <v>49</v>
      </c>
      <c r="I158" s="2" t="s">
        <v>36</v>
      </c>
      <c r="J158" s="4">
        <v>2</v>
      </c>
      <c r="K158" s="5">
        <v>60.2</v>
      </c>
      <c r="L158" s="6">
        <v>0</v>
      </c>
      <c r="M158" s="5">
        <v>120.4</v>
      </c>
      <c r="P158" t="str">
        <f>TEXT(Tableau2[[#This Row],[Date]],"mmmm aaaa")</f>
        <v>mai 2026</v>
      </c>
    </row>
    <row r="159" spans="1:16">
      <c r="A159" s="2" t="s">
        <v>245</v>
      </c>
      <c r="B159" s="3">
        <v>46115</v>
      </c>
      <c r="C159" s="2" t="s">
        <v>94</v>
      </c>
      <c r="D159" s="2" t="s">
        <v>15</v>
      </c>
      <c r="E159" s="2" t="s">
        <v>16</v>
      </c>
      <c r="F159" s="2" t="s">
        <v>17</v>
      </c>
      <c r="G159" s="2" t="s">
        <v>48</v>
      </c>
      <c r="H159" s="2" t="s">
        <v>88</v>
      </c>
      <c r="I159" s="2" t="s">
        <v>20</v>
      </c>
      <c r="J159" s="4">
        <v>1</v>
      </c>
      <c r="K159" s="5">
        <v>72.36</v>
      </c>
      <c r="L159" s="6">
        <v>0</v>
      </c>
      <c r="M159" s="5">
        <v>72.36</v>
      </c>
      <c r="P159" t="str">
        <f>TEXT(Tableau2[[#This Row],[Date]],"mmmm aaaa")</f>
        <v>avril 2026</v>
      </c>
    </row>
    <row r="160" spans="1:16">
      <c r="A160" s="2" t="s">
        <v>246</v>
      </c>
      <c r="B160" s="3">
        <v>46294</v>
      </c>
      <c r="C160" s="2" t="s">
        <v>116</v>
      </c>
      <c r="D160" s="2" t="s">
        <v>15</v>
      </c>
      <c r="E160" s="2" t="s">
        <v>34</v>
      </c>
      <c r="F160" s="2" t="s">
        <v>28</v>
      </c>
      <c r="G160" s="2" t="s">
        <v>39</v>
      </c>
      <c r="H160" s="2" t="s">
        <v>40</v>
      </c>
      <c r="I160" s="2" t="s">
        <v>45</v>
      </c>
      <c r="J160" s="4">
        <v>1</v>
      </c>
      <c r="K160" s="5">
        <v>125.55</v>
      </c>
      <c r="L160" s="6">
        <v>0.05</v>
      </c>
      <c r="M160" s="5">
        <v>119.27</v>
      </c>
      <c r="P160" t="str">
        <f>TEXT(Tableau2[[#This Row],[Date]],"mmmm aaaa")</f>
        <v>septembre 2026</v>
      </c>
    </row>
    <row r="161" spans="1:16">
      <c r="A161" s="2" t="s">
        <v>247</v>
      </c>
      <c r="B161" s="3">
        <v>46044</v>
      </c>
      <c r="C161" s="2" t="s">
        <v>164</v>
      </c>
      <c r="D161" s="2" t="s">
        <v>53</v>
      </c>
      <c r="E161" s="2" t="s">
        <v>34</v>
      </c>
      <c r="F161" s="2" t="s">
        <v>17</v>
      </c>
      <c r="G161" s="2" t="s">
        <v>24</v>
      </c>
      <c r="H161" s="2" t="s">
        <v>82</v>
      </c>
      <c r="I161" s="2" t="s">
        <v>58</v>
      </c>
      <c r="J161" s="4">
        <v>1</v>
      </c>
      <c r="K161" s="5">
        <v>284.72000000000003</v>
      </c>
      <c r="L161" s="6">
        <v>0</v>
      </c>
      <c r="M161" s="5">
        <v>284.72000000000003</v>
      </c>
      <c r="P161" t="str">
        <f>TEXT(Tableau2[[#This Row],[Date]],"mmmm aaaa")</f>
        <v>janvier 2026</v>
      </c>
    </row>
    <row r="162" spans="1:16">
      <c r="A162" s="2" t="s">
        <v>248</v>
      </c>
      <c r="B162" s="3">
        <v>46104</v>
      </c>
      <c r="C162" s="2" t="s">
        <v>66</v>
      </c>
      <c r="D162" s="2" t="s">
        <v>23</v>
      </c>
      <c r="E162" s="2" t="s">
        <v>34</v>
      </c>
      <c r="F162" s="2" t="s">
        <v>28</v>
      </c>
      <c r="G162" s="2" t="s">
        <v>48</v>
      </c>
      <c r="H162" s="2" t="s">
        <v>84</v>
      </c>
      <c r="I162" s="2" t="s">
        <v>36</v>
      </c>
      <c r="J162" s="4">
        <v>3</v>
      </c>
      <c r="K162" s="5">
        <v>86.57</v>
      </c>
      <c r="L162" s="6">
        <v>0</v>
      </c>
      <c r="M162" s="5">
        <v>259.70999999999998</v>
      </c>
      <c r="P162" t="str">
        <f>TEXT(Tableau2[[#This Row],[Date]],"mmmm aaaa")</f>
        <v>mars 2026</v>
      </c>
    </row>
    <row r="163" spans="1:16">
      <c r="A163" s="2" t="s">
        <v>249</v>
      </c>
      <c r="B163" s="3">
        <v>46217</v>
      </c>
      <c r="C163" s="2" t="s">
        <v>22</v>
      </c>
      <c r="D163" s="2" t="s">
        <v>23</v>
      </c>
      <c r="E163" s="2" t="s">
        <v>34</v>
      </c>
      <c r="F163" s="2" t="s">
        <v>17</v>
      </c>
      <c r="G163" s="2" t="s">
        <v>54</v>
      </c>
      <c r="H163" s="2" t="s">
        <v>64</v>
      </c>
      <c r="I163" s="2" t="s">
        <v>50</v>
      </c>
      <c r="J163" s="4">
        <v>1</v>
      </c>
      <c r="K163" s="5">
        <v>85.4</v>
      </c>
      <c r="L163" s="6">
        <v>0.05</v>
      </c>
      <c r="M163" s="5">
        <v>81.13</v>
      </c>
      <c r="P163" t="str">
        <f>TEXT(Tableau2[[#This Row],[Date]],"mmmm aaaa")</f>
        <v>juillet 2026</v>
      </c>
    </row>
    <row r="164" spans="1:16">
      <c r="A164" s="2" t="s">
        <v>250</v>
      </c>
      <c r="B164" s="3">
        <v>46042</v>
      </c>
      <c r="C164" s="2" t="s">
        <v>94</v>
      </c>
      <c r="D164" s="2" t="s">
        <v>15</v>
      </c>
      <c r="E164" s="2" t="s">
        <v>43</v>
      </c>
      <c r="F164" s="2" t="s">
        <v>17</v>
      </c>
      <c r="G164" s="2" t="s">
        <v>48</v>
      </c>
      <c r="H164" s="2" t="s">
        <v>88</v>
      </c>
      <c r="I164" s="2" t="s">
        <v>58</v>
      </c>
      <c r="J164" s="4">
        <v>3</v>
      </c>
      <c r="K164" s="5">
        <v>70.540000000000006</v>
      </c>
      <c r="L164" s="6">
        <v>0.05</v>
      </c>
      <c r="M164" s="5">
        <v>201.04</v>
      </c>
      <c r="P164" t="str">
        <f>TEXT(Tableau2[[#This Row],[Date]],"mmmm aaaa")</f>
        <v>janvier 2026</v>
      </c>
    </row>
    <row r="165" spans="1:16">
      <c r="A165" s="2" t="s">
        <v>251</v>
      </c>
      <c r="B165" s="3">
        <v>46163</v>
      </c>
      <c r="C165" s="2" t="s">
        <v>86</v>
      </c>
      <c r="D165" s="2" t="s">
        <v>53</v>
      </c>
      <c r="E165" s="2" t="s">
        <v>34</v>
      </c>
      <c r="F165" s="2" t="s">
        <v>28</v>
      </c>
      <c r="G165" s="2" t="s">
        <v>39</v>
      </c>
      <c r="H165" s="2" t="s">
        <v>95</v>
      </c>
      <c r="I165" s="2" t="s">
        <v>45</v>
      </c>
      <c r="J165" s="4">
        <v>3</v>
      </c>
      <c r="K165" s="5">
        <v>96.05</v>
      </c>
      <c r="L165" s="6">
        <v>0</v>
      </c>
      <c r="M165" s="5">
        <v>288.14999999999998</v>
      </c>
      <c r="P165" t="str">
        <f>TEXT(Tableau2[[#This Row],[Date]],"mmmm aaaa")</f>
        <v>mai 2026</v>
      </c>
    </row>
    <row r="166" spans="1:16">
      <c r="A166" s="2" t="s">
        <v>252</v>
      </c>
      <c r="B166" s="3">
        <v>46321</v>
      </c>
      <c r="C166" s="2" t="s">
        <v>57</v>
      </c>
      <c r="D166" s="2" t="s">
        <v>15</v>
      </c>
      <c r="E166" s="2" t="s">
        <v>43</v>
      </c>
      <c r="F166" s="2" t="s">
        <v>17</v>
      </c>
      <c r="G166" s="2" t="s">
        <v>54</v>
      </c>
      <c r="H166" s="2" t="s">
        <v>64</v>
      </c>
      <c r="I166" s="2" t="s">
        <v>45</v>
      </c>
      <c r="J166" s="4">
        <v>2</v>
      </c>
      <c r="K166" s="5">
        <v>82.57</v>
      </c>
      <c r="L166" s="6">
        <v>0</v>
      </c>
      <c r="M166" s="5">
        <v>165.14</v>
      </c>
      <c r="P166" t="str">
        <f>TEXT(Tableau2[[#This Row],[Date]],"mmmm aaaa")</f>
        <v>octobre 2026</v>
      </c>
    </row>
    <row r="167" spans="1:16">
      <c r="A167" s="2" t="s">
        <v>253</v>
      </c>
      <c r="B167" s="3">
        <v>46305</v>
      </c>
      <c r="C167" s="2" t="s">
        <v>57</v>
      </c>
      <c r="D167" s="2" t="s">
        <v>15</v>
      </c>
      <c r="E167" s="2" t="s">
        <v>16</v>
      </c>
      <c r="F167" s="2" t="s">
        <v>17</v>
      </c>
      <c r="G167" s="2" t="s">
        <v>24</v>
      </c>
      <c r="H167" s="2" t="s">
        <v>35</v>
      </c>
      <c r="I167" s="2" t="s">
        <v>58</v>
      </c>
      <c r="J167" s="4">
        <v>5</v>
      </c>
      <c r="K167" s="5">
        <v>178.25</v>
      </c>
      <c r="L167" s="6">
        <v>0</v>
      </c>
      <c r="M167" s="5">
        <v>891.25</v>
      </c>
      <c r="P167" t="str">
        <f>TEXT(Tableau2[[#This Row],[Date]],"mmmm aaaa")</f>
        <v>octobre 2026</v>
      </c>
    </row>
    <row r="168" spans="1:16">
      <c r="A168" s="2" t="s">
        <v>254</v>
      </c>
      <c r="B168" s="3">
        <v>46339</v>
      </c>
      <c r="C168" s="2" t="s">
        <v>57</v>
      </c>
      <c r="D168" s="2" t="s">
        <v>15</v>
      </c>
      <c r="E168" s="2" t="s">
        <v>43</v>
      </c>
      <c r="F168" s="2" t="s">
        <v>17</v>
      </c>
      <c r="G168" s="2" t="s">
        <v>18</v>
      </c>
      <c r="H168" s="2" t="s">
        <v>19</v>
      </c>
      <c r="I168" s="2" t="s">
        <v>45</v>
      </c>
      <c r="J168" s="4">
        <v>2</v>
      </c>
      <c r="K168" s="5">
        <v>53.95</v>
      </c>
      <c r="L168" s="6">
        <v>0</v>
      </c>
      <c r="M168" s="5">
        <v>107.9</v>
      </c>
      <c r="P168" t="str">
        <f>TEXT(Tableau2[[#This Row],[Date]],"mmmm aaaa")</f>
        <v>novembre 2026</v>
      </c>
    </row>
    <row r="169" spans="1:16">
      <c r="A169" s="2" t="s">
        <v>255</v>
      </c>
      <c r="B169" s="3">
        <v>46093</v>
      </c>
      <c r="C169" s="2" t="s">
        <v>171</v>
      </c>
      <c r="D169" s="2" t="s">
        <v>33</v>
      </c>
      <c r="E169" s="2" t="s">
        <v>16</v>
      </c>
      <c r="F169" s="2" t="s">
        <v>28</v>
      </c>
      <c r="G169" s="2" t="s">
        <v>24</v>
      </c>
      <c r="H169" s="2" t="s">
        <v>25</v>
      </c>
      <c r="I169" s="2" t="s">
        <v>45</v>
      </c>
      <c r="J169" s="4">
        <v>1</v>
      </c>
      <c r="K169" s="5">
        <v>137.93</v>
      </c>
      <c r="L169" s="6">
        <v>0</v>
      </c>
      <c r="M169" s="5">
        <v>137.93</v>
      </c>
      <c r="P169" t="str">
        <f>TEXT(Tableau2[[#This Row],[Date]],"mmmm aaaa")</f>
        <v>mars 2026</v>
      </c>
    </row>
    <row r="170" spans="1:16">
      <c r="A170" s="2" t="s">
        <v>256</v>
      </c>
      <c r="B170" s="3">
        <v>46195</v>
      </c>
      <c r="C170" s="2" t="s">
        <v>32</v>
      </c>
      <c r="D170" s="2" t="s">
        <v>33</v>
      </c>
      <c r="E170" s="2" t="s">
        <v>34</v>
      </c>
      <c r="F170" s="2" t="s">
        <v>17</v>
      </c>
      <c r="G170" s="2" t="s">
        <v>29</v>
      </c>
      <c r="H170" s="2" t="s">
        <v>44</v>
      </c>
      <c r="I170" s="2" t="s">
        <v>58</v>
      </c>
      <c r="J170" s="4">
        <v>4</v>
      </c>
      <c r="K170" s="5">
        <v>36.049999999999997</v>
      </c>
      <c r="L170" s="6">
        <v>0.05</v>
      </c>
      <c r="M170" s="5">
        <v>136.99</v>
      </c>
      <c r="P170" t="str">
        <f>TEXT(Tableau2[[#This Row],[Date]],"mmmm aaaa")</f>
        <v>juin 2026</v>
      </c>
    </row>
    <row r="171" spans="1:16">
      <c r="A171" s="2" t="s">
        <v>257</v>
      </c>
      <c r="B171" s="3">
        <v>46036</v>
      </c>
      <c r="C171" s="2" t="s">
        <v>14</v>
      </c>
      <c r="D171" s="2" t="s">
        <v>15</v>
      </c>
      <c r="E171" s="2" t="s">
        <v>16</v>
      </c>
      <c r="F171" s="2" t="s">
        <v>17</v>
      </c>
      <c r="G171" s="2" t="s">
        <v>54</v>
      </c>
      <c r="H171" s="2" t="s">
        <v>55</v>
      </c>
      <c r="I171" s="2" t="s">
        <v>26</v>
      </c>
      <c r="J171" s="4">
        <v>1</v>
      </c>
      <c r="K171" s="5">
        <v>166.75</v>
      </c>
      <c r="L171" s="6">
        <v>0</v>
      </c>
      <c r="M171" s="5">
        <v>166.75</v>
      </c>
      <c r="P171" t="str">
        <f>TEXT(Tableau2[[#This Row],[Date]],"mmmm aaaa")</f>
        <v>janvier 2026</v>
      </c>
    </row>
    <row r="172" spans="1:16">
      <c r="A172" s="2" t="s">
        <v>258</v>
      </c>
      <c r="B172" s="3">
        <v>46052</v>
      </c>
      <c r="C172" s="2" t="s">
        <v>66</v>
      </c>
      <c r="D172" s="2" t="s">
        <v>23</v>
      </c>
      <c r="E172" s="2" t="s">
        <v>34</v>
      </c>
      <c r="F172" s="2" t="s">
        <v>28</v>
      </c>
      <c r="G172" s="2" t="s">
        <v>18</v>
      </c>
      <c r="H172" s="2" t="s">
        <v>158</v>
      </c>
      <c r="I172" s="2" t="s">
        <v>41</v>
      </c>
      <c r="J172" s="4">
        <v>1</v>
      </c>
      <c r="K172" s="5">
        <v>44.43</v>
      </c>
      <c r="L172" s="6">
        <v>0</v>
      </c>
      <c r="M172" s="5">
        <v>44.43</v>
      </c>
      <c r="P172" t="str">
        <f>TEXT(Tableau2[[#This Row],[Date]],"mmmm aaaa")</f>
        <v>janvier 2026</v>
      </c>
    </row>
    <row r="173" spans="1:16">
      <c r="A173" s="2" t="s">
        <v>259</v>
      </c>
      <c r="B173" s="3">
        <v>46275</v>
      </c>
      <c r="C173" s="2" t="s">
        <v>130</v>
      </c>
      <c r="D173" s="2" t="s">
        <v>53</v>
      </c>
      <c r="E173" s="2" t="s">
        <v>34</v>
      </c>
      <c r="F173" s="2" t="s">
        <v>28</v>
      </c>
      <c r="G173" s="2" t="s">
        <v>24</v>
      </c>
      <c r="H173" s="2" t="s">
        <v>61</v>
      </c>
      <c r="I173" s="2" t="s">
        <v>75</v>
      </c>
      <c r="J173" s="4">
        <v>1</v>
      </c>
      <c r="K173" s="5">
        <v>226.31</v>
      </c>
      <c r="L173" s="6">
        <v>0</v>
      </c>
      <c r="M173" s="5">
        <v>226.31</v>
      </c>
      <c r="P173" t="str">
        <f>TEXT(Tableau2[[#This Row],[Date]],"mmmm aaaa")</f>
        <v>septembre 2026</v>
      </c>
    </row>
    <row r="174" spans="1:16">
      <c r="A174" s="2" t="s">
        <v>260</v>
      </c>
      <c r="B174" s="3">
        <v>46095</v>
      </c>
      <c r="C174" s="2" t="s">
        <v>47</v>
      </c>
      <c r="D174" s="2" t="s">
        <v>15</v>
      </c>
      <c r="E174" s="2" t="s">
        <v>16</v>
      </c>
      <c r="F174" s="2" t="s">
        <v>17</v>
      </c>
      <c r="G174" s="2" t="s">
        <v>48</v>
      </c>
      <c r="H174" s="2" t="s">
        <v>88</v>
      </c>
      <c r="I174" s="2" t="s">
        <v>36</v>
      </c>
      <c r="J174" s="4">
        <v>2</v>
      </c>
      <c r="K174" s="5">
        <v>73.55</v>
      </c>
      <c r="L174" s="6">
        <v>0</v>
      </c>
      <c r="M174" s="5">
        <v>147.1</v>
      </c>
      <c r="P174" t="str">
        <f>TEXT(Tableau2[[#This Row],[Date]],"mmmm aaaa")</f>
        <v>mars 2026</v>
      </c>
    </row>
    <row r="175" spans="1:16">
      <c r="A175" s="2" t="s">
        <v>261</v>
      </c>
      <c r="B175" s="3">
        <v>46109</v>
      </c>
      <c r="C175" s="2" t="s">
        <v>156</v>
      </c>
      <c r="D175" s="2" t="s">
        <v>15</v>
      </c>
      <c r="E175" s="2" t="s">
        <v>16</v>
      </c>
      <c r="F175" s="2" t="s">
        <v>17</v>
      </c>
      <c r="G175" s="2" t="s">
        <v>48</v>
      </c>
      <c r="H175" s="2" t="s">
        <v>77</v>
      </c>
      <c r="I175" s="2" t="s">
        <v>45</v>
      </c>
      <c r="J175" s="4">
        <v>2</v>
      </c>
      <c r="K175" s="5">
        <v>79.44</v>
      </c>
      <c r="L175" s="6">
        <v>0</v>
      </c>
      <c r="M175" s="5">
        <v>158.88</v>
      </c>
      <c r="P175" t="str">
        <f>TEXT(Tableau2[[#This Row],[Date]],"mmmm aaaa")</f>
        <v>mars 2026</v>
      </c>
    </row>
    <row r="176" spans="1:16">
      <c r="A176" s="2" t="s">
        <v>262</v>
      </c>
      <c r="B176" s="3">
        <v>46242</v>
      </c>
      <c r="C176" s="2" t="s">
        <v>14</v>
      </c>
      <c r="D176" s="2" t="s">
        <v>15</v>
      </c>
      <c r="E176" s="2" t="s">
        <v>38</v>
      </c>
      <c r="F176" s="2" t="s">
        <v>28</v>
      </c>
      <c r="G176" s="2" t="s">
        <v>29</v>
      </c>
      <c r="H176" s="2" t="s">
        <v>99</v>
      </c>
      <c r="I176" s="2" t="s">
        <v>20</v>
      </c>
      <c r="J176" s="4">
        <v>10</v>
      </c>
      <c r="K176" s="5">
        <v>61.49</v>
      </c>
      <c r="L176" s="6">
        <v>0</v>
      </c>
      <c r="M176" s="5">
        <v>614.9</v>
      </c>
      <c r="P176" t="str">
        <f>TEXT(Tableau2[[#This Row],[Date]],"mmmm aaaa")</f>
        <v>août 2026</v>
      </c>
    </row>
    <row r="177" spans="1:16">
      <c r="A177" s="2" t="s">
        <v>263</v>
      </c>
      <c r="B177" s="3">
        <v>46252</v>
      </c>
      <c r="C177" s="2" t="s">
        <v>119</v>
      </c>
      <c r="D177" s="2" t="s">
        <v>15</v>
      </c>
      <c r="E177" s="2" t="s">
        <v>16</v>
      </c>
      <c r="F177" s="2" t="s">
        <v>28</v>
      </c>
      <c r="G177" s="2" t="s">
        <v>18</v>
      </c>
      <c r="H177" s="2" t="s">
        <v>136</v>
      </c>
      <c r="I177" s="2" t="s">
        <v>50</v>
      </c>
      <c r="J177" s="4">
        <v>8</v>
      </c>
      <c r="K177" s="5">
        <v>32.28</v>
      </c>
      <c r="L177" s="6">
        <v>0</v>
      </c>
      <c r="M177" s="5">
        <v>258.24</v>
      </c>
      <c r="P177" t="str">
        <f>TEXT(Tableau2[[#This Row],[Date]],"mmmm aaaa")</f>
        <v>août 2026</v>
      </c>
    </row>
    <row r="178" spans="1:16">
      <c r="A178" s="2" t="s">
        <v>264</v>
      </c>
      <c r="B178" s="3">
        <v>46371</v>
      </c>
      <c r="C178" s="2" t="s">
        <v>94</v>
      </c>
      <c r="D178" s="2" t="s">
        <v>15</v>
      </c>
      <c r="E178" s="2" t="s">
        <v>38</v>
      </c>
      <c r="F178" s="2" t="s">
        <v>28</v>
      </c>
      <c r="G178" s="2" t="s">
        <v>48</v>
      </c>
      <c r="H178" s="2" t="s">
        <v>88</v>
      </c>
      <c r="I178" s="2" t="s">
        <v>20</v>
      </c>
      <c r="J178" s="4">
        <v>5</v>
      </c>
      <c r="K178" s="5">
        <v>78.86</v>
      </c>
      <c r="L178" s="6">
        <v>0</v>
      </c>
      <c r="M178" s="5">
        <v>394.3</v>
      </c>
      <c r="P178" t="str">
        <f>TEXT(Tableau2[[#This Row],[Date]],"mmmm aaaa")</f>
        <v>décembre 2026</v>
      </c>
    </row>
    <row r="179" spans="1:16">
      <c r="A179" s="2" t="s">
        <v>265</v>
      </c>
      <c r="B179" s="3">
        <v>46162</v>
      </c>
      <c r="C179" s="2" t="s">
        <v>178</v>
      </c>
      <c r="D179" s="2" t="s">
        <v>15</v>
      </c>
      <c r="E179" s="2" t="s">
        <v>16</v>
      </c>
      <c r="F179" s="2" t="s">
        <v>17</v>
      </c>
      <c r="G179" s="2" t="s">
        <v>24</v>
      </c>
      <c r="H179" s="2" t="s">
        <v>82</v>
      </c>
      <c r="I179" s="2" t="s">
        <v>36</v>
      </c>
      <c r="J179" s="4">
        <v>3</v>
      </c>
      <c r="K179" s="5">
        <v>308.88</v>
      </c>
      <c r="L179" s="6">
        <v>0</v>
      </c>
      <c r="M179" s="5">
        <v>926.64</v>
      </c>
      <c r="P179" t="str">
        <f>TEXT(Tableau2[[#This Row],[Date]],"mmmm aaaa")</f>
        <v>mai 2026</v>
      </c>
    </row>
    <row r="180" spans="1:16">
      <c r="A180" s="2" t="s">
        <v>266</v>
      </c>
      <c r="B180" s="3">
        <v>46082</v>
      </c>
      <c r="C180" s="2" t="s">
        <v>22</v>
      </c>
      <c r="D180" s="2" t="s">
        <v>23</v>
      </c>
      <c r="E180" s="2" t="s">
        <v>16</v>
      </c>
      <c r="F180" s="2" t="s">
        <v>17</v>
      </c>
      <c r="G180" s="2" t="s">
        <v>54</v>
      </c>
      <c r="H180" s="2" t="s">
        <v>102</v>
      </c>
      <c r="I180" s="2" t="s">
        <v>20</v>
      </c>
      <c r="J180" s="4">
        <v>2</v>
      </c>
      <c r="K180" s="5">
        <v>211.19</v>
      </c>
      <c r="L180" s="6">
        <v>0</v>
      </c>
      <c r="M180" s="5">
        <v>422.38</v>
      </c>
      <c r="P180" t="str">
        <f>TEXT(Tableau2[[#This Row],[Date]],"mmmm aaaa")</f>
        <v>mars 2026</v>
      </c>
    </row>
    <row r="181" spans="1:16">
      <c r="A181" s="2" t="s">
        <v>267</v>
      </c>
      <c r="B181" s="3">
        <v>46350</v>
      </c>
      <c r="C181" s="2" t="s">
        <v>47</v>
      </c>
      <c r="D181" s="2" t="s">
        <v>15</v>
      </c>
      <c r="E181" s="2" t="s">
        <v>38</v>
      </c>
      <c r="F181" s="2" t="s">
        <v>17</v>
      </c>
      <c r="G181" s="2" t="s">
        <v>18</v>
      </c>
      <c r="H181" s="2" t="s">
        <v>158</v>
      </c>
      <c r="I181" s="2" t="s">
        <v>26</v>
      </c>
      <c r="J181" s="4">
        <v>1</v>
      </c>
      <c r="K181" s="5">
        <v>43.89</v>
      </c>
      <c r="L181" s="6">
        <v>0</v>
      </c>
      <c r="M181" s="5">
        <v>43.89</v>
      </c>
      <c r="P181" t="str">
        <f>TEXT(Tableau2[[#This Row],[Date]],"mmmm aaaa")</f>
        <v>novembre 2026</v>
      </c>
    </row>
    <row r="182" spans="1:16">
      <c r="A182" s="2" t="s">
        <v>268</v>
      </c>
      <c r="B182" s="3">
        <v>46331</v>
      </c>
      <c r="C182" s="2" t="s">
        <v>52</v>
      </c>
      <c r="D182" s="2" t="s">
        <v>53</v>
      </c>
      <c r="E182" s="2" t="s">
        <v>38</v>
      </c>
      <c r="F182" s="2" t="s">
        <v>17</v>
      </c>
      <c r="G182" s="2" t="s">
        <v>48</v>
      </c>
      <c r="H182" s="2" t="s">
        <v>49</v>
      </c>
      <c r="I182" s="2" t="s">
        <v>58</v>
      </c>
      <c r="J182" s="4">
        <v>4</v>
      </c>
      <c r="K182" s="5">
        <v>59.85</v>
      </c>
      <c r="L182" s="6">
        <v>0</v>
      </c>
      <c r="M182" s="5">
        <v>239.4</v>
      </c>
      <c r="P182" t="str">
        <f>TEXT(Tableau2[[#This Row],[Date]],"mmmm aaaa")</f>
        <v>novembre 2026</v>
      </c>
    </row>
    <row r="183" spans="1:16">
      <c r="A183" s="2" t="s">
        <v>269</v>
      </c>
      <c r="B183" s="3">
        <v>46037</v>
      </c>
      <c r="C183" s="2" t="s">
        <v>14</v>
      </c>
      <c r="D183" s="2" t="s">
        <v>15</v>
      </c>
      <c r="E183" s="2" t="s">
        <v>34</v>
      </c>
      <c r="F183" s="2" t="s">
        <v>17</v>
      </c>
      <c r="G183" s="2" t="s">
        <v>54</v>
      </c>
      <c r="H183" s="2" t="s">
        <v>55</v>
      </c>
      <c r="I183" s="2" t="s">
        <v>20</v>
      </c>
      <c r="J183" s="4">
        <v>1</v>
      </c>
      <c r="K183" s="5">
        <v>146.72999999999999</v>
      </c>
      <c r="L183" s="6">
        <v>0.1</v>
      </c>
      <c r="M183" s="5">
        <v>132.06</v>
      </c>
      <c r="P183" t="str">
        <f>TEXT(Tableau2[[#This Row],[Date]],"mmmm aaaa")</f>
        <v>janvier 2026</v>
      </c>
    </row>
    <row r="184" spans="1:16">
      <c r="A184" s="2" t="s">
        <v>270</v>
      </c>
      <c r="B184" s="3">
        <v>46310</v>
      </c>
      <c r="C184" s="2" t="s">
        <v>52</v>
      </c>
      <c r="D184" s="2" t="s">
        <v>53</v>
      </c>
      <c r="E184" s="2" t="s">
        <v>16</v>
      </c>
      <c r="F184" s="2" t="s">
        <v>28</v>
      </c>
      <c r="G184" s="2" t="s">
        <v>54</v>
      </c>
      <c r="H184" s="2" t="s">
        <v>55</v>
      </c>
      <c r="I184" s="2" t="s">
        <v>36</v>
      </c>
      <c r="J184" s="4">
        <v>5</v>
      </c>
      <c r="K184" s="5">
        <v>162.57</v>
      </c>
      <c r="L184" s="6">
        <v>0</v>
      </c>
      <c r="M184" s="5">
        <v>812.85</v>
      </c>
      <c r="P184" t="str">
        <f>TEXT(Tableau2[[#This Row],[Date]],"mmmm aaaa")</f>
        <v>octobre 2026</v>
      </c>
    </row>
    <row r="185" spans="1:16">
      <c r="A185" s="2" t="s">
        <v>271</v>
      </c>
      <c r="B185" s="3">
        <v>46034</v>
      </c>
      <c r="C185" s="2" t="s">
        <v>134</v>
      </c>
      <c r="D185" s="2" t="s">
        <v>15</v>
      </c>
      <c r="E185" s="2" t="s">
        <v>16</v>
      </c>
      <c r="F185" s="2" t="s">
        <v>17</v>
      </c>
      <c r="G185" s="2" t="s">
        <v>39</v>
      </c>
      <c r="H185" s="2" t="s">
        <v>71</v>
      </c>
      <c r="I185" s="2" t="s">
        <v>20</v>
      </c>
      <c r="J185" s="4">
        <v>3</v>
      </c>
      <c r="K185" s="5">
        <v>114.58</v>
      </c>
      <c r="L185" s="6">
        <v>0</v>
      </c>
      <c r="M185" s="5">
        <v>343.74</v>
      </c>
      <c r="P185" t="str">
        <f>TEXT(Tableau2[[#This Row],[Date]],"mmmm aaaa")</f>
        <v>janvier 2026</v>
      </c>
    </row>
    <row r="186" spans="1:16">
      <c r="A186" s="2" t="s">
        <v>272</v>
      </c>
      <c r="B186" s="3">
        <v>46243</v>
      </c>
      <c r="C186" s="2" t="s">
        <v>79</v>
      </c>
      <c r="D186" s="2" t="s">
        <v>33</v>
      </c>
      <c r="E186" s="2" t="s">
        <v>16</v>
      </c>
      <c r="F186" s="2" t="s">
        <v>17</v>
      </c>
      <c r="G186" s="2" t="s">
        <v>29</v>
      </c>
      <c r="H186" s="2" t="s">
        <v>140</v>
      </c>
      <c r="I186" s="2" t="s">
        <v>75</v>
      </c>
      <c r="J186" s="4">
        <v>2</v>
      </c>
      <c r="K186" s="5">
        <v>47.06</v>
      </c>
      <c r="L186" s="6">
        <v>0.05</v>
      </c>
      <c r="M186" s="5">
        <v>89.41</v>
      </c>
      <c r="P186" t="str">
        <f>TEXT(Tableau2[[#This Row],[Date]],"mmmm aaaa")</f>
        <v>août 2026</v>
      </c>
    </row>
    <row r="187" spans="1:16">
      <c r="A187" s="2" t="s">
        <v>273</v>
      </c>
      <c r="B187" s="3">
        <v>46200</v>
      </c>
      <c r="C187" s="2" t="s">
        <v>52</v>
      </c>
      <c r="D187" s="2" t="s">
        <v>53</v>
      </c>
      <c r="E187" s="2" t="s">
        <v>38</v>
      </c>
      <c r="F187" s="2" t="s">
        <v>17</v>
      </c>
      <c r="G187" s="2" t="s">
        <v>48</v>
      </c>
      <c r="H187" s="2" t="s">
        <v>88</v>
      </c>
      <c r="I187" s="2" t="s">
        <v>58</v>
      </c>
      <c r="J187" s="4">
        <v>1</v>
      </c>
      <c r="K187" s="5">
        <v>73.97</v>
      </c>
      <c r="L187" s="6">
        <v>0</v>
      </c>
      <c r="M187" s="5">
        <v>73.97</v>
      </c>
      <c r="P187" t="str">
        <f>TEXT(Tableau2[[#This Row],[Date]],"mmmm aaaa")</f>
        <v>juin 2026</v>
      </c>
    </row>
    <row r="188" spans="1:16">
      <c r="A188" s="2" t="s">
        <v>274</v>
      </c>
      <c r="B188" s="3">
        <v>46129</v>
      </c>
      <c r="C188" s="2" t="s">
        <v>14</v>
      </c>
      <c r="D188" s="2" t="s">
        <v>15</v>
      </c>
      <c r="E188" s="2" t="s">
        <v>43</v>
      </c>
      <c r="F188" s="2" t="s">
        <v>17</v>
      </c>
      <c r="G188" s="2" t="s">
        <v>18</v>
      </c>
      <c r="H188" s="2" t="s">
        <v>19</v>
      </c>
      <c r="I188" s="2" t="s">
        <v>41</v>
      </c>
      <c r="J188" s="4">
        <v>2</v>
      </c>
      <c r="K188" s="5">
        <v>57.98</v>
      </c>
      <c r="L188" s="6">
        <v>0.15</v>
      </c>
      <c r="M188" s="5">
        <v>98.57</v>
      </c>
      <c r="P188" t="str">
        <f>TEXT(Tableau2[[#This Row],[Date]],"mmmm aaaa")</f>
        <v>avril 2026</v>
      </c>
    </row>
    <row r="189" spans="1:16">
      <c r="A189" s="2" t="s">
        <v>275</v>
      </c>
      <c r="B189" s="3">
        <v>46146</v>
      </c>
      <c r="C189" s="2" t="s">
        <v>57</v>
      </c>
      <c r="D189" s="2" t="s">
        <v>15</v>
      </c>
      <c r="E189" s="2" t="s">
        <v>38</v>
      </c>
      <c r="F189" s="2" t="s">
        <v>17</v>
      </c>
      <c r="G189" s="2" t="s">
        <v>48</v>
      </c>
      <c r="H189" s="2" t="s">
        <v>77</v>
      </c>
      <c r="I189" s="2" t="s">
        <v>36</v>
      </c>
      <c r="J189" s="4">
        <v>1</v>
      </c>
      <c r="K189" s="5">
        <v>84.98</v>
      </c>
      <c r="L189" s="6">
        <v>0</v>
      </c>
      <c r="M189" s="5">
        <v>84.98</v>
      </c>
      <c r="P189" t="str">
        <f>TEXT(Tableau2[[#This Row],[Date]],"mmmm aaaa")</f>
        <v>mai 2026</v>
      </c>
    </row>
    <row r="190" spans="1:16">
      <c r="A190" s="2" t="s">
        <v>276</v>
      </c>
      <c r="B190" s="3">
        <v>46227</v>
      </c>
      <c r="C190" s="2" t="s">
        <v>14</v>
      </c>
      <c r="D190" s="2" t="s">
        <v>15</v>
      </c>
      <c r="E190" s="2" t="s">
        <v>16</v>
      </c>
      <c r="F190" s="2" t="s">
        <v>17</v>
      </c>
      <c r="G190" s="2" t="s">
        <v>39</v>
      </c>
      <c r="H190" s="2" t="s">
        <v>71</v>
      </c>
      <c r="I190" s="2" t="s">
        <v>58</v>
      </c>
      <c r="J190" s="4">
        <v>4</v>
      </c>
      <c r="K190" s="5">
        <v>115.46</v>
      </c>
      <c r="L190" s="6">
        <v>0.05</v>
      </c>
      <c r="M190" s="5">
        <v>438.75</v>
      </c>
      <c r="P190" t="str">
        <f>TEXT(Tableau2[[#This Row],[Date]],"mmmm aaaa")</f>
        <v>juillet 2026</v>
      </c>
    </row>
    <row r="191" spans="1:16">
      <c r="A191" s="2" t="s">
        <v>277</v>
      </c>
      <c r="B191" s="3">
        <v>46070</v>
      </c>
      <c r="C191" s="2" t="s">
        <v>22</v>
      </c>
      <c r="D191" s="2" t="s">
        <v>23</v>
      </c>
      <c r="E191" s="2" t="s">
        <v>16</v>
      </c>
      <c r="F191" s="2" t="s">
        <v>28</v>
      </c>
      <c r="G191" s="2" t="s">
        <v>39</v>
      </c>
      <c r="H191" s="2" t="s">
        <v>95</v>
      </c>
      <c r="I191" s="2" t="s">
        <v>75</v>
      </c>
      <c r="J191" s="4">
        <v>1</v>
      </c>
      <c r="K191" s="5">
        <v>103.43</v>
      </c>
      <c r="L191" s="6">
        <v>0.05</v>
      </c>
      <c r="M191" s="5">
        <v>98.26</v>
      </c>
      <c r="P191" t="str">
        <f>TEXT(Tableau2[[#This Row],[Date]],"mmmm aaaa")</f>
        <v>février 2026</v>
      </c>
    </row>
    <row r="192" spans="1:16">
      <c r="A192" s="2" t="s">
        <v>278</v>
      </c>
      <c r="B192" s="3">
        <v>46350</v>
      </c>
      <c r="C192" s="2" t="s">
        <v>156</v>
      </c>
      <c r="D192" s="2" t="s">
        <v>15</v>
      </c>
      <c r="E192" s="2" t="s">
        <v>16</v>
      </c>
      <c r="F192" s="2" t="s">
        <v>28</v>
      </c>
      <c r="G192" s="2" t="s">
        <v>48</v>
      </c>
      <c r="H192" s="2" t="s">
        <v>88</v>
      </c>
      <c r="I192" s="2" t="s">
        <v>50</v>
      </c>
      <c r="J192" s="4">
        <v>2</v>
      </c>
      <c r="K192" s="5">
        <v>78.36</v>
      </c>
      <c r="L192" s="6">
        <v>0</v>
      </c>
      <c r="M192" s="5">
        <v>156.72</v>
      </c>
      <c r="P192" t="str">
        <f>TEXT(Tableau2[[#This Row],[Date]],"mmmm aaaa")</f>
        <v>novembre 2026</v>
      </c>
    </row>
    <row r="193" spans="1:16">
      <c r="A193" s="2" t="s">
        <v>279</v>
      </c>
      <c r="B193" s="3">
        <v>46146</v>
      </c>
      <c r="C193" s="2" t="s">
        <v>52</v>
      </c>
      <c r="D193" s="2" t="s">
        <v>53</v>
      </c>
      <c r="E193" s="2" t="s">
        <v>16</v>
      </c>
      <c r="F193" s="2" t="s">
        <v>17</v>
      </c>
      <c r="G193" s="2" t="s">
        <v>24</v>
      </c>
      <c r="H193" s="2" t="s">
        <v>35</v>
      </c>
      <c r="I193" s="2" t="s">
        <v>58</v>
      </c>
      <c r="J193" s="4">
        <v>1</v>
      </c>
      <c r="K193" s="5">
        <v>165.07</v>
      </c>
      <c r="L193" s="6">
        <v>0</v>
      </c>
      <c r="M193" s="5">
        <v>165.07</v>
      </c>
      <c r="P193" t="str">
        <f>TEXT(Tableau2[[#This Row],[Date]],"mmmm aaaa")</f>
        <v>mai 2026</v>
      </c>
    </row>
    <row r="194" spans="1:16">
      <c r="A194" s="2" t="s">
        <v>280</v>
      </c>
      <c r="B194" s="3">
        <v>46036</v>
      </c>
      <c r="C194" s="2" t="s">
        <v>66</v>
      </c>
      <c r="D194" s="2" t="s">
        <v>23</v>
      </c>
      <c r="E194" s="2" t="s">
        <v>34</v>
      </c>
      <c r="F194" s="2" t="s">
        <v>28</v>
      </c>
      <c r="G194" s="2" t="s">
        <v>39</v>
      </c>
      <c r="H194" s="2" t="s">
        <v>95</v>
      </c>
      <c r="I194" s="2" t="s">
        <v>36</v>
      </c>
      <c r="J194" s="4">
        <v>3</v>
      </c>
      <c r="K194" s="5">
        <v>98.6</v>
      </c>
      <c r="L194" s="6">
        <v>0</v>
      </c>
      <c r="M194" s="5">
        <v>295.8</v>
      </c>
      <c r="P194" t="str">
        <f>TEXT(Tableau2[[#This Row],[Date]],"mmmm aaaa")</f>
        <v>janvier 2026</v>
      </c>
    </row>
    <row r="195" spans="1:16">
      <c r="A195" s="2" t="s">
        <v>281</v>
      </c>
      <c r="B195" s="3">
        <v>46278</v>
      </c>
      <c r="C195" s="2" t="s">
        <v>125</v>
      </c>
      <c r="D195" s="2" t="s">
        <v>23</v>
      </c>
      <c r="E195" s="2" t="s">
        <v>43</v>
      </c>
      <c r="F195" s="2" t="s">
        <v>17</v>
      </c>
      <c r="G195" s="2" t="s">
        <v>29</v>
      </c>
      <c r="H195" s="2" t="s">
        <v>99</v>
      </c>
      <c r="I195" s="2" t="s">
        <v>20</v>
      </c>
      <c r="J195" s="4">
        <v>1</v>
      </c>
      <c r="K195" s="5">
        <v>65.62</v>
      </c>
      <c r="L195" s="6">
        <v>0</v>
      </c>
      <c r="M195" s="5">
        <v>65.62</v>
      </c>
      <c r="P195" t="str">
        <f>TEXT(Tableau2[[#This Row],[Date]],"mmmm aaaa")</f>
        <v>septembre 2026</v>
      </c>
    </row>
    <row r="196" spans="1:16">
      <c r="A196" s="2" t="s">
        <v>282</v>
      </c>
      <c r="B196" s="3">
        <v>46125</v>
      </c>
      <c r="C196" s="2" t="s">
        <v>106</v>
      </c>
      <c r="D196" s="2" t="s">
        <v>23</v>
      </c>
      <c r="E196" s="2" t="s">
        <v>16</v>
      </c>
      <c r="F196" s="2" t="s">
        <v>17</v>
      </c>
      <c r="G196" s="2" t="s">
        <v>48</v>
      </c>
      <c r="H196" s="2" t="s">
        <v>84</v>
      </c>
      <c r="I196" s="2" t="s">
        <v>36</v>
      </c>
      <c r="J196" s="4">
        <v>1</v>
      </c>
      <c r="K196" s="5">
        <v>94.1</v>
      </c>
      <c r="L196" s="6">
        <v>0</v>
      </c>
      <c r="M196" s="5">
        <v>94.1</v>
      </c>
      <c r="P196" t="str">
        <f>TEXT(Tableau2[[#This Row],[Date]],"mmmm aaaa")</f>
        <v>avril 2026</v>
      </c>
    </row>
    <row r="197" spans="1:16">
      <c r="A197" s="2" t="s">
        <v>283</v>
      </c>
      <c r="B197" s="3">
        <v>46036</v>
      </c>
      <c r="C197" s="2" t="s">
        <v>94</v>
      </c>
      <c r="D197" s="2" t="s">
        <v>15</v>
      </c>
      <c r="E197" s="2" t="s">
        <v>34</v>
      </c>
      <c r="F197" s="2" t="s">
        <v>28</v>
      </c>
      <c r="G197" s="2" t="s">
        <v>48</v>
      </c>
      <c r="H197" s="2" t="s">
        <v>84</v>
      </c>
      <c r="I197" s="2" t="s">
        <v>20</v>
      </c>
      <c r="J197" s="4">
        <v>1</v>
      </c>
      <c r="K197" s="5">
        <v>89.45</v>
      </c>
      <c r="L197" s="6">
        <v>0</v>
      </c>
      <c r="M197" s="5">
        <v>89.45</v>
      </c>
      <c r="P197" t="str">
        <f>TEXT(Tableau2[[#This Row],[Date]],"mmmm aaaa")</f>
        <v>janvier 2026</v>
      </c>
    </row>
    <row r="198" spans="1:16">
      <c r="A198" s="2" t="s">
        <v>284</v>
      </c>
      <c r="B198" s="3">
        <v>46250</v>
      </c>
      <c r="C198" s="2" t="s">
        <v>63</v>
      </c>
      <c r="D198" s="2" t="s">
        <v>33</v>
      </c>
      <c r="E198" s="2" t="s">
        <v>16</v>
      </c>
      <c r="F198" s="2" t="s">
        <v>28</v>
      </c>
      <c r="G198" s="2" t="s">
        <v>54</v>
      </c>
      <c r="H198" s="2" t="s">
        <v>64</v>
      </c>
      <c r="I198" s="2" t="s">
        <v>58</v>
      </c>
      <c r="J198" s="4">
        <v>1</v>
      </c>
      <c r="K198" s="5">
        <v>82.71</v>
      </c>
      <c r="L198" s="6">
        <v>0</v>
      </c>
      <c r="M198" s="5">
        <v>82.71</v>
      </c>
      <c r="P198" t="str">
        <f>TEXT(Tableau2[[#This Row],[Date]],"mmmm aaaa")</f>
        <v>août 2026</v>
      </c>
    </row>
    <row r="199" spans="1:16">
      <c r="A199" s="2" t="s">
        <v>285</v>
      </c>
      <c r="B199" s="3">
        <v>46115</v>
      </c>
      <c r="C199" s="2" t="s">
        <v>47</v>
      </c>
      <c r="D199" s="2" t="s">
        <v>15</v>
      </c>
      <c r="E199" s="2" t="s">
        <v>16</v>
      </c>
      <c r="F199" s="2" t="s">
        <v>17</v>
      </c>
      <c r="G199" s="2" t="s">
        <v>39</v>
      </c>
      <c r="H199" s="2" t="s">
        <v>71</v>
      </c>
      <c r="I199" s="2" t="s">
        <v>36</v>
      </c>
      <c r="J199" s="4">
        <v>5</v>
      </c>
      <c r="K199" s="5">
        <v>113.93</v>
      </c>
      <c r="L199" s="6">
        <v>0</v>
      </c>
      <c r="M199" s="5">
        <v>569.65</v>
      </c>
      <c r="P199" t="str">
        <f>TEXT(Tableau2[[#This Row],[Date]],"mmmm aaaa")</f>
        <v>avril 2026</v>
      </c>
    </row>
    <row r="200" spans="1:16">
      <c r="A200" s="2" t="s">
        <v>286</v>
      </c>
      <c r="B200" s="3">
        <v>46274</v>
      </c>
      <c r="C200" s="2" t="s">
        <v>52</v>
      </c>
      <c r="D200" s="2" t="s">
        <v>53</v>
      </c>
      <c r="E200" s="2" t="s">
        <v>16</v>
      </c>
      <c r="F200" s="2" t="s">
        <v>17</v>
      </c>
      <c r="G200" s="2" t="s">
        <v>24</v>
      </c>
      <c r="H200" s="2" t="s">
        <v>35</v>
      </c>
      <c r="I200" s="2" t="s">
        <v>58</v>
      </c>
      <c r="J200" s="4">
        <v>3</v>
      </c>
      <c r="K200" s="5">
        <v>162.58000000000001</v>
      </c>
      <c r="L200" s="6">
        <v>0</v>
      </c>
      <c r="M200" s="5">
        <v>487.74</v>
      </c>
      <c r="P200" t="str">
        <f>TEXT(Tableau2[[#This Row],[Date]],"mmmm aaaa")</f>
        <v>septembre 2026</v>
      </c>
    </row>
    <row r="201" spans="1:16">
      <c r="A201" s="2" t="s">
        <v>287</v>
      </c>
      <c r="B201" s="3">
        <v>46364</v>
      </c>
      <c r="C201" s="2" t="s">
        <v>22</v>
      </c>
      <c r="D201" s="2" t="s">
        <v>23</v>
      </c>
      <c r="E201" s="2" t="s">
        <v>16</v>
      </c>
      <c r="F201" s="2" t="s">
        <v>28</v>
      </c>
      <c r="G201" s="2" t="s">
        <v>24</v>
      </c>
      <c r="H201" s="2" t="s">
        <v>35</v>
      </c>
      <c r="I201" s="2" t="s">
        <v>75</v>
      </c>
      <c r="J201" s="4">
        <v>3</v>
      </c>
      <c r="K201" s="5">
        <v>179.3</v>
      </c>
      <c r="L201" s="6">
        <v>0.1</v>
      </c>
      <c r="M201" s="5">
        <v>484.11</v>
      </c>
      <c r="P201" t="str">
        <f>TEXT(Tableau2[[#This Row],[Date]],"mmmm aaaa")</f>
        <v>décembre 2026</v>
      </c>
    </row>
    <row r="202" spans="1:16">
      <c r="A202" s="2" t="s">
        <v>288</v>
      </c>
      <c r="B202" s="3">
        <v>46311</v>
      </c>
      <c r="C202" s="2" t="s">
        <v>92</v>
      </c>
      <c r="D202" s="2" t="s">
        <v>53</v>
      </c>
      <c r="E202" s="2" t="s">
        <v>43</v>
      </c>
      <c r="F202" s="2" t="s">
        <v>17</v>
      </c>
      <c r="G202" s="2" t="s">
        <v>29</v>
      </c>
      <c r="H202" s="2" t="s">
        <v>99</v>
      </c>
      <c r="I202" s="2" t="s">
        <v>75</v>
      </c>
      <c r="J202" s="4">
        <v>1</v>
      </c>
      <c r="K202" s="5">
        <v>64.17</v>
      </c>
      <c r="L202" s="6">
        <v>0</v>
      </c>
      <c r="M202" s="5">
        <v>64.17</v>
      </c>
      <c r="P202" t="str">
        <f>TEXT(Tableau2[[#This Row],[Date]],"mmmm aaaa")</f>
        <v>octobre 2026</v>
      </c>
    </row>
    <row r="203" spans="1:16">
      <c r="A203" s="2" t="s">
        <v>289</v>
      </c>
      <c r="B203" s="3">
        <v>46069</v>
      </c>
      <c r="C203" s="2" t="s">
        <v>47</v>
      </c>
      <c r="D203" s="2" t="s">
        <v>15</v>
      </c>
      <c r="E203" s="2" t="s">
        <v>16</v>
      </c>
      <c r="F203" s="2" t="s">
        <v>17</v>
      </c>
      <c r="G203" s="2" t="s">
        <v>54</v>
      </c>
      <c r="H203" s="2" t="s">
        <v>55</v>
      </c>
      <c r="I203" s="2" t="s">
        <v>41</v>
      </c>
      <c r="J203" s="4">
        <v>8</v>
      </c>
      <c r="K203" s="5">
        <v>153.12</v>
      </c>
      <c r="L203" s="6">
        <v>0</v>
      </c>
      <c r="M203" s="5">
        <v>1224.96</v>
      </c>
      <c r="P203" t="str">
        <f>TEXT(Tableau2[[#This Row],[Date]],"mmmm aaaa")</f>
        <v>février 2026</v>
      </c>
    </row>
    <row r="204" spans="1:16">
      <c r="A204" s="2" t="s">
        <v>290</v>
      </c>
      <c r="B204" s="3">
        <v>46145</v>
      </c>
      <c r="C204" s="2" t="s">
        <v>119</v>
      </c>
      <c r="D204" s="2" t="s">
        <v>15</v>
      </c>
      <c r="E204" s="2" t="s">
        <v>43</v>
      </c>
      <c r="F204" s="2" t="s">
        <v>17</v>
      </c>
      <c r="G204" s="2" t="s">
        <v>48</v>
      </c>
      <c r="H204" s="2" t="s">
        <v>77</v>
      </c>
      <c r="I204" s="2" t="s">
        <v>45</v>
      </c>
      <c r="J204" s="4">
        <v>1</v>
      </c>
      <c r="K204" s="5">
        <v>80.16</v>
      </c>
      <c r="L204" s="6">
        <v>0</v>
      </c>
      <c r="M204" s="5">
        <v>80.16</v>
      </c>
      <c r="P204" t="str">
        <f>TEXT(Tableau2[[#This Row],[Date]],"mmmm aaaa")</f>
        <v>mai 2026</v>
      </c>
    </row>
    <row r="205" spans="1:16">
      <c r="A205" s="2" t="s">
        <v>291</v>
      </c>
      <c r="B205" s="3">
        <v>46202</v>
      </c>
      <c r="C205" s="2" t="s">
        <v>90</v>
      </c>
      <c r="D205" s="2" t="s">
        <v>53</v>
      </c>
      <c r="E205" s="2" t="s">
        <v>16</v>
      </c>
      <c r="F205" s="2" t="s">
        <v>28</v>
      </c>
      <c r="G205" s="2" t="s">
        <v>48</v>
      </c>
      <c r="H205" s="2" t="s">
        <v>77</v>
      </c>
      <c r="I205" s="2" t="s">
        <v>45</v>
      </c>
      <c r="J205" s="4">
        <v>1</v>
      </c>
      <c r="K205" s="5">
        <v>90.65</v>
      </c>
      <c r="L205" s="6">
        <v>0</v>
      </c>
      <c r="M205" s="5">
        <v>90.65</v>
      </c>
      <c r="P205" t="str">
        <f>TEXT(Tableau2[[#This Row],[Date]],"mmmm aaaa")</f>
        <v>juin 2026</v>
      </c>
    </row>
    <row r="206" spans="1:16">
      <c r="A206" s="2" t="s">
        <v>292</v>
      </c>
      <c r="B206" s="3">
        <v>46332</v>
      </c>
      <c r="C206" s="2" t="s">
        <v>86</v>
      </c>
      <c r="D206" s="2" t="s">
        <v>53</v>
      </c>
      <c r="E206" s="2" t="s">
        <v>34</v>
      </c>
      <c r="F206" s="2" t="s">
        <v>28</v>
      </c>
      <c r="G206" s="2" t="s">
        <v>29</v>
      </c>
      <c r="H206" s="2" t="s">
        <v>140</v>
      </c>
      <c r="I206" s="2" t="s">
        <v>75</v>
      </c>
      <c r="J206" s="4">
        <v>1</v>
      </c>
      <c r="K206" s="5">
        <v>49.07</v>
      </c>
      <c r="L206" s="6">
        <v>0.1</v>
      </c>
      <c r="M206" s="5">
        <v>44.16</v>
      </c>
      <c r="P206" t="str">
        <f>TEXT(Tableau2[[#This Row],[Date]],"mmmm aaaa")</f>
        <v>novembre 2026</v>
      </c>
    </row>
    <row r="207" spans="1:16">
      <c r="A207" s="2" t="s">
        <v>293</v>
      </c>
      <c r="B207" s="3">
        <v>46386</v>
      </c>
      <c r="C207" s="2" t="s">
        <v>63</v>
      </c>
      <c r="D207" s="2" t="s">
        <v>33</v>
      </c>
      <c r="E207" s="2" t="s">
        <v>38</v>
      </c>
      <c r="F207" s="2" t="s">
        <v>17</v>
      </c>
      <c r="G207" s="2" t="s">
        <v>54</v>
      </c>
      <c r="H207" s="2" t="s">
        <v>102</v>
      </c>
      <c r="I207" s="2" t="s">
        <v>20</v>
      </c>
      <c r="J207" s="4">
        <v>1</v>
      </c>
      <c r="K207" s="5">
        <v>211.06</v>
      </c>
      <c r="L207" s="6">
        <v>0</v>
      </c>
      <c r="M207" s="5">
        <v>211.06</v>
      </c>
      <c r="P207" t="str">
        <f>TEXT(Tableau2[[#This Row],[Date]],"mmmm aaaa")</f>
        <v>décembre 2026</v>
      </c>
    </row>
    <row r="208" spans="1:16">
      <c r="A208" s="2" t="s">
        <v>294</v>
      </c>
      <c r="B208" s="3">
        <v>46232</v>
      </c>
      <c r="C208" s="2" t="s">
        <v>86</v>
      </c>
      <c r="D208" s="2" t="s">
        <v>53</v>
      </c>
      <c r="E208" s="2" t="s">
        <v>16</v>
      </c>
      <c r="F208" s="2" t="s">
        <v>17</v>
      </c>
      <c r="G208" s="2" t="s">
        <v>18</v>
      </c>
      <c r="H208" s="2" t="s">
        <v>136</v>
      </c>
      <c r="I208" s="2" t="s">
        <v>50</v>
      </c>
      <c r="J208" s="4">
        <v>2</v>
      </c>
      <c r="K208" s="5">
        <v>29.96</v>
      </c>
      <c r="L208" s="6">
        <v>0.05</v>
      </c>
      <c r="M208" s="5">
        <v>56.92</v>
      </c>
      <c r="P208" t="str">
        <f>TEXT(Tableau2[[#This Row],[Date]],"mmmm aaaa")</f>
        <v>juillet 2026</v>
      </c>
    </row>
    <row r="209" spans="1:16">
      <c r="A209" s="2" t="s">
        <v>295</v>
      </c>
      <c r="B209" s="3">
        <v>46068</v>
      </c>
      <c r="C209" s="2" t="s">
        <v>22</v>
      </c>
      <c r="D209" s="2" t="s">
        <v>23</v>
      </c>
      <c r="E209" s="2" t="s">
        <v>16</v>
      </c>
      <c r="F209" s="2" t="s">
        <v>17</v>
      </c>
      <c r="G209" s="2" t="s">
        <v>48</v>
      </c>
      <c r="H209" s="2" t="s">
        <v>49</v>
      </c>
      <c r="I209" s="2" t="s">
        <v>41</v>
      </c>
      <c r="J209" s="4">
        <v>8</v>
      </c>
      <c r="K209" s="5">
        <v>57.16</v>
      </c>
      <c r="L209" s="6">
        <v>0</v>
      </c>
      <c r="M209" s="5">
        <v>457.28</v>
      </c>
      <c r="P209" t="str">
        <f>TEXT(Tableau2[[#This Row],[Date]],"mmmm aaaa")</f>
        <v>février 2026</v>
      </c>
    </row>
    <row r="210" spans="1:16">
      <c r="A210" s="2" t="s">
        <v>296</v>
      </c>
      <c r="B210" s="3">
        <v>46245</v>
      </c>
      <c r="C210" s="2" t="s">
        <v>32</v>
      </c>
      <c r="D210" s="2" t="s">
        <v>33</v>
      </c>
      <c r="E210" s="2" t="s">
        <v>34</v>
      </c>
      <c r="F210" s="2" t="s">
        <v>28</v>
      </c>
      <c r="G210" s="2" t="s">
        <v>18</v>
      </c>
      <c r="H210" s="2" t="s">
        <v>158</v>
      </c>
      <c r="I210" s="2" t="s">
        <v>50</v>
      </c>
      <c r="J210" s="4">
        <v>4</v>
      </c>
      <c r="K210" s="5">
        <v>42.36</v>
      </c>
      <c r="L210" s="6">
        <v>0</v>
      </c>
      <c r="M210" s="5">
        <v>169.44</v>
      </c>
      <c r="P210" t="str">
        <f>TEXT(Tableau2[[#This Row],[Date]],"mmmm aaaa")</f>
        <v>août 2026</v>
      </c>
    </row>
    <row r="211" spans="1:16">
      <c r="A211" s="2" t="s">
        <v>297</v>
      </c>
      <c r="B211" s="3">
        <v>46307</v>
      </c>
      <c r="C211" s="2" t="s">
        <v>156</v>
      </c>
      <c r="D211" s="2" t="s">
        <v>15</v>
      </c>
      <c r="E211" s="2" t="s">
        <v>38</v>
      </c>
      <c r="F211" s="2" t="s">
        <v>28</v>
      </c>
      <c r="G211" s="2" t="s">
        <v>18</v>
      </c>
      <c r="H211" s="2" t="s">
        <v>19</v>
      </c>
      <c r="I211" s="2" t="s">
        <v>58</v>
      </c>
      <c r="J211" s="4">
        <v>1</v>
      </c>
      <c r="K211" s="5">
        <v>57.26</v>
      </c>
      <c r="L211" s="6">
        <v>0.15</v>
      </c>
      <c r="M211" s="5">
        <v>48.67</v>
      </c>
      <c r="P211" t="str">
        <f>TEXT(Tableau2[[#This Row],[Date]],"mmmm aaaa")</f>
        <v>octobre 2026</v>
      </c>
    </row>
    <row r="212" spans="1:16">
      <c r="A212" s="2" t="s">
        <v>298</v>
      </c>
      <c r="B212" s="3">
        <v>46147</v>
      </c>
      <c r="C212" s="2" t="s">
        <v>169</v>
      </c>
      <c r="D212" s="2" t="s">
        <v>33</v>
      </c>
      <c r="E212" s="2" t="s">
        <v>16</v>
      </c>
      <c r="F212" s="2" t="s">
        <v>28</v>
      </c>
      <c r="G212" s="2" t="s">
        <v>18</v>
      </c>
      <c r="H212" s="2" t="s">
        <v>136</v>
      </c>
      <c r="I212" s="2" t="s">
        <v>26</v>
      </c>
      <c r="J212" s="4">
        <v>3</v>
      </c>
      <c r="K212" s="5">
        <v>30.39</v>
      </c>
      <c r="L212" s="6">
        <v>0.15</v>
      </c>
      <c r="M212" s="5">
        <v>77.489999999999995</v>
      </c>
      <c r="P212" t="str">
        <f>TEXT(Tableau2[[#This Row],[Date]],"mmmm aaaa")</f>
        <v>mai 2026</v>
      </c>
    </row>
    <row r="213" spans="1:16">
      <c r="A213" s="2" t="s">
        <v>299</v>
      </c>
      <c r="B213" s="3">
        <v>46043</v>
      </c>
      <c r="C213" s="2" t="s">
        <v>106</v>
      </c>
      <c r="D213" s="2" t="s">
        <v>23</v>
      </c>
      <c r="E213" s="2" t="s">
        <v>16</v>
      </c>
      <c r="F213" s="2" t="s">
        <v>17</v>
      </c>
      <c r="G213" s="2" t="s">
        <v>24</v>
      </c>
      <c r="H213" s="2" t="s">
        <v>82</v>
      </c>
      <c r="I213" s="2" t="s">
        <v>20</v>
      </c>
      <c r="J213" s="4">
        <v>1</v>
      </c>
      <c r="K213" s="5">
        <v>272.39999999999998</v>
      </c>
      <c r="L213" s="6">
        <v>0</v>
      </c>
      <c r="M213" s="5">
        <v>272.39999999999998</v>
      </c>
      <c r="P213" t="str">
        <f>TEXT(Tableau2[[#This Row],[Date]],"mmmm aaaa")</f>
        <v>janvier 2026</v>
      </c>
    </row>
    <row r="214" spans="1:16">
      <c r="A214" s="2" t="s">
        <v>300</v>
      </c>
      <c r="B214" s="3">
        <v>46118</v>
      </c>
      <c r="C214" s="2" t="s">
        <v>94</v>
      </c>
      <c r="D214" s="2" t="s">
        <v>15</v>
      </c>
      <c r="E214" s="2" t="s">
        <v>34</v>
      </c>
      <c r="F214" s="2" t="s">
        <v>17</v>
      </c>
      <c r="G214" s="2" t="s">
        <v>54</v>
      </c>
      <c r="H214" s="2" t="s">
        <v>102</v>
      </c>
      <c r="I214" s="2" t="s">
        <v>75</v>
      </c>
      <c r="J214" s="4">
        <v>3</v>
      </c>
      <c r="K214" s="5">
        <v>209.96</v>
      </c>
      <c r="L214" s="6">
        <v>0</v>
      </c>
      <c r="M214" s="5">
        <v>629.88</v>
      </c>
      <c r="P214" t="str">
        <f>TEXT(Tableau2[[#This Row],[Date]],"mmmm aaaa")</f>
        <v>avril 2026</v>
      </c>
    </row>
    <row r="215" spans="1:16">
      <c r="A215" s="2" t="s">
        <v>301</v>
      </c>
      <c r="B215" s="3">
        <v>46224</v>
      </c>
      <c r="C215" s="2" t="s">
        <v>92</v>
      </c>
      <c r="D215" s="2" t="s">
        <v>53</v>
      </c>
      <c r="E215" s="2" t="s">
        <v>43</v>
      </c>
      <c r="F215" s="2" t="s">
        <v>28</v>
      </c>
      <c r="G215" s="2" t="s">
        <v>29</v>
      </c>
      <c r="H215" s="2" t="s">
        <v>30</v>
      </c>
      <c r="I215" s="2" t="s">
        <v>26</v>
      </c>
      <c r="J215" s="4">
        <v>2</v>
      </c>
      <c r="K215" s="5">
        <v>26.6</v>
      </c>
      <c r="L215" s="6">
        <v>0.3</v>
      </c>
      <c r="M215" s="5">
        <v>37.24</v>
      </c>
      <c r="P215" t="str">
        <f>TEXT(Tableau2[[#This Row],[Date]],"mmmm aaaa")</f>
        <v>juillet 2026</v>
      </c>
    </row>
    <row r="216" spans="1:16">
      <c r="A216" s="2" t="s">
        <v>302</v>
      </c>
      <c r="B216" s="3">
        <v>46059</v>
      </c>
      <c r="C216" s="2" t="s">
        <v>130</v>
      </c>
      <c r="D216" s="2" t="s">
        <v>53</v>
      </c>
      <c r="E216" s="2" t="s">
        <v>16</v>
      </c>
      <c r="F216" s="2" t="s">
        <v>28</v>
      </c>
      <c r="G216" s="2" t="s">
        <v>24</v>
      </c>
      <c r="H216" s="2" t="s">
        <v>61</v>
      </c>
      <c r="I216" s="2" t="s">
        <v>41</v>
      </c>
      <c r="J216" s="4">
        <v>2</v>
      </c>
      <c r="K216" s="5">
        <v>227.11</v>
      </c>
      <c r="L216" s="6">
        <v>0.1</v>
      </c>
      <c r="M216" s="5">
        <v>408.8</v>
      </c>
      <c r="P216" t="str">
        <f>TEXT(Tableau2[[#This Row],[Date]],"mmmm aaaa")</f>
        <v>février 2026</v>
      </c>
    </row>
    <row r="217" spans="1:16">
      <c r="A217" s="2" t="s">
        <v>303</v>
      </c>
      <c r="B217" s="3">
        <v>46161</v>
      </c>
      <c r="C217" s="2" t="s">
        <v>14</v>
      </c>
      <c r="D217" s="2" t="s">
        <v>15</v>
      </c>
      <c r="E217" s="2" t="s">
        <v>16</v>
      </c>
      <c r="F217" s="2" t="s">
        <v>28</v>
      </c>
      <c r="G217" s="2" t="s">
        <v>48</v>
      </c>
      <c r="H217" s="2" t="s">
        <v>49</v>
      </c>
      <c r="I217" s="2" t="s">
        <v>50</v>
      </c>
      <c r="J217" s="4">
        <v>1</v>
      </c>
      <c r="K217" s="5">
        <v>55.18</v>
      </c>
      <c r="L217" s="6">
        <v>0</v>
      </c>
      <c r="M217" s="5">
        <v>55.18</v>
      </c>
      <c r="P217" t="str">
        <f>TEXT(Tableau2[[#This Row],[Date]],"mmmm aaaa")</f>
        <v>mai 2026</v>
      </c>
    </row>
    <row r="218" spans="1:16">
      <c r="A218" s="2" t="s">
        <v>304</v>
      </c>
      <c r="B218" s="3">
        <v>46275</v>
      </c>
      <c r="C218" s="2" t="s">
        <v>106</v>
      </c>
      <c r="D218" s="2" t="s">
        <v>23</v>
      </c>
      <c r="E218" s="2" t="s">
        <v>34</v>
      </c>
      <c r="F218" s="2" t="s">
        <v>17</v>
      </c>
      <c r="G218" s="2" t="s">
        <v>29</v>
      </c>
      <c r="H218" s="2" t="s">
        <v>44</v>
      </c>
      <c r="I218" s="2" t="s">
        <v>58</v>
      </c>
      <c r="J218" s="4">
        <v>1</v>
      </c>
      <c r="K218" s="5">
        <v>37.380000000000003</v>
      </c>
      <c r="L218" s="6">
        <v>0</v>
      </c>
      <c r="M218" s="5">
        <v>37.380000000000003</v>
      </c>
      <c r="P218" t="str">
        <f>TEXT(Tableau2[[#This Row],[Date]],"mmmm aaaa")</f>
        <v>septembre 2026</v>
      </c>
    </row>
    <row r="219" spans="1:16">
      <c r="A219" s="2" t="s">
        <v>305</v>
      </c>
      <c r="B219" s="3">
        <v>46030</v>
      </c>
      <c r="C219" s="2" t="s">
        <v>32</v>
      </c>
      <c r="D219" s="2" t="s">
        <v>33</v>
      </c>
      <c r="E219" s="2" t="s">
        <v>34</v>
      </c>
      <c r="F219" s="2" t="s">
        <v>28</v>
      </c>
      <c r="G219" s="2" t="s">
        <v>39</v>
      </c>
      <c r="H219" s="2" t="s">
        <v>95</v>
      </c>
      <c r="I219" s="2" t="s">
        <v>45</v>
      </c>
      <c r="J219" s="4">
        <v>1</v>
      </c>
      <c r="K219" s="5">
        <v>102.71</v>
      </c>
      <c r="L219" s="6">
        <v>0</v>
      </c>
      <c r="M219" s="5">
        <v>102.71</v>
      </c>
      <c r="P219" t="str">
        <f>TEXT(Tableau2[[#This Row],[Date]],"mmmm aaaa")</f>
        <v>janvier 2026</v>
      </c>
    </row>
    <row r="220" spans="1:16">
      <c r="A220" s="2" t="s">
        <v>306</v>
      </c>
      <c r="B220" s="3">
        <v>46094</v>
      </c>
      <c r="C220" s="2" t="s">
        <v>116</v>
      </c>
      <c r="D220" s="2" t="s">
        <v>15</v>
      </c>
      <c r="E220" s="2" t="s">
        <v>16</v>
      </c>
      <c r="F220" s="2" t="s">
        <v>17</v>
      </c>
      <c r="G220" s="2" t="s">
        <v>39</v>
      </c>
      <c r="H220" s="2" t="s">
        <v>95</v>
      </c>
      <c r="I220" s="2" t="s">
        <v>41</v>
      </c>
      <c r="J220" s="4">
        <v>4</v>
      </c>
      <c r="K220" s="5">
        <v>103.43</v>
      </c>
      <c r="L220" s="6">
        <v>0</v>
      </c>
      <c r="M220" s="5">
        <v>413.72</v>
      </c>
      <c r="P220" t="str">
        <f>TEXT(Tableau2[[#This Row],[Date]],"mmmm aaaa")</f>
        <v>mars 2026</v>
      </c>
    </row>
    <row r="221" spans="1:16">
      <c r="A221" s="2" t="s">
        <v>307</v>
      </c>
      <c r="B221" s="3">
        <v>46232</v>
      </c>
      <c r="C221" s="2" t="s">
        <v>92</v>
      </c>
      <c r="D221" s="2" t="s">
        <v>53</v>
      </c>
      <c r="E221" s="2" t="s">
        <v>16</v>
      </c>
      <c r="F221" s="2" t="s">
        <v>17</v>
      </c>
      <c r="G221" s="2" t="s">
        <v>18</v>
      </c>
      <c r="H221" s="2" t="s">
        <v>136</v>
      </c>
      <c r="I221" s="2" t="s">
        <v>50</v>
      </c>
      <c r="J221" s="4">
        <v>1</v>
      </c>
      <c r="K221" s="5">
        <v>33.409999999999997</v>
      </c>
      <c r="L221" s="6">
        <v>0</v>
      </c>
      <c r="M221" s="5">
        <v>33.409999999999997</v>
      </c>
      <c r="P221" t="str">
        <f>TEXT(Tableau2[[#This Row],[Date]],"mmmm aaaa")</f>
        <v>juillet 2026</v>
      </c>
    </row>
    <row r="222" spans="1:16">
      <c r="A222" s="2" t="s">
        <v>308</v>
      </c>
      <c r="B222" s="3">
        <v>46157</v>
      </c>
      <c r="C222" s="2" t="s">
        <v>66</v>
      </c>
      <c r="D222" s="2" t="s">
        <v>23</v>
      </c>
      <c r="E222" s="2" t="s">
        <v>34</v>
      </c>
      <c r="F222" s="2" t="s">
        <v>17</v>
      </c>
      <c r="G222" s="2" t="s">
        <v>29</v>
      </c>
      <c r="H222" s="2" t="s">
        <v>140</v>
      </c>
      <c r="I222" s="2" t="s">
        <v>41</v>
      </c>
      <c r="J222" s="4">
        <v>2</v>
      </c>
      <c r="K222" s="5">
        <v>49.02</v>
      </c>
      <c r="L222" s="6">
        <v>0</v>
      </c>
      <c r="M222" s="5">
        <v>98.04</v>
      </c>
      <c r="P222" t="str">
        <f>TEXT(Tableau2[[#This Row],[Date]],"mmmm aaaa")</f>
        <v>mai 2026</v>
      </c>
    </row>
    <row r="223" spans="1:16">
      <c r="A223" s="2" t="s">
        <v>309</v>
      </c>
      <c r="B223" s="3">
        <v>46170</v>
      </c>
      <c r="C223" s="2" t="s">
        <v>79</v>
      </c>
      <c r="D223" s="2" t="s">
        <v>33</v>
      </c>
      <c r="E223" s="2" t="s">
        <v>38</v>
      </c>
      <c r="F223" s="2" t="s">
        <v>28</v>
      </c>
      <c r="G223" s="2" t="s">
        <v>39</v>
      </c>
      <c r="H223" s="2" t="s">
        <v>71</v>
      </c>
      <c r="I223" s="2" t="s">
        <v>75</v>
      </c>
      <c r="J223" s="4">
        <v>2</v>
      </c>
      <c r="K223" s="5">
        <v>118.25</v>
      </c>
      <c r="L223" s="6">
        <v>0.15</v>
      </c>
      <c r="M223" s="5">
        <v>201.03</v>
      </c>
      <c r="P223" t="str">
        <f>TEXT(Tableau2[[#This Row],[Date]],"mmmm aaaa")</f>
        <v>mai 2026</v>
      </c>
    </row>
    <row r="224" spans="1:16">
      <c r="A224" s="2" t="s">
        <v>310</v>
      </c>
      <c r="B224" s="3">
        <v>46321</v>
      </c>
      <c r="C224" s="2" t="s">
        <v>90</v>
      </c>
      <c r="D224" s="2" t="s">
        <v>53</v>
      </c>
      <c r="E224" s="2" t="s">
        <v>16</v>
      </c>
      <c r="F224" s="2" t="s">
        <v>17</v>
      </c>
      <c r="G224" s="2" t="s">
        <v>48</v>
      </c>
      <c r="H224" s="2" t="s">
        <v>84</v>
      </c>
      <c r="I224" s="2" t="s">
        <v>41</v>
      </c>
      <c r="J224" s="4">
        <v>4</v>
      </c>
      <c r="K224" s="5">
        <v>88.94</v>
      </c>
      <c r="L224" s="6">
        <v>0.2</v>
      </c>
      <c r="M224" s="5">
        <v>284.61</v>
      </c>
      <c r="P224" t="str">
        <f>TEXT(Tableau2[[#This Row],[Date]],"mmmm aaaa")</f>
        <v>octobre 2026</v>
      </c>
    </row>
    <row r="225" spans="1:16">
      <c r="A225" s="2" t="s">
        <v>311</v>
      </c>
      <c r="B225" s="3">
        <v>46118</v>
      </c>
      <c r="C225" s="2" t="s">
        <v>22</v>
      </c>
      <c r="D225" s="2" t="s">
        <v>23</v>
      </c>
      <c r="E225" s="2" t="s">
        <v>16</v>
      </c>
      <c r="F225" s="2" t="s">
        <v>28</v>
      </c>
      <c r="G225" s="2" t="s">
        <v>39</v>
      </c>
      <c r="H225" s="2" t="s">
        <v>95</v>
      </c>
      <c r="I225" s="2" t="s">
        <v>41</v>
      </c>
      <c r="J225" s="4">
        <v>3</v>
      </c>
      <c r="K225" s="5">
        <v>101.14</v>
      </c>
      <c r="L225" s="6">
        <v>0.05</v>
      </c>
      <c r="M225" s="5">
        <v>288.25</v>
      </c>
      <c r="P225" t="str">
        <f>TEXT(Tableau2[[#This Row],[Date]],"mmmm aaaa")</f>
        <v>avril 2026</v>
      </c>
    </row>
    <row r="226" spans="1:16">
      <c r="A226" s="2" t="s">
        <v>312</v>
      </c>
      <c r="B226" s="3">
        <v>46122</v>
      </c>
      <c r="C226" s="2" t="s">
        <v>22</v>
      </c>
      <c r="D226" s="2" t="s">
        <v>23</v>
      </c>
      <c r="E226" s="2" t="s">
        <v>34</v>
      </c>
      <c r="F226" s="2" t="s">
        <v>17</v>
      </c>
      <c r="G226" s="2" t="s">
        <v>48</v>
      </c>
      <c r="H226" s="2" t="s">
        <v>49</v>
      </c>
      <c r="I226" s="2" t="s">
        <v>58</v>
      </c>
      <c r="J226" s="4">
        <v>11</v>
      </c>
      <c r="K226" s="5">
        <v>56.08</v>
      </c>
      <c r="L226" s="6">
        <v>0.2</v>
      </c>
      <c r="M226" s="5">
        <v>493.5</v>
      </c>
      <c r="P226" t="str">
        <f>TEXT(Tableau2[[#This Row],[Date]],"mmmm aaaa")</f>
        <v>avril 2026</v>
      </c>
    </row>
    <row r="227" spans="1:16">
      <c r="A227" s="2" t="s">
        <v>313</v>
      </c>
      <c r="B227" s="3">
        <v>46174</v>
      </c>
      <c r="C227" s="2" t="s">
        <v>57</v>
      </c>
      <c r="D227" s="2" t="s">
        <v>15</v>
      </c>
      <c r="E227" s="2" t="s">
        <v>34</v>
      </c>
      <c r="F227" s="2" t="s">
        <v>17</v>
      </c>
      <c r="G227" s="2" t="s">
        <v>18</v>
      </c>
      <c r="H227" s="2" t="s">
        <v>143</v>
      </c>
      <c r="I227" s="2" t="s">
        <v>41</v>
      </c>
      <c r="J227" s="4">
        <v>5</v>
      </c>
      <c r="K227" s="5">
        <v>69.67</v>
      </c>
      <c r="L227" s="6">
        <v>0</v>
      </c>
      <c r="M227" s="5">
        <v>348.35</v>
      </c>
      <c r="P227" t="str">
        <f>TEXT(Tableau2[[#This Row],[Date]],"mmmm aaaa")</f>
        <v>juin 2026</v>
      </c>
    </row>
    <row r="228" spans="1:16">
      <c r="A228" s="2" t="s">
        <v>314</v>
      </c>
      <c r="B228" s="3">
        <v>46193</v>
      </c>
      <c r="C228" s="2" t="s">
        <v>79</v>
      </c>
      <c r="D228" s="2" t="s">
        <v>33</v>
      </c>
      <c r="E228" s="2" t="s">
        <v>43</v>
      </c>
      <c r="F228" s="2" t="s">
        <v>28</v>
      </c>
      <c r="G228" s="2" t="s">
        <v>48</v>
      </c>
      <c r="H228" s="2" t="s">
        <v>77</v>
      </c>
      <c r="I228" s="2" t="s">
        <v>58</v>
      </c>
      <c r="J228" s="4">
        <v>3</v>
      </c>
      <c r="K228" s="5">
        <v>80.48</v>
      </c>
      <c r="L228" s="6">
        <v>0</v>
      </c>
      <c r="M228" s="5">
        <v>241.44</v>
      </c>
      <c r="P228" t="str">
        <f>TEXT(Tableau2[[#This Row],[Date]],"mmmm aaaa")</f>
        <v>juin 2026</v>
      </c>
    </row>
    <row r="229" spans="1:16">
      <c r="A229" s="2" t="s">
        <v>315</v>
      </c>
      <c r="B229" s="3">
        <v>46335</v>
      </c>
      <c r="C229" s="2" t="s">
        <v>156</v>
      </c>
      <c r="D229" s="2" t="s">
        <v>15</v>
      </c>
      <c r="E229" s="2" t="s">
        <v>16</v>
      </c>
      <c r="F229" s="2" t="s">
        <v>17</v>
      </c>
      <c r="G229" s="2" t="s">
        <v>39</v>
      </c>
      <c r="H229" s="2" t="s">
        <v>95</v>
      </c>
      <c r="I229" s="2" t="s">
        <v>58</v>
      </c>
      <c r="J229" s="4">
        <v>4</v>
      </c>
      <c r="K229" s="5">
        <v>97.9</v>
      </c>
      <c r="L229" s="6">
        <v>0.2</v>
      </c>
      <c r="M229" s="5">
        <v>313.27999999999997</v>
      </c>
      <c r="P229" t="str">
        <f>TEXT(Tableau2[[#This Row],[Date]],"mmmm aaaa")</f>
        <v>novembre 2026</v>
      </c>
    </row>
    <row r="230" spans="1:16">
      <c r="A230" s="2" t="s">
        <v>316</v>
      </c>
      <c r="B230" s="3">
        <v>46105</v>
      </c>
      <c r="C230" s="2" t="s">
        <v>94</v>
      </c>
      <c r="D230" s="2" t="s">
        <v>15</v>
      </c>
      <c r="E230" s="2" t="s">
        <v>38</v>
      </c>
      <c r="F230" s="2" t="s">
        <v>17</v>
      </c>
      <c r="G230" s="2" t="s">
        <v>48</v>
      </c>
      <c r="H230" s="2" t="s">
        <v>88</v>
      </c>
      <c r="I230" s="2" t="s">
        <v>50</v>
      </c>
      <c r="J230" s="4">
        <v>2</v>
      </c>
      <c r="K230" s="5">
        <v>78.739999999999995</v>
      </c>
      <c r="L230" s="6">
        <v>0</v>
      </c>
      <c r="M230" s="5">
        <v>157.47999999999999</v>
      </c>
      <c r="P230" t="str">
        <f>TEXT(Tableau2[[#This Row],[Date]],"mmmm aaaa")</f>
        <v>mars 2026</v>
      </c>
    </row>
    <row r="231" spans="1:16">
      <c r="A231" s="2" t="s">
        <v>317</v>
      </c>
      <c r="B231" s="3">
        <v>46161</v>
      </c>
      <c r="C231" s="2" t="s">
        <v>130</v>
      </c>
      <c r="D231" s="2" t="s">
        <v>53</v>
      </c>
      <c r="E231" s="2" t="s">
        <v>16</v>
      </c>
      <c r="F231" s="2" t="s">
        <v>17</v>
      </c>
      <c r="G231" s="2" t="s">
        <v>24</v>
      </c>
      <c r="H231" s="2" t="s">
        <v>35</v>
      </c>
      <c r="I231" s="2" t="s">
        <v>20</v>
      </c>
      <c r="J231" s="4">
        <v>2</v>
      </c>
      <c r="K231" s="5">
        <v>158.12</v>
      </c>
      <c r="L231" s="6">
        <v>0</v>
      </c>
      <c r="M231" s="5">
        <v>316.24</v>
      </c>
      <c r="P231" t="str">
        <f>TEXT(Tableau2[[#This Row],[Date]],"mmmm aaaa")</f>
        <v>mai 2026</v>
      </c>
    </row>
    <row r="232" spans="1:16">
      <c r="A232" s="2" t="s">
        <v>318</v>
      </c>
      <c r="B232" s="3">
        <v>46055</v>
      </c>
      <c r="C232" s="2" t="s">
        <v>14</v>
      </c>
      <c r="D232" s="2" t="s">
        <v>15</v>
      </c>
      <c r="E232" s="2" t="s">
        <v>16</v>
      </c>
      <c r="F232" s="2" t="s">
        <v>28</v>
      </c>
      <c r="G232" s="2" t="s">
        <v>54</v>
      </c>
      <c r="H232" s="2" t="s">
        <v>55</v>
      </c>
      <c r="I232" s="2" t="s">
        <v>26</v>
      </c>
      <c r="J232" s="4">
        <v>3</v>
      </c>
      <c r="K232" s="5">
        <v>160.27000000000001</v>
      </c>
      <c r="L232" s="6">
        <v>0.05</v>
      </c>
      <c r="M232" s="5">
        <v>456.77</v>
      </c>
      <c r="P232" t="str">
        <f>TEXT(Tableau2[[#This Row],[Date]],"mmmm aaaa")</f>
        <v>février 2026</v>
      </c>
    </row>
    <row r="233" spans="1:16">
      <c r="A233" s="2" t="s">
        <v>319</v>
      </c>
      <c r="B233" s="3">
        <v>46041</v>
      </c>
      <c r="C233" s="2" t="s">
        <v>106</v>
      </c>
      <c r="D233" s="2" t="s">
        <v>23</v>
      </c>
      <c r="E233" s="2" t="s">
        <v>43</v>
      </c>
      <c r="F233" s="2" t="s">
        <v>28</v>
      </c>
      <c r="G233" s="2" t="s">
        <v>48</v>
      </c>
      <c r="H233" s="2" t="s">
        <v>84</v>
      </c>
      <c r="I233" s="2" t="s">
        <v>36</v>
      </c>
      <c r="J233" s="4">
        <v>1</v>
      </c>
      <c r="K233" s="5">
        <v>88.9</v>
      </c>
      <c r="L233" s="6">
        <v>0.1</v>
      </c>
      <c r="M233" s="5">
        <v>80.010000000000005</v>
      </c>
      <c r="P233" t="str">
        <f>TEXT(Tableau2[[#This Row],[Date]],"mmmm aaaa")</f>
        <v>janvier 2026</v>
      </c>
    </row>
    <row r="234" spans="1:16">
      <c r="A234" s="2" t="s">
        <v>320</v>
      </c>
      <c r="B234" s="3">
        <v>46030</v>
      </c>
      <c r="C234" s="2" t="s">
        <v>63</v>
      </c>
      <c r="D234" s="2" t="s">
        <v>33</v>
      </c>
      <c r="E234" s="2" t="s">
        <v>38</v>
      </c>
      <c r="F234" s="2" t="s">
        <v>28</v>
      </c>
      <c r="G234" s="2" t="s">
        <v>18</v>
      </c>
      <c r="H234" s="2" t="s">
        <v>143</v>
      </c>
      <c r="I234" s="2" t="s">
        <v>36</v>
      </c>
      <c r="J234" s="4">
        <v>1</v>
      </c>
      <c r="K234" s="5">
        <v>66.66</v>
      </c>
      <c r="L234" s="6">
        <v>0.1</v>
      </c>
      <c r="M234" s="5">
        <v>59.99</v>
      </c>
      <c r="P234" t="str">
        <f>TEXT(Tableau2[[#This Row],[Date]],"mmmm aaaa")</f>
        <v>janvier 2026</v>
      </c>
    </row>
    <row r="235" spans="1:16">
      <c r="A235" s="2" t="s">
        <v>321</v>
      </c>
      <c r="B235" s="3">
        <v>46121</v>
      </c>
      <c r="C235" s="2" t="s">
        <v>22</v>
      </c>
      <c r="D235" s="2" t="s">
        <v>23</v>
      </c>
      <c r="E235" s="2" t="s">
        <v>34</v>
      </c>
      <c r="F235" s="2" t="s">
        <v>28</v>
      </c>
      <c r="G235" s="2" t="s">
        <v>39</v>
      </c>
      <c r="H235" s="2" t="s">
        <v>71</v>
      </c>
      <c r="I235" s="2" t="s">
        <v>26</v>
      </c>
      <c r="J235" s="4">
        <v>2</v>
      </c>
      <c r="K235" s="5">
        <v>121.55</v>
      </c>
      <c r="L235" s="6">
        <v>0.05</v>
      </c>
      <c r="M235" s="5">
        <v>230.94</v>
      </c>
      <c r="P235" t="str">
        <f>TEXT(Tableau2[[#This Row],[Date]],"mmmm aaaa")</f>
        <v>avril 2026</v>
      </c>
    </row>
    <row r="236" spans="1:16">
      <c r="A236" s="2" t="s">
        <v>322</v>
      </c>
      <c r="B236" s="3">
        <v>46131</v>
      </c>
      <c r="C236" s="2" t="s">
        <v>57</v>
      </c>
      <c r="D236" s="2" t="s">
        <v>15</v>
      </c>
      <c r="E236" s="2" t="s">
        <v>43</v>
      </c>
      <c r="F236" s="2" t="s">
        <v>28</v>
      </c>
      <c r="G236" s="2" t="s">
        <v>54</v>
      </c>
      <c r="H236" s="2" t="s">
        <v>102</v>
      </c>
      <c r="I236" s="2" t="s">
        <v>45</v>
      </c>
      <c r="J236" s="4">
        <v>5</v>
      </c>
      <c r="K236" s="5">
        <v>229.51</v>
      </c>
      <c r="L236" s="6">
        <v>0.3</v>
      </c>
      <c r="M236" s="5">
        <v>803.28</v>
      </c>
      <c r="P236" t="str">
        <f>TEXT(Tableau2[[#This Row],[Date]],"mmmm aaaa")</f>
        <v>avril 2026</v>
      </c>
    </row>
    <row r="237" spans="1:16">
      <c r="A237" s="2" t="s">
        <v>323</v>
      </c>
      <c r="B237" s="3">
        <v>46256</v>
      </c>
      <c r="C237" s="2" t="s">
        <v>22</v>
      </c>
      <c r="D237" s="2" t="s">
        <v>23</v>
      </c>
      <c r="E237" s="2" t="s">
        <v>34</v>
      </c>
      <c r="F237" s="2" t="s">
        <v>17</v>
      </c>
      <c r="G237" s="2" t="s">
        <v>24</v>
      </c>
      <c r="H237" s="2" t="s">
        <v>82</v>
      </c>
      <c r="I237" s="2" t="s">
        <v>75</v>
      </c>
      <c r="J237" s="4">
        <v>3</v>
      </c>
      <c r="K237" s="5">
        <v>276.04000000000002</v>
      </c>
      <c r="L237" s="6">
        <v>0</v>
      </c>
      <c r="M237" s="5">
        <v>828.12</v>
      </c>
      <c r="P237" t="str">
        <f>TEXT(Tableau2[[#This Row],[Date]],"mmmm aaaa")</f>
        <v>août 2026</v>
      </c>
    </row>
    <row r="238" spans="1:16">
      <c r="A238" s="2" t="s">
        <v>324</v>
      </c>
      <c r="B238" s="3">
        <v>46195</v>
      </c>
      <c r="C238" s="2" t="s">
        <v>14</v>
      </c>
      <c r="D238" s="2" t="s">
        <v>15</v>
      </c>
      <c r="E238" s="2" t="s">
        <v>43</v>
      </c>
      <c r="F238" s="2" t="s">
        <v>17</v>
      </c>
      <c r="G238" s="2" t="s">
        <v>54</v>
      </c>
      <c r="H238" s="2" t="s">
        <v>64</v>
      </c>
      <c r="I238" s="2" t="s">
        <v>45</v>
      </c>
      <c r="J238" s="4">
        <v>7</v>
      </c>
      <c r="K238" s="5">
        <v>87.72</v>
      </c>
      <c r="L238" s="6">
        <v>0</v>
      </c>
      <c r="M238" s="5">
        <v>614.04</v>
      </c>
      <c r="P238" t="str">
        <f>TEXT(Tableau2[[#This Row],[Date]],"mmmm aaaa")</f>
        <v>juin 2026</v>
      </c>
    </row>
    <row r="239" spans="1:16">
      <c r="A239" s="2" t="s">
        <v>325</v>
      </c>
      <c r="B239" s="3">
        <v>46303</v>
      </c>
      <c r="C239" s="2" t="s">
        <v>156</v>
      </c>
      <c r="D239" s="2" t="s">
        <v>15</v>
      </c>
      <c r="E239" s="2" t="s">
        <v>34</v>
      </c>
      <c r="F239" s="2" t="s">
        <v>17</v>
      </c>
      <c r="G239" s="2" t="s">
        <v>24</v>
      </c>
      <c r="H239" s="2" t="s">
        <v>25</v>
      </c>
      <c r="I239" s="2" t="s">
        <v>26</v>
      </c>
      <c r="J239" s="4">
        <v>2</v>
      </c>
      <c r="K239" s="5">
        <v>123.93</v>
      </c>
      <c r="L239" s="6">
        <v>0</v>
      </c>
      <c r="M239" s="5">
        <v>247.86</v>
      </c>
      <c r="P239" t="str">
        <f>TEXT(Tableau2[[#This Row],[Date]],"mmmm aaaa")</f>
        <v>octobre 2026</v>
      </c>
    </row>
    <row r="240" spans="1:16">
      <c r="A240" s="2" t="s">
        <v>326</v>
      </c>
      <c r="B240" s="3">
        <v>46180</v>
      </c>
      <c r="C240" s="2" t="s">
        <v>14</v>
      </c>
      <c r="D240" s="2" t="s">
        <v>15</v>
      </c>
      <c r="E240" s="2" t="s">
        <v>34</v>
      </c>
      <c r="F240" s="2" t="s">
        <v>17</v>
      </c>
      <c r="G240" s="2" t="s">
        <v>18</v>
      </c>
      <c r="H240" s="2" t="s">
        <v>143</v>
      </c>
      <c r="I240" s="2" t="s">
        <v>26</v>
      </c>
      <c r="J240" s="4">
        <v>1</v>
      </c>
      <c r="K240" s="5">
        <v>70.38</v>
      </c>
      <c r="L240" s="6">
        <v>0</v>
      </c>
      <c r="M240" s="5">
        <v>70.38</v>
      </c>
      <c r="P240" t="str">
        <f>TEXT(Tableau2[[#This Row],[Date]],"mmmm aaaa")</f>
        <v>juin 2026</v>
      </c>
    </row>
    <row r="241" spans="1:16">
      <c r="A241" s="2" t="s">
        <v>327</v>
      </c>
      <c r="B241" s="3">
        <v>46140</v>
      </c>
      <c r="C241" s="2" t="s">
        <v>14</v>
      </c>
      <c r="D241" s="2" t="s">
        <v>15</v>
      </c>
      <c r="E241" s="2" t="s">
        <v>34</v>
      </c>
      <c r="F241" s="2" t="s">
        <v>28</v>
      </c>
      <c r="G241" s="2" t="s">
        <v>48</v>
      </c>
      <c r="H241" s="2" t="s">
        <v>88</v>
      </c>
      <c r="I241" s="2" t="s">
        <v>20</v>
      </c>
      <c r="J241" s="4">
        <v>1</v>
      </c>
      <c r="K241" s="5">
        <v>76.739999999999995</v>
      </c>
      <c r="L241" s="6">
        <v>0</v>
      </c>
      <c r="M241" s="5">
        <v>76.739999999999995</v>
      </c>
      <c r="P241" t="str">
        <f>TEXT(Tableau2[[#This Row],[Date]],"mmmm aaaa")</f>
        <v>avril 2026</v>
      </c>
    </row>
    <row r="242" spans="1:16">
      <c r="A242" s="2" t="s">
        <v>328</v>
      </c>
      <c r="B242" s="3">
        <v>46195</v>
      </c>
      <c r="C242" s="2" t="s">
        <v>130</v>
      </c>
      <c r="D242" s="2" t="s">
        <v>53</v>
      </c>
      <c r="E242" s="2" t="s">
        <v>38</v>
      </c>
      <c r="F242" s="2" t="s">
        <v>28</v>
      </c>
      <c r="G242" s="2" t="s">
        <v>24</v>
      </c>
      <c r="H242" s="2" t="s">
        <v>61</v>
      </c>
      <c r="I242" s="2" t="s">
        <v>36</v>
      </c>
      <c r="J242" s="4">
        <v>3</v>
      </c>
      <c r="K242" s="5">
        <v>242.07</v>
      </c>
      <c r="L242" s="6">
        <v>0</v>
      </c>
      <c r="M242" s="5">
        <v>726.21</v>
      </c>
      <c r="P242" t="str">
        <f>TEXT(Tableau2[[#This Row],[Date]],"mmmm aaaa")</f>
        <v>juin 2026</v>
      </c>
    </row>
    <row r="243" spans="1:16">
      <c r="A243" s="2" t="s">
        <v>329</v>
      </c>
      <c r="B243" s="3">
        <v>46372</v>
      </c>
      <c r="C243" s="2" t="s">
        <v>47</v>
      </c>
      <c r="D243" s="2" t="s">
        <v>15</v>
      </c>
      <c r="E243" s="2" t="s">
        <v>38</v>
      </c>
      <c r="F243" s="2" t="s">
        <v>17</v>
      </c>
      <c r="G243" s="2" t="s">
        <v>24</v>
      </c>
      <c r="H243" s="2" t="s">
        <v>82</v>
      </c>
      <c r="I243" s="2" t="s">
        <v>41</v>
      </c>
      <c r="J243" s="4">
        <v>1</v>
      </c>
      <c r="K243" s="5">
        <v>301.14999999999998</v>
      </c>
      <c r="L243" s="6">
        <v>0</v>
      </c>
      <c r="M243" s="5">
        <v>301.14999999999998</v>
      </c>
      <c r="P243" t="str">
        <f>TEXT(Tableau2[[#This Row],[Date]],"mmmm aaaa")</f>
        <v>décembre 2026</v>
      </c>
    </row>
    <row r="244" spans="1:16">
      <c r="A244" s="2" t="s">
        <v>330</v>
      </c>
      <c r="B244" s="3">
        <v>46195</v>
      </c>
      <c r="C244" s="2" t="s">
        <v>151</v>
      </c>
      <c r="D244" s="2" t="s">
        <v>15</v>
      </c>
      <c r="E244" s="2" t="s">
        <v>16</v>
      </c>
      <c r="F244" s="2" t="s">
        <v>28</v>
      </c>
      <c r="G244" s="2" t="s">
        <v>54</v>
      </c>
      <c r="H244" s="2" t="s">
        <v>55</v>
      </c>
      <c r="I244" s="2" t="s">
        <v>36</v>
      </c>
      <c r="J244" s="4">
        <v>1</v>
      </c>
      <c r="K244" s="5">
        <v>150.72</v>
      </c>
      <c r="L244" s="6">
        <v>0.15</v>
      </c>
      <c r="M244" s="5">
        <v>128.11000000000001</v>
      </c>
      <c r="P244" t="str">
        <f>TEXT(Tableau2[[#This Row],[Date]],"mmmm aaaa")</f>
        <v>juin 2026</v>
      </c>
    </row>
    <row r="245" spans="1:16">
      <c r="A245" s="2" t="s">
        <v>331</v>
      </c>
      <c r="B245" s="3">
        <v>46187</v>
      </c>
      <c r="C245" s="2" t="s">
        <v>130</v>
      </c>
      <c r="D245" s="2" t="s">
        <v>53</v>
      </c>
      <c r="E245" s="2" t="s">
        <v>34</v>
      </c>
      <c r="F245" s="2" t="s">
        <v>17</v>
      </c>
      <c r="G245" s="2" t="s">
        <v>48</v>
      </c>
      <c r="H245" s="2" t="s">
        <v>88</v>
      </c>
      <c r="I245" s="2" t="s">
        <v>50</v>
      </c>
      <c r="J245" s="4">
        <v>1</v>
      </c>
      <c r="K245" s="5">
        <v>75.069999999999993</v>
      </c>
      <c r="L245" s="6">
        <v>0.2</v>
      </c>
      <c r="M245" s="5">
        <v>60.06</v>
      </c>
      <c r="P245" t="str">
        <f>TEXT(Tableau2[[#This Row],[Date]],"mmmm aaaa")</f>
        <v>juin 2026</v>
      </c>
    </row>
    <row r="246" spans="1:16">
      <c r="A246" s="2" t="s">
        <v>332</v>
      </c>
      <c r="B246" s="3">
        <v>46224</v>
      </c>
      <c r="C246" s="2" t="s">
        <v>14</v>
      </c>
      <c r="D246" s="2" t="s">
        <v>15</v>
      </c>
      <c r="E246" s="2" t="s">
        <v>34</v>
      </c>
      <c r="F246" s="2" t="s">
        <v>28</v>
      </c>
      <c r="G246" s="2" t="s">
        <v>24</v>
      </c>
      <c r="H246" s="2" t="s">
        <v>82</v>
      </c>
      <c r="I246" s="2" t="s">
        <v>41</v>
      </c>
      <c r="J246" s="4">
        <v>12</v>
      </c>
      <c r="K246" s="5">
        <v>283.04000000000002</v>
      </c>
      <c r="L246" s="6">
        <v>0.15</v>
      </c>
      <c r="M246" s="5">
        <v>2887.01</v>
      </c>
      <c r="P246" t="str">
        <f>TEXT(Tableau2[[#This Row],[Date]],"mmmm aaaa")</f>
        <v>juillet 2026</v>
      </c>
    </row>
    <row r="247" spans="1:16">
      <c r="A247" s="2" t="s">
        <v>333</v>
      </c>
      <c r="B247" s="3">
        <v>46115</v>
      </c>
      <c r="C247" s="2" t="s">
        <v>22</v>
      </c>
      <c r="D247" s="2" t="s">
        <v>23</v>
      </c>
      <c r="E247" s="2" t="s">
        <v>38</v>
      </c>
      <c r="F247" s="2" t="s">
        <v>17</v>
      </c>
      <c r="G247" s="2" t="s">
        <v>18</v>
      </c>
      <c r="H247" s="2" t="s">
        <v>19</v>
      </c>
      <c r="I247" s="2" t="s">
        <v>26</v>
      </c>
      <c r="J247" s="4">
        <v>3</v>
      </c>
      <c r="K247" s="5">
        <v>55.37</v>
      </c>
      <c r="L247" s="6">
        <v>0</v>
      </c>
      <c r="M247" s="5">
        <v>166.11</v>
      </c>
      <c r="P247" t="str">
        <f>TEXT(Tableau2[[#This Row],[Date]],"mmmm aaaa")</f>
        <v>avril 2026</v>
      </c>
    </row>
    <row r="248" spans="1:16">
      <c r="A248" s="2" t="s">
        <v>334</v>
      </c>
      <c r="B248" s="3">
        <v>46054</v>
      </c>
      <c r="C248" s="2" t="s">
        <v>123</v>
      </c>
      <c r="D248" s="2" t="s">
        <v>53</v>
      </c>
      <c r="E248" s="2" t="s">
        <v>16</v>
      </c>
      <c r="F248" s="2" t="s">
        <v>28</v>
      </c>
      <c r="G248" s="2" t="s">
        <v>18</v>
      </c>
      <c r="H248" s="2" t="s">
        <v>19</v>
      </c>
      <c r="I248" s="2" t="s">
        <v>58</v>
      </c>
      <c r="J248" s="4">
        <v>1</v>
      </c>
      <c r="K248" s="5">
        <v>54.19</v>
      </c>
      <c r="L248" s="6">
        <v>0.3</v>
      </c>
      <c r="M248" s="5">
        <v>37.93</v>
      </c>
      <c r="P248" t="str">
        <f>TEXT(Tableau2[[#This Row],[Date]],"mmmm aaaa")</f>
        <v>février 2026</v>
      </c>
    </row>
    <row r="249" spans="1:16">
      <c r="A249" s="2" t="s">
        <v>335</v>
      </c>
      <c r="B249" s="3">
        <v>46151</v>
      </c>
      <c r="C249" s="2" t="s">
        <v>66</v>
      </c>
      <c r="D249" s="2" t="s">
        <v>23</v>
      </c>
      <c r="E249" s="2" t="s">
        <v>43</v>
      </c>
      <c r="F249" s="2" t="s">
        <v>28</v>
      </c>
      <c r="G249" s="2" t="s">
        <v>24</v>
      </c>
      <c r="H249" s="2" t="s">
        <v>82</v>
      </c>
      <c r="I249" s="2" t="s">
        <v>58</v>
      </c>
      <c r="J249" s="4">
        <v>2</v>
      </c>
      <c r="K249" s="5">
        <v>313.79000000000002</v>
      </c>
      <c r="L249" s="6">
        <v>0</v>
      </c>
      <c r="M249" s="5">
        <v>627.58000000000004</v>
      </c>
      <c r="P249" t="str">
        <f>TEXT(Tableau2[[#This Row],[Date]],"mmmm aaaa")</f>
        <v>mai 2026</v>
      </c>
    </row>
    <row r="250" spans="1:16">
      <c r="A250" s="2" t="s">
        <v>336</v>
      </c>
      <c r="B250" s="3">
        <v>46074</v>
      </c>
      <c r="C250" s="2" t="s">
        <v>151</v>
      </c>
      <c r="D250" s="2" t="s">
        <v>15</v>
      </c>
      <c r="E250" s="2" t="s">
        <v>34</v>
      </c>
      <c r="F250" s="2" t="s">
        <v>17</v>
      </c>
      <c r="G250" s="2" t="s">
        <v>48</v>
      </c>
      <c r="H250" s="2" t="s">
        <v>77</v>
      </c>
      <c r="I250" s="2" t="s">
        <v>45</v>
      </c>
      <c r="J250" s="4">
        <v>1</v>
      </c>
      <c r="K250" s="5">
        <v>83.79</v>
      </c>
      <c r="L250" s="6">
        <v>0</v>
      </c>
      <c r="M250" s="5">
        <v>83.79</v>
      </c>
      <c r="P250" t="str">
        <f>TEXT(Tableau2[[#This Row],[Date]],"mmmm aaaa")</f>
        <v>février 2026</v>
      </c>
    </row>
    <row r="251" spans="1:16">
      <c r="A251" s="2" t="s">
        <v>337</v>
      </c>
      <c r="B251" s="3">
        <v>46236</v>
      </c>
      <c r="C251" s="2" t="s">
        <v>90</v>
      </c>
      <c r="D251" s="2" t="s">
        <v>53</v>
      </c>
      <c r="E251" s="2" t="s">
        <v>34</v>
      </c>
      <c r="F251" s="2" t="s">
        <v>28</v>
      </c>
      <c r="G251" s="2" t="s">
        <v>54</v>
      </c>
      <c r="H251" s="2" t="s">
        <v>55</v>
      </c>
      <c r="I251" s="2" t="s">
        <v>20</v>
      </c>
      <c r="J251" s="4">
        <v>4</v>
      </c>
      <c r="K251" s="5">
        <v>153.77000000000001</v>
      </c>
      <c r="L251" s="6">
        <v>0.05</v>
      </c>
      <c r="M251" s="5">
        <v>584.33000000000004</v>
      </c>
      <c r="P251" t="str">
        <f>TEXT(Tableau2[[#This Row],[Date]],"mmmm aaaa")</f>
        <v>août 2026</v>
      </c>
    </row>
    <row r="252" spans="1:16">
      <c r="A252" s="2" t="s">
        <v>338</v>
      </c>
      <c r="B252" s="3">
        <v>46223</v>
      </c>
      <c r="C252" s="2" t="s">
        <v>47</v>
      </c>
      <c r="D252" s="2" t="s">
        <v>15</v>
      </c>
      <c r="E252" s="2" t="s">
        <v>34</v>
      </c>
      <c r="F252" s="2" t="s">
        <v>17</v>
      </c>
      <c r="G252" s="2" t="s">
        <v>24</v>
      </c>
      <c r="H252" s="2" t="s">
        <v>82</v>
      </c>
      <c r="I252" s="2" t="s">
        <v>75</v>
      </c>
      <c r="J252" s="4">
        <v>1</v>
      </c>
      <c r="K252" s="5">
        <v>292.51</v>
      </c>
      <c r="L252" s="6">
        <v>0</v>
      </c>
      <c r="M252" s="5">
        <v>292.51</v>
      </c>
      <c r="P252" t="str">
        <f>TEXT(Tableau2[[#This Row],[Date]],"mmmm aaaa")</f>
        <v>juillet 2026</v>
      </c>
    </row>
    <row r="253" spans="1:16">
      <c r="A253" s="2" t="s">
        <v>339</v>
      </c>
      <c r="B253" s="3">
        <v>46385</v>
      </c>
      <c r="C253" s="2" t="s">
        <v>63</v>
      </c>
      <c r="D253" s="2" t="s">
        <v>33</v>
      </c>
      <c r="E253" s="2" t="s">
        <v>43</v>
      </c>
      <c r="F253" s="2" t="s">
        <v>28</v>
      </c>
      <c r="G253" s="2" t="s">
        <v>48</v>
      </c>
      <c r="H253" s="2" t="s">
        <v>77</v>
      </c>
      <c r="I253" s="2" t="s">
        <v>58</v>
      </c>
      <c r="J253" s="4">
        <v>2</v>
      </c>
      <c r="K253" s="5">
        <v>89.91</v>
      </c>
      <c r="L253" s="6">
        <v>0</v>
      </c>
      <c r="M253" s="5">
        <v>179.82</v>
      </c>
      <c r="P253" t="str">
        <f>TEXT(Tableau2[[#This Row],[Date]],"mmmm aaaa")</f>
        <v>décembre 2026</v>
      </c>
    </row>
    <row r="254" spans="1:16">
      <c r="A254" s="2" t="s">
        <v>340</v>
      </c>
      <c r="B254" s="3">
        <v>46279</v>
      </c>
      <c r="C254" s="2" t="s">
        <v>125</v>
      </c>
      <c r="D254" s="2" t="s">
        <v>23</v>
      </c>
      <c r="E254" s="2" t="s">
        <v>16</v>
      </c>
      <c r="F254" s="2" t="s">
        <v>28</v>
      </c>
      <c r="G254" s="2" t="s">
        <v>24</v>
      </c>
      <c r="H254" s="2" t="s">
        <v>35</v>
      </c>
      <c r="I254" s="2" t="s">
        <v>26</v>
      </c>
      <c r="J254" s="4">
        <v>4</v>
      </c>
      <c r="K254" s="5">
        <v>171.36</v>
      </c>
      <c r="L254" s="6">
        <v>0</v>
      </c>
      <c r="M254" s="5">
        <v>685.44</v>
      </c>
      <c r="P254" t="str">
        <f>TEXT(Tableau2[[#This Row],[Date]],"mmmm aaaa")</f>
        <v>septembre 2026</v>
      </c>
    </row>
    <row r="255" spans="1:16">
      <c r="A255" s="2" t="s">
        <v>341</v>
      </c>
      <c r="B255" s="3">
        <v>46347</v>
      </c>
      <c r="C255" s="2" t="s">
        <v>119</v>
      </c>
      <c r="D255" s="2" t="s">
        <v>15</v>
      </c>
      <c r="E255" s="2" t="s">
        <v>34</v>
      </c>
      <c r="F255" s="2" t="s">
        <v>17</v>
      </c>
      <c r="G255" s="2" t="s">
        <v>39</v>
      </c>
      <c r="H255" s="2" t="s">
        <v>71</v>
      </c>
      <c r="I255" s="2" t="s">
        <v>36</v>
      </c>
      <c r="J255" s="4">
        <v>5</v>
      </c>
      <c r="K255" s="5">
        <v>121.25</v>
      </c>
      <c r="L255" s="6">
        <v>0.05</v>
      </c>
      <c r="M255" s="5">
        <v>575.94000000000005</v>
      </c>
      <c r="P255" t="str">
        <f>TEXT(Tableau2[[#This Row],[Date]],"mmmm aaaa")</f>
        <v>novembre 2026</v>
      </c>
    </row>
    <row r="256" spans="1:16">
      <c r="A256" s="2" t="s">
        <v>342</v>
      </c>
      <c r="B256" s="3">
        <v>46319</v>
      </c>
      <c r="C256" s="2" t="s">
        <v>101</v>
      </c>
      <c r="D256" s="2" t="s">
        <v>33</v>
      </c>
      <c r="E256" s="2" t="s">
        <v>34</v>
      </c>
      <c r="F256" s="2" t="s">
        <v>17</v>
      </c>
      <c r="G256" s="2" t="s">
        <v>39</v>
      </c>
      <c r="H256" s="2" t="s">
        <v>95</v>
      </c>
      <c r="I256" s="2" t="s">
        <v>75</v>
      </c>
      <c r="J256" s="4">
        <v>5</v>
      </c>
      <c r="K256" s="5">
        <v>105.68</v>
      </c>
      <c r="L256" s="6">
        <v>0</v>
      </c>
      <c r="M256" s="5">
        <v>528.4</v>
      </c>
      <c r="P256" t="str">
        <f>TEXT(Tableau2[[#This Row],[Date]],"mmmm aaaa")</f>
        <v>octobre 2026</v>
      </c>
    </row>
    <row r="257" spans="1:16">
      <c r="A257" s="2" t="s">
        <v>343</v>
      </c>
      <c r="B257" s="3">
        <v>46134</v>
      </c>
      <c r="C257" s="2" t="s">
        <v>178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158</v>
      </c>
      <c r="I257" s="2" t="s">
        <v>41</v>
      </c>
      <c r="J257" s="4">
        <v>5</v>
      </c>
      <c r="K257" s="5">
        <v>47.55</v>
      </c>
      <c r="L257" s="6">
        <v>0.15</v>
      </c>
      <c r="M257" s="5">
        <v>202.09</v>
      </c>
      <c r="P257" t="str">
        <f>TEXT(Tableau2[[#This Row],[Date]],"mmmm aaaa")</f>
        <v>avril 2026</v>
      </c>
    </row>
    <row r="258" spans="1:16">
      <c r="A258" s="2" t="s">
        <v>344</v>
      </c>
      <c r="B258" s="3">
        <v>46315</v>
      </c>
      <c r="C258" s="2" t="s">
        <v>86</v>
      </c>
      <c r="D258" s="2" t="s">
        <v>53</v>
      </c>
      <c r="E258" s="2" t="s">
        <v>16</v>
      </c>
      <c r="F258" s="2" t="s">
        <v>28</v>
      </c>
      <c r="G258" s="2" t="s">
        <v>54</v>
      </c>
      <c r="H258" s="2" t="s">
        <v>55</v>
      </c>
      <c r="I258" s="2" t="s">
        <v>58</v>
      </c>
      <c r="J258" s="4">
        <v>6</v>
      </c>
      <c r="K258" s="5">
        <v>167.98</v>
      </c>
      <c r="L258" s="6">
        <v>0</v>
      </c>
      <c r="M258" s="5">
        <v>1007.88</v>
      </c>
      <c r="P258" t="str">
        <f>TEXT(Tableau2[[#This Row],[Date]],"mmmm aaaa")</f>
        <v>octobre 2026</v>
      </c>
    </row>
    <row r="259" spans="1:16">
      <c r="A259" s="2" t="s">
        <v>345</v>
      </c>
      <c r="B259" s="3">
        <v>46354</v>
      </c>
      <c r="C259" s="2" t="s">
        <v>101</v>
      </c>
      <c r="D259" s="2" t="s">
        <v>33</v>
      </c>
      <c r="E259" s="2" t="s">
        <v>16</v>
      </c>
      <c r="F259" s="2" t="s">
        <v>28</v>
      </c>
      <c r="G259" s="2" t="s">
        <v>39</v>
      </c>
      <c r="H259" s="2" t="s">
        <v>40</v>
      </c>
      <c r="I259" s="2" t="s">
        <v>41</v>
      </c>
      <c r="J259" s="4">
        <v>2</v>
      </c>
      <c r="K259" s="5">
        <v>126.09</v>
      </c>
      <c r="L259" s="6">
        <v>0</v>
      </c>
      <c r="M259" s="5">
        <v>252.18</v>
      </c>
      <c r="P259" t="str">
        <f>TEXT(Tableau2[[#This Row],[Date]],"mmmm aaaa")</f>
        <v>novembre 2026</v>
      </c>
    </row>
    <row r="260" spans="1:16">
      <c r="A260" s="2" t="s">
        <v>346</v>
      </c>
      <c r="B260" s="3">
        <v>46176</v>
      </c>
      <c r="C260" s="2" t="s">
        <v>32</v>
      </c>
      <c r="D260" s="2" t="s">
        <v>33</v>
      </c>
      <c r="E260" s="2" t="s">
        <v>34</v>
      </c>
      <c r="F260" s="2" t="s">
        <v>28</v>
      </c>
      <c r="G260" s="2" t="s">
        <v>24</v>
      </c>
      <c r="H260" s="2" t="s">
        <v>82</v>
      </c>
      <c r="I260" s="2" t="s">
        <v>20</v>
      </c>
      <c r="J260" s="4">
        <v>4</v>
      </c>
      <c r="K260" s="5">
        <v>317.98</v>
      </c>
      <c r="L260" s="6">
        <v>0</v>
      </c>
      <c r="M260" s="5">
        <v>1271.92</v>
      </c>
      <c r="P260" t="str">
        <f>TEXT(Tableau2[[#This Row],[Date]],"mmmm aaaa")</f>
        <v>juin 2026</v>
      </c>
    </row>
    <row r="261" spans="1:16">
      <c r="A261" s="2" t="s">
        <v>347</v>
      </c>
      <c r="B261" s="3">
        <v>46254</v>
      </c>
      <c r="C261" s="2" t="s">
        <v>130</v>
      </c>
      <c r="D261" s="2" t="s">
        <v>53</v>
      </c>
      <c r="E261" s="2" t="s">
        <v>16</v>
      </c>
      <c r="F261" s="2" t="s">
        <v>28</v>
      </c>
      <c r="G261" s="2" t="s">
        <v>54</v>
      </c>
      <c r="H261" s="2" t="s">
        <v>102</v>
      </c>
      <c r="I261" s="2" t="s">
        <v>26</v>
      </c>
      <c r="J261" s="4">
        <v>3</v>
      </c>
      <c r="K261" s="5">
        <v>206.38</v>
      </c>
      <c r="L261" s="6">
        <v>0</v>
      </c>
      <c r="M261" s="5">
        <v>619.14</v>
      </c>
      <c r="P261" t="str">
        <f>TEXT(Tableau2[[#This Row],[Date]],"mmmm aaaa")</f>
        <v>août 2026</v>
      </c>
    </row>
    <row r="262" spans="1:16">
      <c r="A262" s="2" t="s">
        <v>348</v>
      </c>
      <c r="B262" s="3">
        <v>46113</v>
      </c>
      <c r="C262" s="2" t="s">
        <v>63</v>
      </c>
      <c r="D262" s="2" t="s">
        <v>33</v>
      </c>
      <c r="E262" s="2" t="s">
        <v>34</v>
      </c>
      <c r="F262" s="2" t="s">
        <v>17</v>
      </c>
      <c r="G262" s="2" t="s">
        <v>54</v>
      </c>
      <c r="H262" s="2" t="s">
        <v>64</v>
      </c>
      <c r="I262" s="2" t="s">
        <v>20</v>
      </c>
      <c r="J262" s="4">
        <v>5</v>
      </c>
      <c r="K262" s="5">
        <v>91.09</v>
      </c>
      <c r="L262" s="6">
        <v>0.1</v>
      </c>
      <c r="M262" s="5">
        <v>409.91</v>
      </c>
      <c r="P262" t="str">
        <f>TEXT(Tableau2[[#This Row],[Date]],"mmmm aaaa")</f>
        <v>avril 2026</v>
      </c>
    </row>
    <row r="263" spans="1:16">
      <c r="A263" s="2" t="s">
        <v>349</v>
      </c>
      <c r="B263" s="3">
        <v>46067</v>
      </c>
      <c r="C263" s="2" t="s">
        <v>169</v>
      </c>
      <c r="D263" s="2" t="s">
        <v>33</v>
      </c>
      <c r="E263" s="2" t="s">
        <v>43</v>
      </c>
      <c r="F263" s="2" t="s">
        <v>28</v>
      </c>
      <c r="G263" s="2" t="s">
        <v>24</v>
      </c>
      <c r="H263" s="2" t="s">
        <v>82</v>
      </c>
      <c r="I263" s="2" t="s">
        <v>45</v>
      </c>
      <c r="J263" s="4">
        <v>2</v>
      </c>
      <c r="K263" s="5">
        <v>291.11</v>
      </c>
      <c r="L263" s="6">
        <v>0</v>
      </c>
      <c r="M263" s="5">
        <v>582.22</v>
      </c>
      <c r="P263" t="str">
        <f>TEXT(Tableau2[[#This Row],[Date]],"mmmm aaaa")</f>
        <v>février 2026</v>
      </c>
    </row>
    <row r="264" spans="1:16">
      <c r="A264" s="2" t="s">
        <v>350</v>
      </c>
      <c r="B264" s="3">
        <v>46113</v>
      </c>
      <c r="C264" s="2" t="s">
        <v>63</v>
      </c>
      <c r="D264" s="2" t="s">
        <v>33</v>
      </c>
      <c r="E264" s="2" t="s">
        <v>34</v>
      </c>
      <c r="F264" s="2" t="s">
        <v>17</v>
      </c>
      <c r="G264" s="2" t="s">
        <v>24</v>
      </c>
      <c r="H264" s="2" t="s">
        <v>25</v>
      </c>
      <c r="I264" s="2" t="s">
        <v>26</v>
      </c>
      <c r="J264" s="4">
        <v>2</v>
      </c>
      <c r="K264" s="5">
        <v>132.24</v>
      </c>
      <c r="L264" s="6">
        <v>0</v>
      </c>
      <c r="M264" s="5">
        <v>264.48</v>
      </c>
      <c r="P264" t="str">
        <f>TEXT(Tableau2[[#This Row],[Date]],"mmmm aaaa")</f>
        <v>avril 2026</v>
      </c>
    </row>
    <row r="265" spans="1:16">
      <c r="A265" s="2" t="s">
        <v>351</v>
      </c>
      <c r="B265" s="3">
        <v>46353</v>
      </c>
      <c r="C265" s="2" t="s">
        <v>171</v>
      </c>
      <c r="D265" s="2" t="s">
        <v>33</v>
      </c>
      <c r="E265" s="2" t="s">
        <v>34</v>
      </c>
      <c r="F265" s="2" t="s">
        <v>28</v>
      </c>
      <c r="G265" s="2" t="s">
        <v>39</v>
      </c>
      <c r="H265" s="2" t="s">
        <v>95</v>
      </c>
      <c r="I265" s="2" t="s">
        <v>20</v>
      </c>
      <c r="J265" s="4">
        <v>1</v>
      </c>
      <c r="K265" s="5">
        <v>96.56</v>
      </c>
      <c r="L265" s="6">
        <v>0.3</v>
      </c>
      <c r="M265" s="5">
        <v>67.59</v>
      </c>
      <c r="P265" t="str">
        <f>TEXT(Tableau2[[#This Row],[Date]],"mmmm aaaa")</f>
        <v>novembre 2026</v>
      </c>
    </row>
    <row r="266" spans="1:16">
      <c r="A266" s="2" t="s">
        <v>352</v>
      </c>
      <c r="B266" s="3">
        <v>46109</v>
      </c>
      <c r="C266" s="2" t="s">
        <v>14</v>
      </c>
      <c r="D266" s="2" t="s">
        <v>15</v>
      </c>
      <c r="E266" s="2" t="s">
        <v>43</v>
      </c>
      <c r="F266" s="2" t="s">
        <v>28</v>
      </c>
      <c r="G266" s="2" t="s">
        <v>29</v>
      </c>
      <c r="H266" s="2" t="s">
        <v>99</v>
      </c>
      <c r="I266" s="2" t="s">
        <v>26</v>
      </c>
      <c r="J266" s="4">
        <v>1</v>
      </c>
      <c r="K266" s="5">
        <v>58.98</v>
      </c>
      <c r="L266" s="6">
        <v>0.05</v>
      </c>
      <c r="M266" s="5">
        <v>56.03</v>
      </c>
      <c r="P266" t="str">
        <f>TEXT(Tableau2[[#This Row],[Date]],"mmmm aaaa")</f>
        <v>mars 2026</v>
      </c>
    </row>
    <row r="267" spans="1:16">
      <c r="A267" s="2" t="s">
        <v>353</v>
      </c>
      <c r="B267" s="3">
        <v>46083</v>
      </c>
      <c r="C267" s="2" t="s">
        <v>57</v>
      </c>
      <c r="D267" s="2" t="s">
        <v>15</v>
      </c>
      <c r="E267" s="2" t="s">
        <v>34</v>
      </c>
      <c r="F267" s="2" t="s">
        <v>17</v>
      </c>
      <c r="G267" s="2" t="s">
        <v>24</v>
      </c>
      <c r="H267" s="2" t="s">
        <v>61</v>
      </c>
      <c r="I267" s="2" t="s">
        <v>45</v>
      </c>
      <c r="J267" s="4">
        <v>10</v>
      </c>
      <c r="K267" s="5">
        <v>252.94</v>
      </c>
      <c r="L267" s="6">
        <v>0</v>
      </c>
      <c r="M267" s="5">
        <v>2529.4</v>
      </c>
      <c r="P267" t="str">
        <f>TEXT(Tableau2[[#This Row],[Date]],"mmmm aaaa")</f>
        <v>mars 2026</v>
      </c>
    </row>
    <row r="268" spans="1:16">
      <c r="A268" s="2" t="s">
        <v>354</v>
      </c>
      <c r="B268" s="3">
        <v>46191</v>
      </c>
      <c r="C268" s="2" t="s">
        <v>57</v>
      </c>
      <c r="D268" s="2" t="s">
        <v>15</v>
      </c>
      <c r="E268" s="2" t="s">
        <v>16</v>
      </c>
      <c r="F268" s="2" t="s">
        <v>17</v>
      </c>
      <c r="G268" s="2" t="s">
        <v>18</v>
      </c>
      <c r="H268" s="2" t="s">
        <v>136</v>
      </c>
      <c r="I268" s="2" t="s">
        <v>50</v>
      </c>
      <c r="J268" s="4">
        <v>1</v>
      </c>
      <c r="K268" s="5">
        <v>32.96</v>
      </c>
      <c r="L268" s="6">
        <v>0.15</v>
      </c>
      <c r="M268" s="5">
        <v>28.02</v>
      </c>
      <c r="P268" t="str">
        <f>TEXT(Tableau2[[#This Row],[Date]],"mmmm aaaa")</f>
        <v>juin 2026</v>
      </c>
    </row>
    <row r="269" spans="1:16">
      <c r="A269" s="2" t="s">
        <v>355</v>
      </c>
      <c r="B269" s="3">
        <v>46258</v>
      </c>
      <c r="C269" s="2" t="s">
        <v>57</v>
      </c>
      <c r="D269" s="2" t="s">
        <v>15</v>
      </c>
      <c r="E269" s="2" t="s">
        <v>34</v>
      </c>
      <c r="F269" s="2" t="s">
        <v>17</v>
      </c>
      <c r="G269" s="2" t="s">
        <v>54</v>
      </c>
      <c r="H269" s="2" t="s">
        <v>102</v>
      </c>
      <c r="I269" s="2" t="s">
        <v>75</v>
      </c>
      <c r="J269" s="4">
        <v>5</v>
      </c>
      <c r="K269" s="5">
        <v>230.38</v>
      </c>
      <c r="L269" s="6">
        <v>0.15</v>
      </c>
      <c r="M269" s="5">
        <v>979.12</v>
      </c>
      <c r="P269" t="str">
        <f>TEXT(Tableau2[[#This Row],[Date]],"mmmm aaaa")</f>
        <v>août 2026</v>
      </c>
    </row>
    <row r="270" spans="1:16">
      <c r="A270" s="2" t="s">
        <v>356</v>
      </c>
      <c r="B270" s="3">
        <v>46149</v>
      </c>
      <c r="C270" s="2" t="s">
        <v>22</v>
      </c>
      <c r="D270" s="2" t="s">
        <v>23</v>
      </c>
      <c r="E270" s="2" t="s">
        <v>34</v>
      </c>
      <c r="F270" s="2" t="s">
        <v>17</v>
      </c>
      <c r="G270" s="2" t="s">
        <v>18</v>
      </c>
      <c r="H270" s="2" t="s">
        <v>158</v>
      </c>
      <c r="I270" s="2" t="s">
        <v>58</v>
      </c>
      <c r="J270" s="4">
        <v>1</v>
      </c>
      <c r="K270" s="5">
        <v>47.82</v>
      </c>
      <c r="L270" s="6">
        <v>0</v>
      </c>
      <c r="M270" s="5">
        <v>47.82</v>
      </c>
      <c r="P270" t="str">
        <f>TEXT(Tableau2[[#This Row],[Date]],"mmmm aaaa")</f>
        <v>mai 2026</v>
      </c>
    </row>
    <row r="271" spans="1:16">
      <c r="A271" s="2" t="s">
        <v>357</v>
      </c>
      <c r="B271" s="3">
        <v>46230</v>
      </c>
      <c r="C271" s="2" t="s">
        <v>66</v>
      </c>
      <c r="D271" s="2" t="s">
        <v>23</v>
      </c>
      <c r="E271" s="2" t="s">
        <v>16</v>
      </c>
      <c r="F271" s="2" t="s">
        <v>28</v>
      </c>
      <c r="G271" s="2" t="s">
        <v>18</v>
      </c>
      <c r="H271" s="2" t="s">
        <v>143</v>
      </c>
      <c r="I271" s="2" t="s">
        <v>50</v>
      </c>
      <c r="J271" s="4">
        <v>7</v>
      </c>
      <c r="K271" s="5">
        <v>71.290000000000006</v>
      </c>
      <c r="L271" s="6">
        <v>0.05</v>
      </c>
      <c r="M271" s="5">
        <v>474.08</v>
      </c>
      <c r="P271" t="str">
        <f>TEXT(Tableau2[[#This Row],[Date]],"mmmm aaaa")</f>
        <v>juillet 2026</v>
      </c>
    </row>
    <row r="272" spans="1:16">
      <c r="A272" s="2" t="s">
        <v>358</v>
      </c>
      <c r="B272" s="3">
        <v>46200</v>
      </c>
      <c r="C272" s="2" t="s">
        <v>90</v>
      </c>
      <c r="D272" s="2" t="s">
        <v>53</v>
      </c>
      <c r="E272" s="2" t="s">
        <v>16</v>
      </c>
      <c r="F272" s="2" t="s">
        <v>17</v>
      </c>
      <c r="G272" s="2" t="s">
        <v>48</v>
      </c>
      <c r="H272" s="2" t="s">
        <v>88</v>
      </c>
      <c r="I272" s="2" t="s">
        <v>41</v>
      </c>
      <c r="J272" s="4">
        <v>5</v>
      </c>
      <c r="K272" s="5">
        <v>73.58</v>
      </c>
      <c r="L272" s="6">
        <v>0</v>
      </c>
      <c r="M272" s="5">
        <v>367.9</v>
      </c>
      <c r="P272" t="str">
        <f>TEXT(Tableau2[[#This Row],[Date]],"mmmm aaaa")</f>
        <v>juin 2026</v>
      </c>
    </row>
    <row r="273" spans="1:16">
      <c r="A273" s="2" t="s">
        <v>359</v>
      </c>
      <c r="B273" s="3">
        <v>46032</v>
      </c>
      <c r="C273" s="2" t="s">
        <v>125</v>
      </c>
      <c r="D273" s="2" t="s">
        <v>23</v>
      </c>
      <c r="E273" s="2" t="s">
        <v>16</v>
      </c>
      <c r="F273" s="2" t="s">
        <v>17</v>
      </c>
      <c r="G273" s="2" t="s">
        <v>29</v>
      </c>
      <c r="H273" s="2" t="s">
        <v>44</v>
      </c>
      <c r="I273" s="2" t="s">
        <v>50</v>
      </c>
      <c r="J273" s="4">
        <v>1</v>
      </c>
      <c r="K273" s="5">
        <v>38.380000000000003</v>
      </c>
      <c r="L273" s="6">
        <v>0</v>
      </c>
      <c r="M273" s="5">
        <v>38.380000000000003</v>
      </c>
      <c r="P273" t="str">
        <f>TEXT(Tableau2[[#This Row],[Date]],"mmmm aaaa")</f>
        <v>janvier 2026</v>
      </c>
    </row>
    <row r="274" spans="1:16">
      <c r="A274" s="2" t="s">
        <v>360</v>
      </c>
      <c r="B274" s="3">
        <v>46205</v>
      </c>
      <c r="C274" s="2" t="s">
        <v>125</v>
      </c>
      <c r="D274" s="2" t="s">
        <v>23</v>
      </c>
      <c r="E274" s="2" t="s">
        <v>16</v>
      </c>
      <c r="F274" s="2" t="s">
        <v>17</v>
      </c>
      <c r="G274" s="2" t="s">
        <v>48</v>
      </c>
      <c r="H274" s="2" t="s">
        <v>49</v>
      </c>
      <c r="I274" s="2" t="s">
        <v>45</v>
      </c>
      <c r="J274" s="4">
        <v>1</v>
      </c>
      <c r="K274" s="5">
        <v>57.27</v>
      </c>
      <c r="L274" s="6">
        <v>0</v>
      </c>
      <c r="M274" s="5">
        <v>57.27</v>
      </c>
      <c r="P274" t="str">
        <f>TEXT(Tableau2[[#This Row],[Date]],"mmmm aaaa")</f>
        <v>juillet 2026</v>
      </c>
    </row>
    <row r="275" spans="1:16">
      <c r="A275" s="2" t="s">
        <v>361</v>
      </c>
      <c r="B275" s="3">
        <v>46118</v>
      </c>
      <c r="C275" s="2" t="s">
        <v>66</v>
      </c>
      <c r="D275" s="2" t="s">
        <v>23</v>
      </c>
      <c r="E275" s="2" t="s">
        <v>34</v>
      </c>
      <c r="F275" s="2" t="s">
        <v>17</v>
      </c>
      <c r="G275" s="2" t="s">
        <v>18</v>
      </c>
      <c r="H275" s="2" t="s">
        <v>158</v>
      </c>
      <c r="I275" s="2" t="s">
        <v>36</v>
      </c>
      <c r="J275" s="4">
        <v>1</v>
      </c>
      <c r="K275" s="5">
        <v>48.25</v>
      </c>
      <c r="L275" s="6">
        <v>0.15</v>
      </c>
      <c r="M275" s="5">
        <v>41.01</v>
      </c>
      <c r="P275" t="str">
        <f>TEXT(Tableau2[[#This Row],[Date]],"mmmm aaaa")</f>
        <v>avril 2026</v>
      </c>
    </row>
    <row r="276" spans="1:16">
      <c r="A276" s="2" t="s">
        <v>362</v>
      </c>
      <c r="B276" s="3">
        <v>46273</v>
      </c>
      <c r="C276" s="2" t="s">
        <v>14</v>
      </c>
      <c r="D276" s="2" t="s">
        <v>15</v>
      </c>
      <c r="E276" s="2" t="s">
        <v>34</v>
      </c>
      <c r="F276" s="2" t="s">
        <v>28</v>
      </c>
      <c r="G276" s="2" t="s">
        <v>18</v>
      </c>
      <c r="H276" s="2" t="s">
        <v>19</v>
      </c>
      <c r="I276" s="2" t="s">
        <v>26</v>
      </c>
      <c r="J276" s="4">
        <v>5</v>
      </c>
      <c r="K276" s="5">
        <v>53.61</v>
      </c>
      <c r="L276" s="6">
        <v>0.05</v>
      </c>
      <c r="M276" s="5">
        <v>254.65</v>
      </c>
      <c r="P276" t="str">
        <f>TEXT(Tableau2[[#This Row],[Date]],"mmmm aaaa")</f>
        <v>septembre 2026</v>
      </c>
    </row>
    <row r="277" spans="1:16">
      <c r="A277" s="2" t="s">
        <v>363</v>
      </c>
      <c r="B277" s="3">
        <v>46239</v>
      </c>
      <c r="C277" s="2" t="s">
        <v>57</v>
      </c>
      <c r="D277" s="2" t="s">
        <v>15</v>
      </c>
      <c r="E277" s="2" t="s">
        <v>34</v>
      </c>
      <c r="F277" s="2" t="s">
        <v>17</v>
      </c>
      <c r="G277" s="2" t="s">
        <v>24</v>
      </c>
      <c r="H277" s="2" t="s">
        <v>35</v>
      </c>
      <c r="I277" s="2" t="s">
        <v>75</v>
      </c>
      <c r="J277" s="4">
        <v>5</v>
      </c>
      <c r="K277" s="5">
        <v>179.43</v>
      </c>
      <c r="L277" s="6">
        <v>0</v>
      </c>
      <c r="M277" s="5">
        <v>897.15</v>
      </c>
      <c r="P277" t="str">
        <f>TEXT(Tableau2[[#This Row],[Date]],"mmmm aaaa")</f>
        <v>août 2026</v>
      </c>
    </row>
    <row r="278" spans="1:16">
      <c r="A278" s="2" t="s">
        <v>364</v>
      </c>
      <c r="B278" s="3">
        <v>46328</v>
      </c>
      <c r="C278" s="2" t="s">
        <v>57</v>
      </c>
      <c r="D278" s="2" t="s">
        <v>15</v>
      </c>
      <c r="E278" s="2" t="s">
        <v>43</v>
      </c>
      <c r="F278" s="2" t="s">
        <v>28</v>
      </c>
      <c r="G278" s="2" t="s">
        <v>18</v>
      </c>
      <c r="H278" s="2" t="s">
        <v>143</v>
      </c>
      <c r="I278" s="2" t="s">
        <v>58</v>
      </c>
      <c r="J278" s="4">
        <v>2</v>
      </c>
      <c r="K278" s="5">
        <v>67.599999999999994</v>
      </c>
      <c r="L278" s="6">
        <v>0</v>
      </c>
      <c r="M278" s="5">
        <v>135.19999999999999</v>
      </c>
      <c r="P278" t="str">
        <f>TEXT(Tableau2[[#This Row],[Date]],"mmmm aaaa")</f>
        <v>novembre 2026</v>
      </c>
    </row>
    <row r="279" spans="1:16">
      <c r="A279" s="2" t="s">
        <v>365</v>
      </c>
      <c r="B279" s="3">
        <v>46213</v>
      </c>
      <c r="C279" s="2" t="s">
        <v>116</v>
      </c>
      <c r="D279" s="2" t="s">
        <v>15</v>
      </c>
      <c r="E279" s="2" t="s">
        <v>16</v>
      </c>
      <c r="F279" s="2" t="s">
        <v>28</v>
      </c>
      <c r="G279" s="2" t="s">
        <v>39</v>
      </c>
      <c r="H279" s="2" t="s">
        <v>71</v>
      </c>
      <c r="I279" s="2" t="s">
        <v>41</v>
      </c>
      <c r="J279" s="4">
        <v>5</v>
      </c>
      <c r="K279" s="5">
        <v>110.07</v>
      </c>
      <c r="L279" s="6">
        <v>0.3</v>
      </c>
      <c r="M279" s="5">
        <v>385.24</v>
      </c>
      <c r="P279" t="str">
        <f>TEXT(Tableau2[[#This Row],[Date]],"mmmm aaaa")</f>
        <v>juillet 2026</v>
      </c>
    </row>
    <row r="280" spans="1:16">
      <c r="A280" s="2" t="s">
        <v>366</v>
      </c>
      <c r="B280" s="3">
        <v>46240</v>
      </c>
      <c r="C280" s="2" t="s">
        <v>63</v>
      </c>
      <c r="D280" s="2" t="s">
        <v>33</v>
      </c>
      <c r="E280" s="2" t="s">
        <v>16</v>
      </c>
      <c r="F280" s="2" t="s">
        <v>28</v>
      </c>
      <c r="G280" s="2" t="s">
        <v>54</v>
      </c>
      <c r="H280" s="2" t="s">
        <v>55</v>
      </c>
      <c r="I280" s="2" t="s">
        <v>20</v>
      </c>
      <c r="J280" s="4">
        <v>5</v>
      </c>
      <c r="K280" s="5">
        <v>155.22999999999999</v>
      </c>
      <c r="L280" s="6">
        <v>0.05</v>
      </c>
      <c r="M280" s="5">
        <v>737.34</v>
      </c>
      <c r="P280" t="str">
        <f>TEXT(Tableau2[[#This Row],[Date]],"mmmm aaaa")</f>
        <v>août 2026</v>
      </c>
    </row>
    <row r="281" spans="1:16">
      <c r="A281" s="2" t="s">
        <v>367</v>
      </c>
      <c r="B281" s="3">
        <v>46087</v>
      </c>
      <c r="C281" s="2" t="s">
        <v>125</v>
      </c>
      <c r="D281" s="2" t="s">
        <v>23</v>
      </c>
      <c r="E281" s="2" t="s">
        <v>43</v>
      </c>
      <c r="F281" s="2" t="s">
        <v>17</v>
      </c>
      <c r="G281" s="2" t="s">
        <v>48</v>
      </c>
      <c r="H281" s="2" t="s">
        <v>84</v>
      </c>
      <c r="I281" s="2" t="s">
        <v>50</v>
      </c>
      <c r="J281" s="4">
        <v>4</v>
      </c>
      <c r="K281" s="5">
        <v>88.32</v>
      </c>
      <c r="L281" s="6">
        <v>0</v>
      </c>
      <c r="M281" s="5">
        <v>353.28</v>
      </c>
      <c r="P281" t="str">
        <f>TEXT(Tableau2[[#This Row],[Date]],"mmmm aaaa")</f>
        <v>mars 2026</v>
      </c>
    </row>
    <row r="282" spans="1:16">
      <c r="A282" s="2" t="s">
        <v>368</v>
      </c>
      <c r="B282" s="3">
        <v>46283</v>
      </c>
      <c r="C282" s="2" t="s">
        <v>22</v>
      </c>
      <c r="D282" s="2" t="s">
        <v>23</v>
      </c>
      <c r="E282" s="2" t="s">
        <v>16</v>
      </c>
      <c r="F282" s="2" t="s">
        <v>17</v>
      </c>
      <c r="G282" s="2" t="s">
        <v>24</v>
      </c>
      <c r="H282" s="2" t="s">
        <v>82</v>
      </c>
      <c r="I282" s="2" t="s">
        <v>41</v>
      </c>
      <c r="J282" s="4">
        <v>6</v>
      </c>
      <c r="K282" s="5">
        <v>308.66000000000003</v>
      </c>
      <c r="L282" s="6">
        <v>0</v>
      </c>
      <c r="M282" s="5">
        <v>1851.96</v>
      </c>
      <c r="P282" t="str">
        <f>TEXT(Tableau2[[#This Row],[Date]],"mmmm aaaa")</f>
        <v>septembre 2026</v>
      </c>
    </row>
    <row r="283" spans="1:16">
      <c r="A283" s="2" t="s">
        <v>369</v>
      </c>
      <c r="B283" s="3">
        <v>46200</v>
      </c>
      <c r="C283" s="2" t="s">
        <v>57</v>
      </c>
      <c r="D283" s="2" t="s">
        <v>15</v>
      </c>
      <c r="E283" s="2" t="s">
        <v>43</v>
      </c>
      <c r="F283" s="2" t="s">
        <v>28</v>
      </c>
      <c r="G283" s="2" t="s">
        <v>29</v>
      </c>
      <c r="H283" s="2" t="s">
        <v>140</v>
      </c>
      <c r="I283" s="2" t="s">
        <v>58</v>
      </c>
      <c r="J283" s="4">
        <v>1</v>
      </c>
      <c r="K283" s="5">
        <v>51.05</v>
      </c>
      <c r="L283" s="6">
        <v>0.05</v>
      </c>
      <c r="M283" s="5">
        <v>48.5</v>
      </c>
      <c r="P283" t="str">
        <f>TEXT(Tableau2[[#This Row],[Date]],"mmmm aaaa")</f>
        <v>juin 2026</v>
      </c>
    </row>
    <row r="284" spans="1:16">
      <c r="A284" s="2" t="s">
        <v>370</v>
      </c>
      <c r="B284" s="3">
        <v>46228</v>
      </c>
      <c r="C284" s="2" t="s">
        <v>57</v>
      </c>
      <c r="D284" s="2" t="s">
        <v>15</v>
      </c>
      <c r="E284" s="2" t="s">
        <v>34</v>
      </c>
      <c r="F284" s="2" t="s">
        <v>17</v>
      </c>
      <c r="G284" s="2" t="s">
        <v>48</v>
      </c>
      <c r="H284" s="2" t="s">
        <v>84</v>
      </c>
      <c r="I284" s="2" t="s">
        <v>26</v>
      </c>
      <c r="J284" s="4">
        <v>2</v>
      </c>
      <c r="K284" s="5">
        <v>98.54</v>
      </c>
      <c r="L284" s="6">
        <v>0</v>
      </c>
      <c r="M284" s="5">
        <v>197.08</v>
      </c>
      <c r="P284" t="str">
        <f>TEXT(Tableau2[[#This Row],[Date]],"mmmm aaaa")</f>
        <v>juillet 2026</v>
      </c>
    </row>
    <row r="285" spans="1:16">
      <c r="A285" s="2" t="s">
        <v>371</v>
      </c>
      <c r="B285" s="3">
        <v>46126</v>
      </c>
      <c r="C285" s="2" t="s">
        <v>164</v>
      </c>
      <c r="D285" s="2" t="s">
        <v>53</v>
      </c>
      <c r="E285" s="2" t="s">
        <v>34</v>
      </c>
      <c r="F285" s="2" t="s">
        <v>28</v>
      </c>
      <c r="G285" s="2" t="s">
        <v>39</v>
      </c>
      <c r="H285" s="2" t="s">
        <v>71</v>
      </c>
      <c r="I285" s="2" t="s">
        <v>75</v>
      </c>
      <c r="J285" s="4">
        <v>9</v>
      </c>
      <c r="K285" s="5">
        <v>122.24</v>
      </c>
      <c r="L285" s="6">
        <v>0.05</v>
      </c>
      <c r="M285" s="5">
        <v>1045.1500000000001</v>
      </c>
      <c r="P285" t="str">
        <f>TEXT(Tableau2[[#This Row],[Date]],"mmmm aaaa")</f>
        <v>avril 2026</v>
      </c>
    </row>
    <row r="286" spans="1:16">
      <c r="A286" s="2" t="s">
        <v>372</v>
      </c>
      <c r="B286" s="3">
        <v>46025</v>
      </c>
      <c r="C286" s="2" t="s">
        <v>63</v>
      </c>
      <c r="D286" s="2" t="s">
        <v>33</v>
      </c>
      <c r="E286" s="2" t="s">
        <v>34</v>
      </c>
      <c r="F286" s="2" t="s">
        <v>17</v>
      </c>
      <c r="G286" s="2" t="s">
        <v>18</v>
      </c>
      <c r="H286" s="2" t="s">
        <v>136</v>
      </c>
      <c r="I286" s="2" t="s">
        <v>20</v>
      </c>
      <c r="J286" s="4">
        <v>2</v>
      </c>
      <c r="K286" s="5">
        <v>32.75</v>
      </c>
      <c r="L286" s="6">
        <v>0.2</v>
      </c>
      <c r="M286" s="5">
        <v>52.4</v>
      </c>
      <c r="P286" t="str">
        <f>TEXT(Tableau2[[#This Row],[Date]],"mmmm aaaa")</f>
        <v>janvier 2026</v>
      </c>
    </row>
    <row r="287" spans="1:16">
      <c r="A287" s="2" t="s">
        <v>373</v>
      </c>
      <c r="B287" s="3">
        <v>46157</v>
      </c>
      <c r="C287" s="2" t="s">
        <v>66</v>
      </c>
      <c r="D287" s="2" t="s">
        <v>23</v>
      </c>
      <c r="E287" s="2" t="s">
        <v>43</v>
      </c>
      <c r="F287" s="2" t="s">
        <v>28</v>
      </c>
      <c r="G287" s="2" t="s">
        <v>48</v>
      </c>
      <c r="H287" s="2" t="s">
        <v>77</v>
      </c>
      <c r="I287" s="2" t="s">
        <v>26</v>
      </c>
      <c r="J287" s="4">
        <v>11</v>
      </c>
      <c r="K287" s="5">
        <v>89.77</v>
      </c>
      <c r="L287" s="6">
        <v>0.1</v>
      </c>
      <c r="M287" s="5">
        <v>888.72</v>
      </c>
      <c r="P287" t="str">
        <f>TEXT(Tableau2[[#This Row],[Date]],"mmmm aaaa")</f>
        <v>mai 2026</v>
      </c>
    </row>
    <row r="288" spans="1:16">
      <c r="A288" s="2" t="s">
        <v>374</v>
      </c>
      <c r="B288" s="3">
        <v>46338</v>
      </c>
      <c r="C288" s="2" t="s">
        <v>130</v>
      </c>
      <c r="D288" s="2" t="s">
        <v>53</v>
      </c>
      <c r="E288" s="2" t="s">
        <v>16</v>
      </c>
      <c r="F288" s="2" t="s">
        <v>17</v>
      </c>
      <c r="G288" s="2" t="s">
        <v>48</v>
      </c>
      <c r="H288" s="2" t="s">
        <v>49</v>
      </c>
      <c r="I288" s="2" t="s">
        <v>41</v>
      </c>
      <c r="J288" s="4">
        <v>1</v>
      </c>
      <c r="K288" s="5">
        <v>61.17</v>
      </c>
      <c r="L288" s="6">
        <v>0</v>
      </c>
      <c r="M288" s="5">
        <v>61.17</v>
      </c>
      <c r="P288" t="str">
        <f>TEXT(Tableau2[[#This Row],[Date]],"mmmm aaaa")</f>
        <v>novembre 2026</v>
      </c>
    </row>
    <row r="289" spans="1:16">
      <c r="A289" s="2" t="s">
        <v>375</v>
      </c>
      <c r="B289" s="3">
        <v>46185</v>
      </c>
      <c r="C289" s="2" t="s">
        <v>94</v>
      </c>
      <c r="D289" s="2" t="s">
        <v>15</v>
      </c>
      <c r="E289" s="2" t="s">
        <v>34</v>
      </c>
      <c r="F289" s="2" t="s">
        <v>28</v>
      </c>
      <c r="G289" s="2" t="s">
        <v>18</v>
      </c>
      <c r="H289" s="2" t="s">
        <v>19</v>
      </c>
      <c r="I289" s="2" t="s">
        <v>58</v>
      </c>
      <c r="J289" s="4">
        <v>5</v>
      </c>
      <c r="K289" s="5">
        <v>50.82</v>
      </c>
      <c r="L289" s="6">
        <v>0.05</v>
      </c>
      <c r="M289" s="5">
        <v>241.39</v>
      </c>
      <c r="P289" t="str">
        <f>TEXT(Tableau2[[#This Row],[Date]],"mmmm aaaa")</f>
        <v>juin 2026</v>
      </c>
    </row>
    <row r="290" spans="1:16">
      <c r="A290" s="2" t="s">
        <v>376</v>
      </c>
      <c r="B290" s="3">
        <v>46186</v>
      </c>
      <c r="C290" s="2" t="s">
        <v>164</v>
      </c>
      <c r="D290" s="2" t="s">
        <v>53</v>
      </c>
      <c r="E290" s="2" t="s">
        <v>16</v>
      </c>
      <c r="F290" s="2" t="s">
        <v>17</v>
      </c>
      <c r="G290" s="2" t="s">
        <v>24</v>
      </c>
      <c r="H290" s="2" t="s">
        <v>61</v>
      </c>
      <c r="I290" s="2" t="s">
        <v>26</v>
      </c>
      <c r="J290" s="4">
        <v>1</v>
      </c>
      <c r="K290" s="5">
        <v>252.3</v>
      </c>
      <c r="L290" s="6">
        <v>0</v>
      </c>
      <c r="M290" s="5">
        <v>252.3</v>
      </c>
      <c r="P290" t="str">
        <f>TEXT(Tableau2[[#This Row],[Date]],"mmmm aaaa")</f>
        <v>juin 2026</v>
      </c>
    </row>
    <row r="291" spans="1:16">
      <c r="A291" s="2" t="s">
        <v>377</v>
      </c>
      <c r="B291" s="3">
        <v>46162</v>
      </c>
      <c r="C291" s="2" t="s">
        <v>63</v>
      </c>
      <c r="D291" s="2" t="s">
        <v>33</v>
      </c>
      <c r="E291" s="2" t="s">
        <v>34</v>
      </c>
      <c r="F291" s="2" t="s">
        <v>17</v>
      </c>
      <c r="G291" s="2" t="s">
        <v>54</v>
      </c>
      <c r="H291" s="2" t="s">
        <v>64</v>
      </c>
      <c r="I291" s="2" t="s">
        <v>41</v>
      </c>
      <c r="J291" s="4">
        <v>5</v>
      </c>
      <c r="K291" s="5">
        <v>85.92</v>
      </c>
      <c r="L291" s="6">
        <v>0</v>
      </c>
      <c r="M291" s="5">
        <v>429.6</v>
      </c>
      <c r="P291" t="str">
        <f>TEXT(Tableau2[[#This Row],[Date]],"mmmm aaaa")</f>
        <v>mai 2026</v>
      </c>
    </row>
    <row r="292" spans="1:16">
      <c r="A292" s="2" t="s">
        <v>378</v>
      </c>
      <c r="B292" s="3">
        <v>46206</v>
      </c>
      <c r="C292" s="2" t="s">
        <v>63</v>
      </c>
      <c r="D292" s="2" t="s">
        <v>33</v>
      </c>
      <c r="E292" s="2" t="s">
        <v>16</v>
      </c>
      <c r="F292" s="2" t="s">
        <v>28</v>
      </c>
      <c r="G292" s="2" t="s">
        <v>54</v>
      </c>
      <c r="H292" s="2" t="s">
        <v>102</v>
      </c>
      <c r="I292" s="2" t="s">
        <v>41</v>
      </c>
      <c r="J292" s="4">
        <v>4</v>
      </c>
      <c r="K292" s="5">
        <v>231.38</v>
      </c>
      <c r="L292" s="6">
        <v>0.05</v>
      </c>
      <c r="M292" s="5">
        <v>879.24</v>
      </c>
      <c r="P292" t="str">
        <f>TEXT(Tableau2[[#This Row],[Date]],"mmmm aaaa")</f>
        <v>juillet 2026</v>
      </c>
    </row>
    <row r="293" spans="1:16">
      <c r="A293" s="2" t="s">
        <v>379</v>
      </c>
      <c r="B293" s="3">
        <v>46295</v>
      </c>
      <c r="C293" s="2" t="s">
        <v>164</v>
      </c>
      <c r="D293" s="2" t="s">
        <v>53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36</v>
      </c>
      <c r="J293" s="4">
        <v>3</v>
      </c>
      <c r="K293" s="5">
        <v>53.39</v>
      </c>
      <c r="L293" s="6">
        <v>0</v>
      </c>
      <c r="M293" s="5">
        <v>160.16999999999999</v>
      </c>
      <c r="P293" t="str">
        <f>TEXT(Tableau2[[#This Row],[Date]],"mmmm aaaa")</f>
        <v>septembre 2026</v>
      </c>
    </row>
    <row r="294" spans="1:16">
      <c r="A294" s="2" t="s">
        <v>380</v>
      </c>
      <c r="B294" s="3">
        <v>46370</v>
      </c>
      <c r="C294" s="2" t="s">
        <v>57</v>
      </c>
      <c r="D294" s="2" t="s">
        <v>15</v>
      </c>
      <c r="E294" s="2" t="s">
        <v>34</v>
      </c>
      <c r="F294" s="2" t="s">
        <v>28</v>
      </c>
      <c r="G294" s="2" t="s">
        <v>39</v>
      </c>
      <c r="H294" s="2" t="s">
        <v>71</v>
      </c>
      <c r="I294" s="2" t="s">
        <v>58</v>
      </c>
      <c r="J294" s="4">
        <v>10</v>
      </c>
      <c r="K294" s="5">
        <v>120.74</v>
      </c>
      <c r="L294" s="6">
        <v>0</v>
      </c>
      <c r="M294" s="5">
        <v>1207.4000000000001</v>
      </c>
      <c r="P294" t="str">
        <f>TEXT(Tableau2[[#This Row],[Date]],"mmmm aaaa")</f>
        <v>décembre 2026</v>
      </c>
    </row>
    <row r="295" spans="1:16">
      <c r="A295" s="2" t="s">
        <v>381</v>
      </c>
      <c r="B295" s="3">
        <v>46053</v>
      </c>
      <c r="C295" s="2" t="s">
        <v>94</v>
      </c>
      <c r="D295" s="2" t="s">
        <v>15</v>
      </c>
      <c r="E295" s="2" t="s">
        <v>38</v>
      </c>
      <c r="F295" s="2" t="s">
        <v>17</v>
      </c>
      <c r="G295" s="2" t="s">
        <v>48</v>
      </c>
      <c r="H295" s="2" t="s">
        <v>88</v>
      </c>
      <c r="I295" s="2" t="s">
        <v>20</v>
      </c>
      <c r="J295" s="4">
        <v>1</v>
      </c>
      <c r="K295" s="5">
        <v>80.680000000000007</v>
      </c>
      <c r="L295" s="6">
        <v>0.05</v>
      </c>
      <c r="M295" s="5">
        <v>76.650000000000006</v>
      </c>
      <c r="P295" t="str">
        <f>TEXT(Tableau2[[#This Row],[Date]],"mmmm aaaa")</f>
        <v>janvier 2026</v>
      </c>
    </row>
    <row r="296" spans="1:16">
      <c r="A296" s="2" t="s">
        <v>382</v>
      </c>
      <c r="B296" s="3">
        <v>46319</v>
      </c>
      <c r="C296" s="2" t="s">
        <v>14</v>
      </c>
      <c r="D296" s="2" t="s">
        <v>15</v>
      </c>
      <c r="E296" s="2" t="s">
        <v>38</v>
      </c>
      <c r="F296" s="2" t="s">
        <v>28</v>
      </c>
      <c r="G296" s="2" t="s">
        <v>39</v>
      </c>
      <c r="H296" s="2" t="s">
        <v>71</v>
      </c>
      <c r="I296" s="2" t="s">
        <v>20</v>
      </c>
      <c r="J296" s="4">
        <v>3</v>
      </c>
      <c r="K296" s="5">
        <v>123.18</v>
      </c>
      <c r="L296" s="6">
        <v>0</v>
      </c>
      <c r="M296" s="5">
        <v>369.54</v>
      </c>
      <c r="P296" t="str">
        <f>TEXT(Tableau2[[#This Row],[Date]],"mmmm aaaa")</f>
        <v>octobre 2026</v>
      </c>
    </row>
    <row r="297" spans="1:16">
      <c r="A297" s="2" t="s">
        <v>383</v>
      </c>
      <c r="B297" s="3">
        <v>46087</v>
      </c>
      <c r="C297" s="2" t="s">
        <v>57</v>
      </c>
      <c r="D297" s="2" t="s">
        <v>15</v>
      </c>
      <c r="E297" s="2" t="s">
        <v>34</v>
      </c>
      <c r="F297" s="2" t="s">
        <v>17</v>
      </c>
      <c r="G297" s="2" t="s">
        <v>48</v>
      </c>
      <c r="H297" s="2" t="s">
        <v>84</v>
      </c>
      <c r="I297" s="2" t="s">
        <v>45</v>
      </c>
      <c r="J297" s="4">
        <v>1</v>
      </c>
      <c r="K297" s="5">
        <v>88.46</v>
      </c>
      <c r="L297" s="6">
        <v>0</v>
      </c>
      <c r="M297" s="5">
        <v>88.46</v>
      </c>
      <c r="P297" t="str">
        <f>TEXT(Tableau2[[#This Row],[Date]],"mmmm aaaa")</f>
        <v>mars 2026</v>
      </c>
    </row>
    <row r="298" spans="1:16">
      <c r="A298" s="2" t="s">
        <v>384</v>
      </c>
      <c r="B298" s="3">
        <v>46298</v>
      </c>
      <c r="C298" s="2" t="s">
        <v>164</v>
      </c>
      <c r="D298" s="2" t="s">
        <v>53</v>
      </c>
      <c r="E298" s="2" t="s">
        <v>16</v>
      </c>
      <c r="F298" s="2" t="s">
        <v>17</v>
      </c>
      <c r="G298" s="2" t="s">
        <v>18</v>
      </c>
      <c r="H298" s="2" t="s">
        <v>136</v>
      </c>
      <c r="I298" s="2" t="s">
        <v>41</v>
      </c>
      <c r="J298" s="4">
        <v>2</v>
      </c>
      <c r="K298" s="5">
        <v>30.26</v>
      </c>
      <c r="L298" s="6">
        <v>0</v>
      </c>
      <c r="M298" s="5">
        <v>60.52</v>
      </c>
      <c r="P298" t="str">
        <f>TEXT(Tableau2[[#This Row],[Date]],"mmmm aaaa")</f>
        <v>octobre 2026</v>
      </c>
    </row>
    <row r="299" spans="1:16">
      <c r="A299" s="2" t="s">
        <v>385</v>
      </c>
      <c r="B299" s="3">
        <v>46310</v>
      </c>
      <c r="C299" s="2" t="s">
        <v>47</v>
      </c>
      <c r="D299" s="2" t="s">
        <v>15</v>
      </c>
      <c r="E299" s="2" t="s">
        <v>34</v>
      </c>
      <c r="F299" s="2" t="s">
        <v>28</v>
      </c>
      <c r="G299" s="2" t="s">
        <v>54</v>
      </c>
      <c r="H299" s="2" t="s">
        <v>55</v>
      </c>
      <c r="I299" s="2" t="s">
        <v>45</v>
      </c>
      <c r="J299" s="4">
        <v>4</v>
      </c>
      <c r="K299" s="5">
        <v>152.85</v>
      </c>
      <c r="L299" s="6">
        <v>0</v>
      </c>
      <c r="M299" s="5">
        <v>611.4</v>
      </c>
      <c r="P299" t="str">
        <f>TEXT(Tableau2[[#This Row],[Date]],"mmmm aaaa")</f>
        <v>octobre 2026</v>
      </c>
    </row>
    <row r="300" spans="1:16">
      <c r="A300" s="2" t="s">
        <v>386</v>
      </c>
      <c r="B300" s="3">
        <v>46215</v>
      </c>
      <c r="C300" s="2" t="s">
        <v>101</v>
      </c>
      <c r="D300" s="2" t="s">
        <v>33</v>
      </c>
      <c r="E300" s="2" t="s">
        <v>34</v>
      </c>
      <c r="F300" s="2" t="s">
        <v>17</v>
      </c>
      <c r="G300" s="2" t="s">
        <v>48</v>
      </c>
      <c r="H300" s="2" t="s">
        <v>88</v>
      </c>
      <c r="I300" s="2" t="s">
        <v>36</v>
      </c>
      <c r="J300" s="4">
        <v>9</v>
      </c>
      <c r="K300" s="5">
        <v>75.63</v>
      </c>
      <c r="L300" s="6">
        <v>0</v>
      </c>
      <c r="M300" s="5">
        <v>680.67</v>
      </c>
      <c r="P300" t="str">
        <f>TEXT(Tableau2[[#This Row],[Date]],"mmmm aaaa")</f>
        <v>juillet 2026</v>
      </c>
    </row>
    <row r="301" spans="1:16">
      <c r="A301" s="2" t="s">
        <v>387</v>
      </c>
      <c r="B301" s="3">
        <v>46094</v>
      </c>
      <c r="C301" s="2" t="s">
        <v>116</v>
      </c>
      <c r="D301" s="2" t="s">
        <v>15</v>
      </c>
      <c r="E301" s="2" t="s">
        <v>34</v>
      </c>
      <c r="F301" s="2" t="s">
        <v>17</v>
      </c>
      <c r="G301" s="2" t="s">
        <v>48</v>
      </c>
      <c r="H301" s="2" t="s">
        <v>84</v>
      </c>
      <c r="I301" s="2" t="s">
        <v>26</v>
      </c>
      <c r="J301" s="4">
        <v>8</v>
      </c>
      <c r="K301" s="5">
        <v>93.49</v>
      </c>
      <c r="L301" s="6">
        <v>0</v>
      </c>
      <c r="M301" s="5">
        <v>747.92</v>
      </c>
      <c r="P301" t="str">
        <f>TEXT(Tableau2[[#This Row],[Date]],"mmmm aaaa")</f>
        <v>mars 2026</v>
      </c>
    </row>
    <row r="302" spans="1:16">
      <c r="A302" s="2" t="s">
        <v>388</v>
      </c>
      <c r="B302" s="3">
        <v>46193</v>
      </c>
      <c r="C302" s="2" t="s">
        <v>63</v>
      </c>
      <c r="D302" s="2" t="s">
        <v>33</v>
      </c>
      <c r="E302" s="2" t="s">
        <v>16</v>
      </c>
      <c r="F302" s="2" t="s">
        <v>17</v>
      </c>
      <c r="G302" s="2" t="s">
        <v>48</v>
      </c>
      <c r="H302" s="2" t="s">
        <v>88</v>
      </c>
      <c r="I302" s="2" t="s">
        <v>26</v>
      </c>
      <c r="J302" s="4">
        <v>1</v>
      </c>
      <c r="K302" s="5">
        <v>78.760000000000005</v>
      </c>
      <c r="L302" s="6">
        <v>0.05</v>
      </c>
      <c r="M302" s="5">
        <v>74.819999999999993</v>
      </c>
      <c r="P302" t="str">
        <f>TEXT(Tableau2[[#This Row],[Date]],"mmmm aaaa")</f>
        <v>juin 2026</v>
      </c>
    </row>
    <row r="303" spans="1:16">
      <c r="A303" s="2" t="s">
        <v>389</v>
      </c>
      <c r="B303" s="3">
        <v>46248</v>
      </c>
      <c r="C303" s="2" t="s">
        <v>86</v>
      </c>
      <c r="D303" s="2" t="s">
        <v>53</v>
      </c>
      <c r="E303" s="2" t="s">
        <v>38</v>
      </c>
      <c r="F303" s="2" t="s">
        <v>28</v>
      </c>
      <c r="G303" s="2" t="s">
        <v>48</v>
      </c>
      <c r="H303" s="2" t="s">
        <v>49</v>
      </c>
      <c r="I303" s="2" t="s">
        <v>50</v>
      </c>
      <c r="J303" s="4">
        <v>8</v>
      </c>
      <c r="K303" s="5">
        <v>57.19</v>
      </c>
      <c r="L303" s="6">
        <v>0</v>
      </c>
      <c r="M303" s="5">
        <v>457.52</v>
      </c>
      <c r="P303" t="str">
        <f>TEXT(Tableau2[[#This Row],[Date]],"mmmm aaaa")</f>
        <v>août 2026</v>
      </c>
    </row>
    <row r="304" spans="1:16">
      <c r="A304" s="2" t="s">
        <v>390</v>
      </c>
      <c r="B304" s="3">
        <v>46098</v>
      </c>
      <c r="C304" s="2" t="s">
        <v>134</v>
      </c>
      <c r="D304" s="2" t="s">
        <v>15</v>
      </c>
      <c r="E304" s="2" t="s">
        <v>34</v>
      </c>
      <c r="F304" s="2" t="s">
        <v>17</v>
      </c>
      <c r="G304" s="2" t="s">
        <v>48</v>
      </c>
      <c r="H304" s="2" t="s">
        <v>88</v>
      </c>
      <c r="I304" s="2" t="s">
        <v>41</v>
      </c>
      <c r="J304" s="4">
        <v>5</v>
      </c>
      <c r="K304" s="5">
        <v>75.290000000000006</v>
      </c>
      <c r="L304" s="6">
        <v>0.1</v>
      </c>
      <c r="M304" s="5">
        <v>338.81</v>
      </c>
      <c r="P304" t="str">
        <f>TEXT(Tableau2[[#This Row],[Date]],"mmmm aaaa")</f>
        <v>mars 2026</v>
      </c>
    </row>
    <row r="305" spans="1:16">
      <c r="A305" s="2" t="s">
        <v>391</v>
      </c>
      <c r="B305" s="3">
        <v>46363</v>
      </c>
      <c r="C305" s="2" t="s">
        <v>14</v>
      </c>
      <c r="D305" s="2" t="s">
        <v>15</v>
      </c>
      <c r="E305" s="2" t="s">
        <v>16</v>
      </c>
      <c r="F305" s="2" t="s">
        <v>28</v>
      </c>
      <c r="G305" s="2" t="s">
        <v>24</v>
      </c>
      <c r="H305" s="2" t="s">
        <v>35</v>
      </c>
      <c r="I305" s="2" t="s">
        <v>45</v>
      </c>
      <c r="J305" s="4">
        <v>7</v>
      </c>
      <c r="K305" s="5">
        <v>177.05</v>
      </c>
      <c r="L305" s="6">
        <v>0</v>
      </c>
      <c r="M305" s="5">
        <v>1239.3499999999999</v>
      </c>
      <c r="P305" t="str">
        <f>TEXT(Tableau2[[#This Row],[Date]],"mmmm aaaa")</f>
        <v>décembre 2026</v>
      </c>
    </row>
    <row r="306" spans="1:16">
      <c r="A306" s="2" t="s">
        <v>392</v>
      </c>
      <c r="B306" s="3">
        <v>46119</v>
      </c>
      <c r="C306" s="2" t="s">
        <v>66</v>
      </c>
      <c r="D306" s="2" t="s">
        <v>23</v>
      </c>
      <c r="E306" s="2" t="s">
        <v>16</v>
      </c>
      <c r="F306" s="2" t="s">
        <v>28</v>
      </c>
      <c r="G306" s="2" t="s">
        <v>48</v>
      </c>
      <c r="H306" s="2" t="s">
        <v>49</v>
      </c>
      <c r="I306" s="2" t="s">
        <v>41</v>
      </c>
      <c r="J306" s="4">
        <v>4</v>
      </c>
      <c r="K306" s="5">
        <v>61.78</v>
      </c>
      <c r="L306" s="6">
        <v>0</v>
      </c>
      <c r="M306" s="5">
        <v>247.12</v>
      </c>
      <c r="P306" t="str">
        <f>TEXT(Tableau2[[#This Row],[Date]],"mmmm aaaa")</f>
        <v>avril 2026</v>
      </c>
    </row>
    <row r="307" spans="1:16">
      <c r="A307" s="2" t="s">
        <v>393</v>
      </c>
      <c r="B307" s="3">
        <v>46195</v>
      </c>
      <c r="C307" s="2" t="s">
        <v>52</v>
      </c>
      <c r="D307" s="2" t="s">
        <v>53</v>
      </c>
      <c r="E307" s="2" t="s">
        <v>34</v>
      </c>
      <c r="F307" s="2" t="s">
        <v>17</v>
      </c>
      <c r="G307" s="2" t="s">
        <v>48</v>
      </c>
      <c r="H307" s="2" t="s">
        <v>77</v>
      </c>
      <c r="I307" s="2" t="s">
        <v>58</v>
      </c>
      <c r="J307" s="4">
        <v>1</v>
      </c>
      <c r="K307" s="5">
        <v>86.43</v>
      </c>
      <c r="L307" s="6">
        <v>0</v>
      </c>
      <c r="M307" s="5">
        <v>86.43</v>
      </c>
      <c r="P307" t="str">
        <f>TEXT(Tableau2[[#This Row],[Date]],"mmmm aaaa")</f>
        <v>juin 2026</v>
      </c>
    </row>
    <row r="308" spans="1:16">
      <c r="A308" s="2" t="s">
        <v>394</v>
      </c>
      <c r="B308" s="3">
        <v>46230</v>
      </c>
      <c r="C308" s="2" t="s">
        <v>22</v>
      </c>
      <c r="D308" s="2" t="s">
        <v>23</v>
      </c>
      <c r="E308" s="2" t="s">
        <v>16</v>
      </c>
      <c r="F308" s="2" t="s">
        <v>28</v>
      </c>
      <c r="G308" s="2" t="s">
        <v>48</v>
      </c>
      <c r="H308" s="2" t="s">
        <v>88</v>
      </c>
      <c r="I308" s="2" t="s">
        <v>75</v>
      </c>
      <c r="J308" s="4">
        <v>5</v>
      </c>
      <c r="K308" s="5">
        <v>74.3</v>
      </c>
      <c r="L308" s="6">
        <v>0</v>
      </c>
      <c r="M308" s="5">
        <v>371.5</v>
      </c>
      <c r="P308" t="str">
        <f>TEXT(Tableau2[[#This Row],[Date]],"mmmm aaaa")</f>
        <v>juillet 2026</v>
      </c>
    </row>
    <row r="309" spans="1:16">
      <c r="A309" s="2" t="s">
        <v>395</v>
      </c>
      <c r="B309" s="3">
        <v>46378</v>
      </c>
      <c r="C309" s="2" t="s">
        <v>94</v>
      </c>
      <c r="D309" s="2" t="s">
        <v>15</v>
      </c>
      <c r="E309" s="2" t="s">
        <v>34</v>
      </c>
      <c r="F309" s="2" t="s">
        <v>17</v>
      </c>
      <c r="G309" s="2" t="s">
        <v>54</v>
      </c>
      <c r="H309" s="2" t="s">
        <v>55</v>
      </c>
      <c r="I309" s="2" t="s">
        <v>50</v>
      </c>
      <c r="J309" s="4">
        <v>2</v>
      </c>
      <c r="K309" s="5">
        <v>155</v>
      </c>
      <c r="L309" s="6">
        <v>0.05</v>
      </c>
      <c r="M309" s="5">
        <v>294.5</v>
      </c>
      <c r="P309" t="str">
        <f>TEXT(Tableau2[[#This Row],[Date]],"mmmm aaaa")</f>
        <v>décembre 2026</v>
      </c>
    </row>
    <row r="310" spans="1:16">
      <c r="A310" s="2" t="s">
        <v>396</v>
      </c>
      <c r="B310" s="3">
        <v>46287</v>
      </c>
      <c r="C310" s="2" t="s">
        <v>22</v>
      </c>
      <c r="D310" s="2" t="s">
        <v>23</v>
      </c>
      <c r="E310" s="2" t="s">
        <v>34</v>
      </c>
      <c r="F310" s="2" t="s">
        <v>17</v>
      </c>
      <c r="G310" s="2" t="s">
        <v>18</v>
      </c>
      <c r="H310" s="2" t="s">
        <v>158</v>
      </c>
      <c r="I310" s="2" t="s">
        <v>50</v>
      </c>
      <c r="J310" s="4">
        <v>3</v>
      </c>
      <c r="K310" s="5">
        <v>44.42</v>
      </c>
      <c r="L310" s="6">
        <v>0.1</v>
      </c>
      <c r="M310" s="5">
        <v>119.93</v>
      </c>
      <c r="P310" t="str">
        <f>TEXT(Tableau2[[#This Row],[Date]],"mmmm aaaa")</f>
        <v>septembre 2026</v>
      </c>
    </row>
    <row r="311" spans="1:16">
      <c r="A311" s="2" t="s">
        <v>397</v>
      </c>
      <c r="B311" s="3">
        <v>46319</v>
      </c>
      <c r="C311" s="2" t="s">
        <v>57</v>
      </c>
      <c r="D311" s="2" t="s">
        <v>15</v>
      </c>
      <c r="E311" s="2" t="s">
        <v>38</v>
      </c>
      <c r="F311" s="2" t="s">
        <v>28</v>
      </c>
      <c r="G311" s="2" t="s">
        <v>18</v>
      </c>
      <c r="H311" s="2" t="s">
        <v>158</v>
      </c>
      <c r="I311" s="2" t="s">
        <v>58</v>
      </c>
      <c r="J311" s="4">
        <v>5</v>
      </c>
      <c r="K311" s="5">
        <v>48.33</v>
      </c>
      <c r="L311" s="6">
        <v>0</v>
      </c>
      <c r="M311" s="5">
        <v>241.65</v>
      </c>
      <c r="P311" t="str">
        <f>TEXT(Tableau2[[#This Row],[Date]],"mmmm aaaa")</f>
        <v>octobre 2026</v>
      </c>
    </row>
    <row r="312" spans="1:16">
      <c r="A312" s="2" t="s">
        <v>398</v>
      </c>
      <c r="B312" s="3">
        <v>46109</v>
      </c>
      <c r="C312" s="2" t="s">
        <v>52</v>
      </c>
      <c r="D312" s="2" t="s">
        <v>53</v>
      </c>
      <c r="E312" s="2" t="s">
        <v>34</v>
      </c>
      <c r="F312" s="2" t="s">
        <v>17</v>
      </c>
      <c r="G312" s="2" t="s">
        <v>48</v>
      </c>
      <c r="H312" s="2" t="s">
        <v>49</v>
      </c>
      <c r="I312" s="2" t="s">
        <v>58</v>
      </c>
      <c r="J312" s="4">
        <v>6</v>
      </c>
      <c r="K312" s="5">
        <v>58.13</v>
      </c>
      <c r="L312" s="6">
        <v>0</v>
      </c>
      <c r="M312" s="5">
        <v>348.78</v>
      </c>
      <c r="P312" t="str">
        <f>TEXT(Tableau2[[#This Row],[Date]],"mmmm aaaa")</f>
        <v>mars 2026</v>
      </c>
    </row>
    <row r="313" spans="1:16">
      <c r="A313" s="2" t="s">
        <v>399</v>
      </c>
      <c r="B313" s="3">
        <v>46052</v>
      </c>
      <c r="C313" s="2" t="s">
        <v>134</v>
      </c>
      <c r="D313" s="2" t="s">
        <v>15</v>
      </c>
      <c r="E313" s="2" t="s">
        <v>34</v>
      </c>
      <c r="F313" s="2" t="s">
        <v>17</v>
      </c>
      <c r="G313" s="2" t="s">
        <v>29</v>
      </c>
      <c r="H313" s="2" t="s">
        <v>30</v>
      </c>
      <c r="I313" s="2" t="s">
        <v>45</v>
      </c>
      <c r="J313" s="4">
        <v>1</v>
      </c>
      <c r="K313" s="5">
        <v>24.53</v>
      </c>
      <c r="L313" s="6">
        <v>0</v>
      </c>
      <c r="M313" s="5">
        <v>24.53</v>
      </c>
      <c r="P313" t="str">
        <f>TEXT(Tableau2[[#This Row],[Date]],"mmmm aaaa")</f>
        <v>janvier 2026</v>
      </c>
    </row>
    <row r="314" spans="1:16">
      <c r="A314" s="2" t="s">
        <v>400</v>
      </c>
      <c r="B314" s="3">
        <v>46087</v>
      </c>
      <c r="C314" s="2" t="s">
        <v>160</v>
      </c>
      <c r="D314" s="2" t="s">
        <v>33</v>
      </c>
      <c r="E314" s="2" t="s">
        <v>34</v>
      </c>
      <c r="F314" s="2" t="s">
        <v>17</v>
      </c>
      <c r="G314" s="2" t="s">
        <v>18</v>
      </c>
      <c r="H314" s="2" t="s">
        <v>143</v>
      </c>
      <c r="I314" s="2" t="s">
        <v>26</v>
      </c>
      <c r="J314" s="4">
        <v>5</v>
      </c>
      <c r="K314" s="5">
        <v>67.02</v>
      </c>
      <c r="L314" s="6">
        <v>0</v>
      </c>
      <c r="M314" s="5">
        <v>335.1</v>
      </c>
      <c r="P314" t="str">
        <f>TEXT(Tableau2[[#This Row],[Date]],"mmmm aaaa")</f>
        <v>mars 2026</v>
      </c>
    </row>
    <row r="315" spans="1:16">
      <c r="A315" s="2" t="s">
        <v>401</v>
      </c>
      <c r="B315" s="3">
        <v>46088</v>
      </c>
      <c r="C315" s="2" t="s">
        <v>164</v>
      </c>
      <c r="D315" s="2" t="s">
        <v>53</v>
      </c>
      <c r="E315" s="2" t="s">
        <v>16</v>
      </c>
      <c r="F315" s="2" t="s">
        <v>17</v>
      </c>
      <c r="G315" s="2" t="s">
        <v>48</v>
      </c>
      <c r="H315" s="2" t="s">
        <v>88</v>
      </c>
      <c r="I315" s="2" t="s">
        <v>50</v>
      </c>
      <c r="J315" s="4">
        <v>8</v>
      </c>
      <c r="K315" s="5">
        <v>72.19</v>
      </c>
      <c r="L315" s="6">
        <v>0</v>
      </c>
      <c r="M315" s="5">
        <v>577.52</v>
      </c>
      <c r="P315" t="str">
        <f>TEXT(Tableau2[[#This Row],[Date]],"mmmm aaaa")</f>
        <v>mars 2026</v>
      </c>
    </row>
    <row r="316" spans="1:16">
      <c r="A316" s="2" t="s">
        <v>402</v>
      </c>
      <c r="B316" s="3">
        <v>46362</v>
      </c>
      <c r="C316" s="2" t="s">
        <v>130</v>
      </c>
      <c r="D316" s="2" t="s">
        <v>53</v>
      </c>
      <c r="E316" s="2" t="s">
        <v>16</v>
      </c>
      <c r="F316" s="2" t="s">
        <v>28</v>
      </c>
      <c r="G316" s="2" t="s">
        <v>39</v>
      </c>
      <c r="H316" s="2" t="s">
        <v>95</v>
      </c>
      <c r="I316" s="2" t="s">
        <v>45</v>
      </c>
      <c r="J316" s="4">
        <v>5</v>
      </c>
      <c r="K316" s="5">
        <v>99.85</v>
      </c>
      <c r="L316" s="6">
        <v>0</v>
      </c>
      <c r="M316" s="5">
        <v>499.25</v>
      </c>
      <c r="P316" t="str">
        <f>TEXT(Tableau2[[#This Row],[Date]],"mmmm aaaa")</f>
        <v>décembre 2026</v>
      </c>
    </row>
    <row r="317" spans="1:16">
      <c r="A317" s="2" t="s">
        <v>403</v>
      </c>
      <c r="B317" s="3">
        <v>46207</v>
      </c>
      <c r="C317" s="2" t="s">
        <v>63</v>
      </c>
      <c r="D317" s="2" t="s">
        <v>33</v>
      </c>
      <c r="E317" s="2" t="s">
        <v>16</v>
      </c>
      <c r="F317" s="2" t="s">
        <v>28</v>
      </c>
      <c r="G317" s="2" t="s">
        <v>54</v>
      </c>
      <c r="H317" s="2" t="s">
        <v>64</v>
      </c>
      <c r="I317" s="2" t="s">
        <v>36</v>
      </c>
      <c r="J317" s="4">
        <v>7</v>
      </c>
      <c r="K317" s="5">
        <v>88.21</v>
      </c>
      <c r="L317" s="6">
        <v>0.05</v>
      </c>
      <c r="M317" s="5">
        <v>586.6</v>
      </c>
      <c r="P317" t="str">
        <f>TEXT(Tableau2[[#This Row],[Date]],"mmmm aaaa")</f>
        <v>juillet 2026</v>
      </c>
    </row>
    <row r="318" spans="1:16">
      <c r="A318" s="2" t="s">
        <v>404</v>
      </c>
      <c r="B318" s="3">
        <v>46047</v>
      </c>
      <c r="C318" s="2" t="s">
        <v>178</v>
      </c>
      <c r="D318" s="2" t="s">
        <v>15</v>
      </c>
      <c r="E318" s="2" t="s">
        <v>43</v>
      </c>
      <c r="F318" s="2" t="s">
        <v>17</v>
      </c>
      <c r="G318" s="2" t="s">
        <v>24</v>
      </c>
      <c r="H318" s="2" t="s">
        <v>61</v>
      </c>
      <c r="I318" s="2" t="s">
        <v>36</v>
      </c>
      <c r="J318" s="4">
        <v>6</v>
      </c>
      <c r="K318" s="5">
        <v>254.34</v>
      </c>
      <c r="L318" s="6">
        <v>0.2</v>
      </c>
      <c r="M318" s="5">
        <v>1220.83</v>
      </c>
      <c r="P318" t="str">
        <f>TEXT(Tableau2[[#This Row],[Date]],"mmmm aaaa")</f>
        <v>janvier 2026</v>
      </c>
    </row>
    <row r="319" spans="1:16">
      <c r="A319" s="2" t="s">
        <v>405</v>
      </c>
      <c r="B319" s="3">
        <v>46331</v>
      </c>
      <c r="C319" s="2" t="s">
        <v>130</v>
      </c>
      <c r="D319" s="2" t="s">
        <v>53</v>
      </c>
      <c r="E319" s="2" t="s">
        <v>16</v>
      </c>
      <c r="F319" s="2" t="s">
        <v>17</v>
      </c>
      <c r="G319" s="2" t="s">
        <v>39</v>
      </c>
      <c r="H319" s="2" t="s">
        <v>71</v>
      </c>
      <c r="I319" s="2" t="s">
        <v>26</v>
      </c>
      <c r="J319" s="4">
        <v>1</v>
      </c>
      <c r="K319" s="5">
        <v>120.06</v>
      </c>
      <c r="L319" s="6">
        <v>0</v>
      </c>
      <c r="M319" s="5">
        <v>120.06</v>
      </c>
      <c r="P319" t="str">
        <f>TEXT(Tableau2[[#This Row],[Date]],"mmmm aaaa")</f>
        <v>novembre 2026</v>
      </c>
    </row>
    <row r="320" spans="1:16">
      <c r="A320" s="2" t="s">
        <v>406</v>
      </c>
      <c r="B320" s="3">
        <v>46133</v>
      </c>
      <c r="C320" s="2" t="s">
        <v>22</v>
      </c>
      <c r="D320" s="2" t="s">
        <v>23</v>
      </c>
      <c r="E320" s="2" t="s">
        <v>16</v>
      </c>
      <c r="F320" s="2" t="s">
        <v>17</v>
      </c>
      <c r="G320" s="2" t="s">
        <v>24</v>
      </c>
      <c r="H320" s="2" t="s">
        <v>25</v>
      </c>
      <c r="I320" s="2" t="s">
        <v>41</v>
      </c>
      <c r="J320" s="4">
        <v>5</v>
      </c>
      <c r="K320" s="5">
        <v>124.77</v>
      </c>
      <c r="L320" s="6">
        <v>0</v>
      </c>
      <c r="M320" s="5">
        <v>623.85</v>
      </c>
      <c r="P320" t="str">
        <f>TEXT(Tableau2[[#This Row],[Date]],"mmmm aaaa")</f>
        <v>avril 2026</v>
      </c>
    </row>
    <row r="321" spans="1:16">
      <c r="A321" s="2" t="s">
        <v>407</v>
      </c>
      <c r="B321" s="3">
        <v>46186</v>
      </c>
      <c r="C321" s="2" t="s">
        <v>47</v>
      </c>
      <c r="D321" s="2" t="s">
        <v>15</v>
      </c>
      <c r="E321" s="2" t="s">
        <v>34</v>
      </c>
      <c r="F321" s="2" t="s">
        <v>17</v>
      </c>
      <c r="G321" s="2" t="s">
        <v>18</v>
      </c>
      <c r="H321" s="2" t="s">
        <v>19</v>
      </c>
      <c r="I321" s="2" t="s">
        <v>36</v>
      </c>
      <c r="J321" s="4">
        <v>1</v>
      </c>
      <c r="K321" s="5">
        <v>58.12</v>
      </c>
      <c r="L321" s="6">
        <v>0.1</v>
      </c>
      <c r="M321" s="5">
        <v>52.31</v>
      </c>
      <c r="P321" t="str">
        <f>TEXT(Tableau2[[#This Row],[Date]],"mmmm aaaa")</f>
        <v>juin 2026</v>
      </c>
    </row>
    <row r="322" spans="1:16">
      <c r="A322" s="2" t="s">
        <v>408</v>
      </c>
      <c r="B322" s="3">
        <v>46315</v>
      </c>
      <c r="C322" s="2" t="s">
        <v>63</v>
      </c>
      <c r="D322" s="2" t="s">
        <v>33</v>
      </c>
      <c r="E322" s="2" t="s">
        <v>34</v>
      </c>
      <c r="F322" s="2" t="s">
        <v>28</v>
      </c>
      <c r="G322" s="2" t="s">
        <v>39</v>
      </c>
      <c r="H322" s="2" t="s">
        <v>95</v>
      </c>
      <c r="I322" s="2" t="s">
        <v>36</v>
      </c>
      <c r="J322" s="4">
        <v>3</v>
      </c>
      <c r="K322" s="5">
        <v>92.09</v>
      </c>
      <c r="L322" s="6">
        <v>0</v>
      </c>
      <c r="M322" s="5">
        <v>276.27</v>
      </c>
      <c r="P322" t="str">
        <f>TEXT(Tableau2[[#This Row],[Date]],"mmmm aaaa")</f>
        <v>octobre 2026</v>
      </c>
    </row>
    <row r="323" spans="1:16">
      <c r="A323" s="2" t="s">
        <v>409</v>
      </c>
      <c r="B323" s="3">
        <v>46325</v>
      </c>
      <c r="C323" s="2" t="s">
        <v>171</v>
      </c>
      <c r="D323" s="2" t="s">
        <v>33</v>
      </c>
      <c r="E323" s="2" t="s">
        <v>16</v>
      </c>
      <c r="F323" s="2" t="s">
        <v>17</v>
      </c>
      <c r="G323" s="2" t="s">
        <v>54</v>
      </c>
      <c r="H323" s="2" t="s">
        <v>55</v>
      </c>
      <c r="I323" s="2" t="s">
        <v>75</v>
      </c>
      <c r="J323" s="4">
        <v>3</v>
      </c>
      <c r="K323" s="5">
        <v>155.21</v>
      </c>
      <c r="L323" s="6">
        <v>0</v>
      </c>
      <c r="M323" s="5">
        <v>465.63</v>
      </c>
      <c r="P323" t="str">
        <f>TEXT(Tableau2[[#This Row],[Date]],"mmmm aaaa")</f>
        <v>octobre 2026</v>
      </c>
    </row>
    <row r="324" spans="1:16">
      <c r="A324" s="2" t="s">
        <v>410</v>
      </c>
      <c r="B324" s="3">
        <v>46125</v>
      </c>
      <c r="C324" s="2" t="s">
        <v>90</v>
      </c>
      <c r="D324" s="2" t="s">
        <v>53</v>
      </c>
      <c r="E324" s="2" t="s">
        <v>43</v>
      </c>
      <c r="F324" s="2" t="s">
        <v>28</v>
      </c>
      <c r="G324" s="2" t="s">
        <v>18</v>
      </c>
      <c r="H324" s="2" t="s">
        <v>136</v>
      </c>
      <c r="I324" s="2" t="s">
        <v>36</v>
      </c>
      <c r="J324" s="4">
        <v>3</v>
      </c>
      <c r="K324" s="5">
        <v>31.34</v>
      </c>
      <c r="L324" s="6">
        <v>0</v>
      </c>
      <c r="M324" s="5">
        <v>94.02</v>
      </c>
      <c r="P324" t="str">
        <f>TEXT(Tableau2[[#This Row],[Date]],"mmmm aaaa")</f>
        <v>avril 2026</v>
      </c>
    </row>
    <row r="325" spans="1:16">
      <c r="A325" s="2" t="s">
        <v>411</v>
      </c>
      <c r="B325" s="3">
        <v>46157</v>
      </c>
      <c r="C325" s="2" t="s">
        <v>57</v>
      </c>
      <c r="D325" s="2" t="s">
        <v>15</v>
      </c>
      <c r="E325" s="2" t="s">
        <v>34</v>
      </c>
      <c r="F325" s="2" t="s">
        <v>17</v>
      </c>
      <c r="G325" s="2" t="s">
        <v>48</v>
      </c>
      <c r="H325" s="2" t="s">
        <v>77</v>
      </c>
      <c r="I325" s="2" t="s">
        <v>20</v>
      </c>
      <c r="J325" s="4">
        <v>1</v>
      </c>
      <c r="K325" s="5">
        <v>89.17</v>
      </c>
      <c r="L325" s="6">
        <v>0</v>
      </c>
      <c r="M325" s="5">
        <v>89.17</v>
      </c>
      <c r="P325" t="str">
        <f>TEXT(Tableau2[[#This Row],[Date]],"mmmm aaaa")</f>
        <v>mai 2026</v>
      </c>
    </row>
    <row r="326" spans="1:16">
      <c r="A326" s="2" t="s">
        <v>412</v>
      </c>
      <c r="B326" s="3">
        <v>46133</v>
      </c>
      <c r="C326" s="2" t="s">
        <v>156</v>
      </c>
      <c r="D326" s="2" t="s">
        <v>15</v>
      </c>
      <c r="E326" s="2" t="s">
        <v>34</v>
      </c>
      <c r="F326" s="2" t="s">
        <v>17</v>
      </c>
      <c r="G326" s="2" t="s">
        <v>48</v>
      </c>
      <c r="H326" s="2" t="s">
        <v>77</v>
      </c>
      <c r="I326" s="2" t="s">
        <v>75</v>
      </c>
      <c r="J326" s="4">
        <v>5</v>
      </c>
      <c r="K326" s="5">
        <v>79.709999999999994</v>
      </c>
      <c r="L326" s="6">
        <v>0</v>
      </c>
      <c r="M326" s="5">
        <v>398.55</v>
      </c>
      <c r="P326" t="str">
        <f>TEXT(Tableau2[[#This Row],[Date]],"mmmm aaaa")</f>
        <v>avril 2026</v>
      </c>
    </row>
    <row r="327" spans="1:16">
      <c r="A327" s="2" t="s">
        <v>413</v>
      </c>
      <c r="B327" s="3">
        <v>46250</v>
      </c>
      <c r="C327" s="2" t="s">
        <v>32</v>
      </c>
      <c r="D327" s="2" t="s">
        <v>33</v>
      </c>
      <c r="E327" s="2" t="s">
        <v>16</v>
      </c>
      <c r="F327" s="2" t="s">
        <v>28</v>
      </c>
      <c r="G327" s="2" t="s">
        <v>29</v>
      </c>
      <c r="H327" s="2" t="s">
        <v>30</v>
      </c>
      <c r="I327" s="2" t="s">
        <v>58</v>
      </c>
      <c r="J327" s="4">
        <v>4</v>
      </c>
      <c r="K327" s="5">
        <v>24.17</v>
      </c>
      <c r="L327" s="6">
        <v>0</v>
      </c>
      <c r="M327" s="5">
        <v>96.68</v>
      </c>
      <c r="P327" t="str">
        <f>TEXT(Tableau2[[#This Row],[Date]],"mmmm aaaa")</f>
        <v>août 2026</v>
      </c>
    </row>
    <row r="328" spans="1:16">
      <c r="A328" s="2" t="s">
        <v>414</v>
      </c>
      <c r="B328" s="3">
        <v>46157</v>
      </c>
      <c r="C328" s="2" t="s">
        <v>92</v>
      </c>
      <c r="D328" s="2" t="s">
        <v>53</v>
      </c>
      <c r="E328" s="2" t="s">
        <v>16</v>
      </c>
      <c r="F328" s="2" t="s">
        <v>17</v>
      </c>
      <c r="G328" s="2" t="s">
        <v>39</v>
      </c>
      <c r="H328" s="2" t="s">
        <v>95</v>
      </c>
      <c r="I328" s="2" t="s">
        <v>26</v>
      </c>
      <c r="J328" s="4">
        <v>5</v>
      </c>
      <c r="K328" s="5">
        <v>92.92</v>
      </c>
      <c r="L328" s="6">
        <v>0</v>
      </c>
      <c r="M328" s="5">
        <v>464.6</v>
      </c>
      <c r="P328" t="str">
        <f>TEXT(Tableau2[[#This Row],[Date]],"mmmm aaaa")</f>
        <v>mai 2026</v>
      </c>
    </row>
    <row r="329" spans="1:16">
      <c r="A329" s="2" t="s">
        <v>415</v>
      </c>
      <c r="B329" s="3">
        <v>46357</v>
      </c>
      <c r="C329" s="2" t="s">
        <v>106</v>
      </c>
      <c r="D329" s="2" t="s">
        <v>23</v>
      </c>
      <c r="E329" s="2" t="s">
        <v>43</v>
      </c>
      <c r="F329" s="2" t="s">
        <v>17</v>
      </c>
      <c r="G329" s="2" t="s">
        <v>18</v>
      </c>
      <c r="H329" s="2" t="s">
        <v>158</v>
      </c>
      <c r="I329" s="2" t="s">
        <v>45</v>
      </c>
      <c r="J329" s="4">
        <v>13</v>
      </c>
      <c r="K329" s="5">
        <v>45.11</v>
      </c>
      <c r="L329" s="6">
        <v>0.1</v>
      </c>
      <c r="M329" s="5">
        <v>527.79</v>
      </c>
      <c r="P329" t="str">
        <f>TEXT(Tableau2[[#This Row],[Date]],"mmmm aaaa")</f>
        <v>décembre 2026</v>
      </c>
    </row>
    <row r="330" spans="1:16">
      <c r="A330" s="2" t="s">
        <v>416</v>
      </c>
      <c r="B330" s="3">
        <v>46099</v>
      </c>
      <c r="C330" s="2" t="s">
        <v>151</v>
      </c>
      <c r="D330" s="2" t="s">
        <v>15</v>
      </c>
      <c r="E330" s="2" t="s">
        <v>43</v>
      </c>
      <c r="F330" s="2" t="s">
        <v>28</v>
      </c>
      <c r="G330" s="2" t="s">
        <v>54</v>
      </c>
      <c r="H330" s="2" t="s">
        <v>102</v>
      </c>
      <c r="I330" s="2" t="s">
        <v>50</v>
      </c>
      <c r="J330" s="4">
        <v>4</v>
      </c>
      <c r="K330" s="5">
        <v>230.34</v>
      </c>
      <c r="L330" s="6">
        <v>0.15</v>
      </c>
      <c r="M330" s="5">
        <v>783.16</v>
      </c>
      <c r="P330" t="str">
        <f>TEXT(Tableau2[[#This Row],[Date]],"mmmm aaaa")</f>
        <v>mars 2026</v>
      </c>
    </row>
    <row r="331" spans="1:16">
      <c r="A331" s="2" t="s">
        <v>417</v>
      </c>
      <c r="B331" s="3">
        <v>46129</v>
      </c>
      <c r="C331" s="2" t="s">
        <v>14</v>
      </c>
      <c r="D331" s="2" t="s">
        <v>15</v>
      </c>
      <c r="E331" s="2" t="s">
        <v>16</v>
      </c>
      <c r="F331" s="2" t="s">
        <v>28</v>
      </c>
      <c r="G331" s="2" t="s">
        <v>54</v>
      </c>
      <c r="H331" s="2" t="s">
        <v>102</v>
      </c>
      <c r="I331" s="2" t="s">
        <v>20</v>
      </c>
      <c r="J331" s="4">
        <v>16</v>
      </c>
      <c r="K331" s="5">
        <v>230.46</v>
      </c>
      <c r="L331" s="6">
        <v>0</v>
      </c>
      <c r="M331" s="5">
        <v>3687.36</v>
      </c>
      <c r="P331" t="str">
        <f>TEXT(Tableau2[[#This Row],[Date]],"mmmm aaaa")</f>
        <v>avril 2026</v>
      </c>
    </row>
    <row r="332" spans="1:16">
      <c r="A332" s="2" t="s">
        <v>418</v>
      </c>
      <c r="B332" s="3">
        <v>46199</v>
      </c>
      <c r="C332" s="2" t="s">
        <v>32</v>
      </c>
      <c r="D332" s="2" t="s">
        <v>33</v>
      </c>
      <c r="E332" s="2" t="s">
        <v>16</v>
      </c>
      <c r="F332" s="2" t="s">
        <v>17</v>
      </c>
      <c r="G332" s="2" t="s">
        <v>29</v>
      </c>
      <c r="H332" s="2" t="s">
        <v>30</v>
      </c>
      <c r="I332" s="2" t="s">
        <v>26</v>
      </c>
      <c r="J332" s="4">
        <v>5</v>
      </c>
      <c r="K332" s="5">
        <v>24.52</v>
      </c>
      <c r="L332" s="6">
        <v>0.05</v>
      </c>
      <c r="M332" s="5">
        <v>116.47</v>
      </c>
      <c r="P332" t="str">
        <f>TEXT(Tableau2[[#This Row],[Date]],"mmmm aaaa")</f>
        <v>juin 2026</v>
      </c>
    </row>
    <row r="333" spans="1:16">
      <c r="A333" s="2" t="s">
        <v>419</v>
      </c>
      <c r="B333" s="3">
        <v>46278</v>
      </c>
      <c r="C333" s="2" t="s">
        <v>164</v>
      </c>
      <c r="D333" s="2" t="s">
        <v>53</v>
      </c>
      <c r="E333" s="2" t="s">
        <v>16</v>
      </c>
      <c r="F333" s="2" t="s">
        <v>28</v>
      </c>
      <c r="G333" s="2" t="s">
        <v>18</v>
      </c>
      <c r="H333" s="2" t="s">
        <v>19</v>
      </c>
      <c r="I333" s="2" t="s">
        <v>41</v>
      </c>
      <c r="J333" s="4">
        <v>1</v>
      </c>
      <c r="K333" s="5">
        <v>51.1</v>
      </c>
      <c r="L333" s="6">
        <v>0.15</v>
      </c>
      <c r="M333" s="5">
        <v>43.44</v>
      </c>
      <c r="P333" t="str">
        <f>TEXT(Tableau2[[#This Row],[Date]],"mmmm aaaa")</f>
        <v>septembre 2026</v>
      </c>
    </row>
    <row r="334" spans="1:16">
      <c r="A334" s="2" t="s">
        <v>420</v>
      </c>
      <c r="B334" s="3">
        <v>46381</v>
      </c>
      <c r="C334" s="2" t="s">
        <v>57</v>
      </c>
      <c r="D334" s="2" t="s">
        <v>15</v>
      </c>
      <c r="E334" s="2" t="s">
        <v>43</v>
      </c>
      <c r="F334" s="2" t="s">
        <v>17</v>
      </c>
      <c r="G334" s="2" t="s">
        <v>18</v>
      </c>
      <c r="H334" s="2" t="s">
        <v>19</v>
      </c>
      <c r="I334" s="2" t="s">
        <v>20</v>
      </c>
      <c r="J334" s="4">
        <v>6</v>
      </c>
      <c r="K334" s="5">
        <v>58.07</v>
      </c>
      <c r="L334" s="6">
        <v>0.05</v>
      </c>
      <c r="M334" s="5">
        <v>331</v>
      </c>
      <c r="P334" t="str">
        <f>TEXT(Tableau2[[#This Row],[Date]],"mmmm aaaa")</f>
        <v>décembre 2026</v>
      </c>
    </row>
    <row r="335" spans="1:16">
      <c r="A335" s="2" t="s">
        <v>421</v>
      </c>
      <c r="B335" s="3">
        <v>46350</v>
      </c>
      <c r="C335" s="2" t="s">
        <v>57</v>
      </c>
      <c r="D335" s="2" t="s">
        <v>15</v>
      </c>
      <c r="E335" s="2" t="s">
        <v>34</v>
      </c>
      <c r="F335" s="2" t="s">
        <v>28</v>
      </c>
      <c r="G335" s="2" t="s">
        <v>39</v>
      </c>
      <c r="H335" s="2" t="s">
        <v>71</v>
      </c>
      <c r="I335" s="2" t="s">
        <v>45</v>
      </c>
      <c r="J335" s="4">
        <v>2</v>
      </c>
      <c r="K335" s="5">
        <v>108.95</v>
      </c>
      <c r="L335" s="6">
        <v>0.1</v>
      </c>
      <c r="M335" s="5">
        <v>196.11</v>
      </c>
      <c r="P335" t="str">
        <f>TEXT(Tableau2[[#This Row],[Date]],"mmmm aaaa")</f>
        <v>novembre 2026</v>
      </c>
    </row>
    <row r="336" spans="1:16">
      <c r="A336" s="2" t="s">
        <v>422</v>
      </c>
      <c r="B336" s="3">
        <v>46185</v>
      </c>
      <c r="C336" s="2" t="s">
        <v>57</v>
      </c>
      <c r="D336" s="2" t="s">
        <v>15</v>
      </c>
      <c r="E336" s="2" t="s">
        <v>34</v>
      </c>
      <c r="F336" s="2" t="s">
        <v>17</v>
      </c>
      <c r="G336" s="2" t="s">
        <v>54</v>
      </c>
      <c r="H336" s="2" t="s">
        <v>102</v>
      </c>
      <c r="I336" s="2" t="s">
        <v>45</v>
      </c>
      <c r="J336" s="4">
        <v>1</v>
      </c>
      <c r="K336" s="5">
        <v>217.13</v>
      </c>
      <c r="L336" s="6">
        <v>0</v>
      </c>
      <c r="M336" s="5">
        <v>217.13</v>
      </c>
      <c r="P336" t="str">
        <f>TEXT(Tableau2[[#This Row],[Date]],"mmmm aaaa")</f>
        <v>juin 2026</v>
      </c>
    </row>
    <row r="337" spans="1:16">
      <c r="A337" s="2" t="s">
        <v>423</v>
      </c>
      <c r="B337" s="3">
        <v>46360</v>
      </c>
      <c r="C337" s="2" t="s">
        <v>130</v>
      </c>
      <c r="D337" s="2" t="s">
        <v>53</v>
      </c>
      <c r="E337" s="2" t="s">
        <v>16</v>
      </c>
      <c r="F337" s="2" t="s">
        <v>17</v>
      </c>
      <c r="G337" s="2" t="s">
        <v>24</v>
      </c>
      <c r="H337" s="2" t="s">
        <v>61</v>
      </c>
      <c r="I337" s="2" t="s">
        <v>75</v>
      </c>
      <c r="J337" s="4">
        <v>5</v>
      </c>
      <c r="K337" s="5">
        <v>228.09</v>
      </c>
      <c r="L337" s="6">
        <v>0.15</v>
      </c>
      <c r="M337" s="5">
        <v>969.38</v>
      </c>
      <c r="P337" t="str">
        <f>TEXT(Tableau2[[#This Row],[Date]],"mmmm aaaa")</f>
        <v>décembre 2026</v>
      </c>
    </row>
    <row r="338" spans="1:16">
      <c r="A338" s="2" t="s">
        <v>424</v>
      </c>
      <c r="B338" s="3">
        <v>46319</v>
      </c>
      <c r="C338" s="2" t="s">
        <v>160</v>
      </c>
      <c r="D338" s="2" t="s">
        <v>33</v>
      </c>
      <c r="E338" s="2" t="s">
        <v>43</v>
      </c>
      <c r="F338" s="2" t="s">
        <v>17</v>
      </c>
      <c r="G338" s="2" t="s">
        <v>29</v>
      </c>
      <c r="H338" s="2" t="s">
        <v>99</v>
      </c>
      <c r="I338" s="2" t="s">
        <v>50</v>
      </c>
      <c r="J338" s="4">
        <v>2</v>
      </c>
      <c r="K338" s="5">
        <v>66.56</v>
      </c>
      <c r="L338" s="6">
        <v>0.1</v>
      </c>
      <c r="M338" s="5">
        <v>119.81</v>
      </c>
      <c r="P338" t="str">
        <f>TEXT(Tableau2[[#This Row],[Date]],"mmmm aaaa")</f>
        <v>octobre 2026</v>
      </c>
    </row>
    <row r="339" spans="1:16">
      <c r="A339" s="2" t="s">
        <v>425</v>
      </c>
      <c r="B339" s="3">
        <v>46161</v>
      </c>
      <c r="C339" s="2" t="s">
        <v>156</v>
      </c>
      <c r="D339" s="2" t="s">
        <v>15</v>
      </c>
      <c r="E339" s="2" t="s">
        <v>34</v>
      </c>
      <c r="F339" s="2" t="s">
        <v>28</v>
      </c>
      <c r="G339" s="2" t="s">
        <v>24</v>
      </c>
      <c r="H339" s="2" t="s">
        <v>82</v>
      </c>
      <c r="I339" s="2" t="s">
        <v>36</v>
      </c>
      <c r="J339" s="4">
        <v>2</v>
      </c>
      <c r="K339" s="5">
        <v>316.82</v>
      </c>
      <c r="L339" s="6">
        <v>0</v>
      </c>
      <c r="M339" s="5">
        <v>633.64</v>
      </c>
      <c r="P339" t="str">
        <f>TEXT(Tableau2[[#This Row],[Date]],"mmmm aaaa")</f>
        <v>mai 2026</v>
      </c>
    </row>
    <row r="340" spans="1:16">
      <c r="A340" s="2" t="s">
        <v>426</v>
      </c>
      <c r="B340" s="3">
        <v>46175</v>
      </c>
      <c r="C340" s="2" t="s">
        <v>52</v>
      </c>
      <c r="D340" s="2" t="s">
        <v>53</v>
      </c>
      <c r="E340" s="2" t="s">
        <v>16</v>
      </c>
      <c r="F340" s="2" t="s">
        <v>17</v>
      </c>
      <c r="G340" s="2" t="s">
        <v>48</v>
      </c>
      <c r="H340" s="2" t="s">
        <v>77</v>
      </c>
      <c r="I340" s="2" t="s">
        <v>75</v>
      </c>
      <c r="J340" s="4">
        <v>5</v>
      </c>
      <c r="K340" s="5">
        <v>85.91</v>
      </c>
      <c r="L340" s="6">
        <v>0</v>
      </c>
      <c r="M340" s="5">
        <v>429.55</v>
      </c>
      <c r="P340" t="str">
        <f>TEXT(Tableau2[[#This Row],[Date]],"mmmm aaaa")</f>
        <v>juin 2026</v>
      </c>
    </row>
    <row r="341" spans="1:16">
      <c r="A341" s="2" t="s">
        <v>427</v>
      </c>
      <c r="B341" s="3">
        <v>46038</v>
      </c>
      <c r="C341" s="2" t="s">
        <v>57</v>
      </c>
      <c r="D341" s="2" t="s">
        <v>15</v>
      </c>
      <c r="E341" s="2" t="s">
        <v>43</v>
      </c>
      <c r="F341" s="2" t="s">
        <v>17</v>
      </c>
      <c r="G341" s="2" t="s">
        <v>48</v>
      </c>
      <c r="H341" s="2" t="s">
        <v>77</v>
      </c>
      <c r="I341" s="2" t="s">
        <v>41</v>
      </c>
      <c r="J341" s="4">
        <v>2</v>
      </c>
      <c r="K341" s="5">
        <v>90.63</v>
      </c>
      <c r="L341" s="6">
        <v>0</v>
      </c>
      <c r="M341" s="5">
        <v>181.26</v>
      </c>
      <c r="P341" t="str">
        <f>TEXT(Tableau2[[#This Row],[Date]],"mmmm aaaa")</f>
        <v>janvier 2026</v>
      </c>
    </row>
    <row r="342" spans="1:16">
      <c r="A342" s="2" t="s">
        <v>428</v>
      </c>
      <c r="B342" s="3">
        <v>46130</v>
      </c>
      <c r="C342" s="2" t="s">
        <v>123</v>
      </c>
      <c r="D342" s="2" t="s">
        <v>53</v>
      </c>
      <c r="E342" s="2" t="s">
        <v>34</v>
      </c>
      <c r="F342" s="2" t="s">
        <v>28</v>
      </c>
      <c r="G342" s="2" t="s">
        <v>39</v>
      </c>
      <c r="H342" s="2" t="s">
        <v>71</v>
      </c>
      <c r="I342" s="2" t="s">
        <v>58</v>
      </c>
      <c r="J342" s="4">
        <v>2</v>
      </c>
      <c r="K342" s="5">
        <v>112.89</v>
      </c>
      <c r="L342" s="6">
        <v>0.1</v>
      </c>
      <c r="M342" s="5">
        <v>203.2</v>
      </c>
      <c r="P342" t="str">
        <f>TEXT(Tableau2[[#This Row],[Date]],"mmmm aaaa")</f>
        <v>avril 2026</v>
      </c>
    </row>
    <row r="343" spans="1:16">
      <c r="A343" s="2" t="s">
        <v>429</v>
      </c>
      <c r="B343" s="3">
        <v>46366</v>
      </c>
      <c r="C343" s="2" t="s">
        <v>14</v>
      </c>
      <c r="D343" s="2" t="s">
        <v>15</v>
      </c>
      <c r="E343" s="2" t="s">
        <v>38</v>
      </c>
      <c r="F343" s="2" t="s">
        <v>17</v>
      </c>
      <c r="G343" s="2" t="s">
        <v>48</v>
      </c>
      <c r="H343" s="2" t="s">
        <v>77</v>
      </c>
      <c r="I343" s="2" t="s">
        <v>58</v>
      </c>
      <c r="J343" s="4">
        <v>2</v>
      </c>
      <c r="K343" s="5">
        <v>84.14</v>
      </c>
      <c r="L343" s="6">
        <v>0.05</v>
      </c>
      <c r="M343" s="5">
        <v>159.87</v>
      </c>
      <c r="P343" t="str">
        <f>TEXT(Tableau2[[#This Row],[Date]],"mmmm aaaa")</f>
        <v>décembre 2026</v>
      </c>
    </row>
    <row r="344" spans="1:16">
      <c r="A344" s="2" t="s">
        <v>430</v>
      </c>
      <c r="B344" s="3">
        <v>46281</v>
      </c>
      <c r="C344" s="2" t="s">
        <v>47</v>
      </c>
      <c r="D344" s="2" t="s">
        <v>15</v>
      </c>
      <c r="E344" s="2" t="s">
        <v>43</v>
      </c>
      <c r="F344" s="2" t="s">
        <v>17</v>
      </c>
      <c r="G344" s="2" t="s">
        <v>54</v>
      </c>
      <c r="H344" s="2" t="s">
        <v>55</v>
      </c>
      <c r="I344" s="2" t="s">
        <v>26</v>
      </c>
      <c r="J344" s="4">
        <v>11</v>
      </c>
      <c r="K344" s="5">
        <v>170.44</v>
      </c>
      <c r="L344" s="6">
        <v>0</v>
      </c>
      <c r="M344" s="5">
        <v>1874.84</v>
      </c>
      <c r="P344" t="str">
        <f>TEXT(Tableau2[[#This Row],[Date]],"mmmm aaaa")</f>
        <v>septembre 2026</v>
      </c>
    </row>
    <row r="345" spans="1:16">
      <c r="A345" s="2" t="s">
        <v>431</v>
      </c>
      <c r="B345" s="3">
        <v>46153</v>
      </c>
      <c r="C345" s="2" t="s">
        <v>90</v>
      </c>
      <c r="D345" s="2" t="s">
        <v>53</v>
      </c>
      <c r="E345" s="2" t="s">
        <v>38</v>
      </c>
      <c r="F345" s="2" t="s">
        <v>17</v>
      </c>
      <c r="G345" s="2" t="s">
        <v>39</v>
      </c>
      <c r="H345" s="2" t="s">
        <v>95</v>
      </c>
      <c r="I345" s="2" t="s">
        <v>41</v>
      </c>
      <c r="J345" s="4">
        <v>2</v>
      </c>
      <c r="K345" s="5">
        <v>97.53</v>
      </c>
      <c r="L345" s="6">
        <v>0</v>
      </c>
      <c r="M345" s="5">
        <v>195.06</v>
      </c>
      <c r="P345" t="str">
        <f>TEXT(Tableau2[[#This Row],[Date]],"mmmm aaaa")</f>
        <v>mai 2026</v>
      </c>
    </row>
    <row r="346" spans="1:16">
      <c r="A346" s="2" t="s">
        <v>432</v>
      </c>
      <c r="B346" s="3">
        <v>46107</v>
      </c>
      <c r="C346" s="2" t="s">
        <v>164</v>
      </c>
      <c r="D346" s="2" t="s">
        <v>53</v>
      </c>
      <c r="E346" s="2" t="s">
        <v>16</v>
      </c>
      <c r="F346" s="2" t="s">
        <v>17</v>
      </c>
      <c r="G346" s="2" t="s">
        <v>54</v>
      </c>
      <c r="H346" s="2" t="s">
        <v>64</v>
      </c>
      <c r="I346" s="2" t="s">
        <v>36</v>
      </c>
      <c r="J346" s="4">
        <v>5</v>
      </c>
      <c r="K346" s="5">
        <v>94.19</v>
      </c>
      <c r="L346" s="6">
        <v>0.2</v>
      </c>
      <c r="M346" s="5">
        <v>376.76</v>
      </c>
      <c r="P346" t="str">
        <f>TEXT(Tableau2[[#This Row],[Date]],"mmmm aaaa")</f>
        <v>mars 2026</v>
      </c>
    </row>
    <row r="347" spans="1:16">
      <c r="A347" s="2" t="s">
        <v>433</v>
      </c>
      <c r="B347" s="3">
        <v>46164</v>
      </c>
      <c r="C347" s="2" t="s">
        <v>22</v>
      </c>
      <c r="D347" s="2" t="s">
        <v>23</v>
      </c>
      <c r="E347" s="2" t="s">
        <v>38</v>
      </c>
      <c r="F347" s="2" t="s">
        <v>17</v>
      </c>
      <c r="G347" s="2" t="s">
        <v>29</v>
      </c>
      <c r="H347" s="2" t="s">
        <v>140</v>
      </c>
      <c r="I347" s="2" t="s">
        <v>58</v>
      </c>
      <c r="J347" s="4">
        <v>2</v>
      </c>
      <c r="K347" s="5">
        <v>45.47</v>
      </c>
      <c r="L347" s="6">
        <v>0.2</v>
      </c>
      <c r="M347" s="5">
        <v>72.75</v>
      </c>
      <c r="P347" t="str">
        <f>TEXT(Tableau2[[#This Row],[Date]],"mmmm aaaa")</f>
        <v>mai 2026</v>
      </c>
    </row>
    <row r="348" spans="1:16">
      <c r="A348" s="2" t="s">
        <v>434</v>
      </c>
      <c r="B348" s="3">
        <v>46093</v>
      </c>
      <c r="C348" s="2" t="s">
        <v>66</v>
      </c>
      <c r="D348" s="2" t="s">
        <v>23</v>
      </c>
      <c r="E348" s="2" t="s">
        <v>38</v>
      </c>
      <c r="F348" s="2" t="s">
        <v>17</v>
      </c>
      <c r="G348" s="2" t="s">
        <v>18</v>
      </c>
      <c r="H348" s="2" t="s">
        <v>143</v>
      </c>
      <c r="I348" s="2" t="s">
        <v>41</v>
      </c>
      <c r="J348" s="4">
        <v>3</v>
      </c>
      <c r="K348" s="5">
        <v>63.69</v>
      </c>
      <c r="L348" s="6">
        <v>0</v>
      </c>
      <c r="M348" s="5">
        <v>191.07</v>
      </c>
      <c r="P348" t="str">
        <f>TEXT(Tableau2[[#This Row],[Date]],"mmmm aaaa")</f>
        <v>mars 2026</v>
      </c>
    </row>
    <row r="349" spans="1:16">
      <c r="A349" s="2" t="s">
        <v>435</v>
      </c>
      <c r="B349" s="3">
        <v>46107</v>
      </c>
      <c r="C349" s="2" t="s">
        <v>178</v>
      </c>
      <c r="D349" s="2" t="s">
        <v>15</v>
      </c>
      <c r="E349" s="2" t="s">
        <v>16</v>
      </c>
      <c r="F349" s="2" t="s">
        <v>28</v>
      </c>
      <c r="G349" s="2" t="s">
        <v>39</v>
      </c>
      <c r="H349" s="2" t="s">
        <v>95</v>
      </c>
      <c r="I349" s="2" t="s">
        <v>45</v>
      </c>
      <c r="J349" s="4">
        <v>3</v>
      </c>
      <c r="K349" s="5">
        <v>96.79</v>
      </c>
      <c r="L349" s="6">
        <v>0.05</v>
      </c>
      <c r="M349" s="5">
        <v>275.85000000000002</v>
      </c>
      <c r="P349" t="str">
        <f>TEXT(Tableau2[[#This Row],[Date]],"mmmm aaaa")</f>
        <v>mars 2026</v>
      </c>
    </row>
    <row r="350" spans="1:16">
      <c r="A350" s="2" t="s">
        <v>436</v>
      </c>
      <c r="B350" s="3">
        <v>46175</v>
      </c>
      <c r="C350" s="2" t="s">
        <v>151</v>
      </c>
      <c r="D350" s="2" t="s">
        <v>15</v>
      </c>
      <c r="E350" s="2" t="s">
        <v>38</v>
      </c>
      <c r="F350" s="2" t="s">
        <v>28</v>
      </c>
      <c r="G350" s="2" t="s">
        <v>39</v>
      </c>
      <c r="H350" s="2" t="s">
        <v>95</v>
      </c>
      <c r="I350" s="2" t="s">
        <v>36</v>
      </c>
      <c r="J350" s="4">
        <v>1</v>
      </c>
      <c r="K350" s="5">
        <v>90.51</v>
      </c>
      <c r="L350" s="6">
        <v>0</v>
      </c>
      <c r="M350" s="5">
        <v>90.51</v>
      </c>
      <c r="P350" t="str">
        <f>TEXT(Tableau2[[#This Row],[Date]],"mmmm aaaa")</f>
        <v>juin 2026</v>
      </c>
    </row>
    <row r="351" spans="1:16">
      <c r="A351" s="2" t="s">
        <v>437</v>
      </c>
      <c r="B351" s="3">
        <v>46278</v>
      </c>
      <c r="C351" s="2" t="s">
        <v>63</v>
      </c>
      <c r="D351" s="2" t="s">
        <v>33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26</v>
      </c>
      <c r="J351" s="4">
        <v>11</v>
      </c>
      <c r="K351" s="5">
        <v>51.92</v>
      </c>
      <c r="L351" s="6">
        <v>0</v>
      </c>
      <c r="M351" s="5">
        <v>571.12</v>
      </c>
      <c r="P351" t="str">
        <f>TEXT(Tableau2[[#This Row],[Date]],"mmmm aaaa")</f>
        <v>septembre 2026</v>
      </c>
    </row>
    <row r="352" spans="1:16">
      <c r="A352" s="2" t="s">
        <v>438</v>
      </c>
      <c r="B352" s="3">
        <v>46274</v>
      </c>
      <c r="C352" s="2" t="s">
        <v>178</v>
      </c>
      <c r="D352" s="2" t="s">
        <v>15</v>
      </c>
      <c r="E352" s="2" t="s">
        <v>16</v>
      </c>
      <c r="F352" s="2" t="s">
        <v>17</v>
      </c>
      <c r="G352" s="2" t="s">
        <v>48</v>
      </c>
      <c r="H352" s="2" t="s">
        <v>49</v>
      </c>
      <c r="I352" s="2" t="s">
        <v>45</v>
      </c>
      <c r="J352" s="4">
        <v>6</v>
      </c>
      <c r="K352" s="5">
        <v>57.2</v>
      </c>
      <c r="L352" s="6">
        <v>0</v>
      </c>
      <c r="M352" s="5">
        <v>343.2</v>
      </c>
      <c r="P352" t="str">
        <f>TEXT(Tableau2[[#This Row],[Date]],"mmmm aaaa")</f>
        <v>septembre 2026</v>
      </c>
    </row>
    <row r="353" spans="1:16">
      <c r="A353" s="2" t="s">
        <v>439</v>
      </c>
      <c r="B353" s="3">
        <v>46366</v>
      </c>
      <c r="C353" s="2" t="s">
        <v>116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26</v>
      </c>
      <c r="J353" s="4">
        <v>2</v>
      </c>
      <c r="K353" s="5">
        <v>49.78</v>
      </c>
      <c r="L353" s="6">
        <v>0</v>
      </c>
      <c r="M353" s="5">
        <v>99.56</v>
      </c>
      <c r="P353" t="str">
        <f>TEXT(Tableau2[[#This Row],[Date]],"mmmm aaaa")</f>
        <v>décembre 2026</v>
      </c>
    </row>
    <row r="354" spans="1:16">
      <c r="A354" s="2" t="s">
        <v>440</v>
      </c>
      <c r="B354" s="3">
        <v>46208</v>
      </c>
      <c r="C354" s="2" t="s">
        <v>441</v>
      </c>
      <c r="D354" s="2" t="s">
        <v>23</v>
      </c>
      <c r="E354" s="2" t="s">
        <v>43</v>
      </c>
      <c r="F354" s="2" t="s">
        <v>17</v>
      </c>
      <c r="G354" s="2" t="s">
        <v>39</v>
      </c>
      <c r="H354" s="2" t="s">
        <v>95</v>
      </c>
      <c r="I354" s="2" t="s">
        <v>36</v>
      </c>
      <c r="J354" s="4">
        <v>2</v>
      </c>
      <c r="K354" s="5">
        <v>98.27</v>
      </c>
      <c r="L354" s="6">
        <v>0.15</v>
      </c>
      <c r="M354" s="5">
        <v>167.06</v>
      </c>
      <c r="P354" t="str">
        <f>TEXT(Tableau2[[#This Row],[Date]],"mmmm aaaa")</f>
        <v>juillet 2026</v>
      </c>
    </row>
    <row r="355" spans="1:16">
      <c r="A355" s="2" t="s">
        <v>442</v>
      </c>
      <c r="B355" s="3">
        <v>46087</v>
      </c>
      <c r="C355" s="2" t="s">
        <v>119</v>
      </c>
      <c r="D355" s="2" t="s">
        <v>15</v>
      </c>
      <c r="E355" s="2" t="s">
        <v>34</v>
      </c>
      <c r="F355" s="2" t="s">
        <v>28</v>
      </c>
      <c r="G355" s="2" t="s">
        <v>18</v>
      </c>
      <c r="H355" s="2" t="s">
        <v>19</v>
      </c>
      <c r="I355" s="2" t="s">
        <v>36</v>
      </c>
      <c r="J355" s="4">
        <v>1</v>
      </c>
      <c r="K355" s="5">
        <v>52.24</v>
      </c>
      <c r="L355" s="6">
        <v>0</v>
      </c>
      <c r="M355" s="5">
        <v>52.24</v>
      </c>
      <c r="P355" t="str">
        <f>TEXT(Tableau2[[#This Row],[Date]],"mmmm aaaa")</f>
        <v>mars 2026</v>
      </c>
    </row>
    <row r="356" spans="1:16">
      <c r="A356" s="2" t="s">
        <v>443</v>
      </c>
      <c r="B356" s="3">
        <v>46193</v>
      </c>
      <c r="C356" s="2" t="s">
        <v>14</v>
      </c>
      <c r="D356" s="2" t="s">
        <v>15</v>
      </c>
      <c r="E356" s="2" t="s">
        <v>34</v>
      </c>
      <c r="F356" s="2" t="s">
        <v>17</v>
      </c>
      <c r="G356" s="2" t="s">
        <v>18</v>
      </c>
      <c r="H356" s="2" t="s">
        <v>136</v>
      </c>
      <c r="I356" s="2" t="s">
        <v>50</v>
      </c>
      <c r="J356" s="4">
        <v>1</v>
      </c>
      <c r="K356" s="5">
        <v>29.85</v>
      </c>
      <c r="L356" s="6">
        <v>0.3</v>
      </c>
      <c r="M356" s="5">
        <v>20.89</v>
      </c>
      <c r="P356" t="str">
        <f>TEXT(Tableau2[[#This Row],[Date]],"mmmm aaaa")</f>
        <v>juin 2026</v>
      </c>
    </row>
    <row r="357" spans="1:16">
      <c r="A357" s="2" t="s">
        <v>444</v>
      </c>
      <c r="B357" s="3">
        <v>46233</v>
      </c>
      <c r="C357" s="2" t="s">
        <v>441</v>
      </c>
      <c r="D357" s="2" t="s">
        <v>23</v>
      </c>
      <c r="E357" s="2" t="s">
        <v>38</v>
      </c>
      <c r="F357" s="2" t="s">
        <v>17</v>
      </c>
      <c r="G357" s="2" t="s">
        <v>18</v>
      </c>
      <c r="H357" s="2" t="s">
        <v>143</v>
      </c>
      <c r="I357" s="2" t="s">
        <v>45</v>
      </c>
      <c r="J357" s="4">
        <v>2</v>
      </c>
      <c r="K357" s="5">
        <v>72.739999999999995</v>
      </c>
      <c r="L357" s="6">
        <v>0</v>
      </c>
      <c r="M357" s="5">
        <v>145.47999999999999</v>
      </c>
      <c r="P357" t="str">
        <f>TEXT(Tableau2[[#This Row],[Date]],"mmmm aaaa")</f>
        <v>juillet 2026</v>
      </c>
    </row>
    <row r="358" spans="1:16">
      <c r="A358" s="2" t="s">
        <v>445</v>
      </c>
      <c r="B358" s="3">
        <v>46268</v>
      </c>
      <c r="C358" s="2" t="s">
        <v>57</v>
      </c>
      <c r="D358" s="2" t="s">
        <v>15</v>
      </c>
      <c r="E358" s="2" t="s">
        <v>34</v>
      </c>
      <c r="F358" s="2" t="s">
        <v>17</v>
      </c>
      <c r="G358" s="2" t="s">
        <v>39</v>
      </c>
      <c r="H358" s="2" t="s">
        <v>71</v>
      </c>
      <c r="I358" s="2" t="s">
        <v>20</v>
      </c>
      <c r="J358" s="4">
        <v>2</v>
      </c>
      <c r="K358" s="5">
        <v>114.69</v>
      </c>
      <c r="L358" s="6">
        <v>0.15</v>
      </c>
      <c r="M358" s="5">
        <v>194.97</v>
      </c>
      <c r="P358" t="str">
        <f>TEXT(Tableau2[[#This Row],[Date]],"mmmm aaaa")</f>
        <v>septembre 2026</v>
      </c>
    </row>
    <row r="359" spans="1:16">
      <c r="A359" s="2" t="s">
        <v>446</v>
      </c>
      <c r="B359" s="3">
        <v>46377</v>
      </c>
      <c r="C359" s="2" t="s">
        <v>94</v>
      </c>
      <c r="D359" s="2" t="s">
        <v>15</v>
      </c>
      <c r="E359" s="2" t="s">
        <v>16</v>
      </c>
      <c r="F359" s="2" t="s">
        <v>17</v>
      </c>
      <c r="G359" s="2" t="s">
        <v>54</v>
      </c>
      <c r="H359" s="2" t="s">
        <v>55</v>
      </c>
      <c r="I359" s="2" t="s">
        <v>26</v>
      </c>
      <c r="J359" s="4">
        <v>3</v>
      </c>
      <c r="K359" s="5">
        <v>159.11000000000001</v>
      </c>
      <c r="L359" s="6">
        <v>0</v>
      </c>
      <c r="M359" s="5">
        <v>477.33</v>
      </c>
      <c r="P359" t="str">
        <f>TEXT(Tableau2[[#This Row],[Date]],"mmmm aaaa")</f>
        <v>décembre 2026</v>
      </c>
    </row>
    <row r="360" spans="1:16">
      <c r="A360" s="2" t="s">
        <v>447</v>
      </c>
      <c r="B360" s="3">
        <v>46029</v>
      </c>
      <c r="C360" s="2" t="s">
        <v>14</v>
      </c>
      <c r="D360" s="2" t="s">
        <v>15</v>
      </c>
      <c r="E360" s="2" t="s">
        <v>16</v>
      </c>
      <c r="F360" s="2" t="s">
        <v>17</v>
      </c>
      <c r="G360" s="2" t="s">
        <v>29</v>
      </c>
      <c r="H360" s="2" t="s">
        <v>44</v>
      </c>
      <c r="I360" s="2" t="s">
        <v>45</v>
      </c>
      <c r="J360" s="4">
        <v>1</v>
      </c>
      <c r="K360" s="5">
        <v>40.799999999999997</v>
      </c>
      <c r="L360" s="6">
        <v>0</v>
      </c>
      <c r="M360" s="5">
        <v>40.799999999999997</v>
      </c>
      <c r="P360" t="str">
        <f>TEXT(Tableau2[[#This Row],[Date]],"mmmm aaaa")</f>
        <v>janvier 2026</v>
      </c>
    </row>
    <row r="361" spans="1:16">
      <c r="A361" s="2" t="s">
        <v>448</v>
      </c>
      <c r="B361" s="3">
        <v>46102</v>
      </c>
      <c r="C361" s="2" t="s">
        <v>66</v>
      </c>
      <c r="D361" s="2" t="s">
        <v>23</v>
      </c>
      <c r="E361" s="2" t="s">
        <v>16</v>
      </c>
      <c r="F361" s="2" t="s">
        <v>17</v>
      </c>
      <c r="G361" s="2" t="s">
        <v>18</v>
      </c>
      <c r="H361" s="2" t="s">
        <v>143</v>
      </c>
      <c r="I361" s="2" t="s">
        <v>26</v>
      </c>
      <c r="J361" s="4">
        <v>6</v>
      </c>
      <c r="K361" s="5">
        <v>67.88</v>
      </c>
      <c r="L361" s="6">
        <v>0</v>
      </c>
      <c r="M361" s="5">
        <v>407.28</v>
      </c>
      <c r="P361" t="str">
        <f>TEXT(Tableau2[[#This Row],[Date]],"mmmm aaaa")</f>
        <v>mars 2026</v>
      </c>
    </row>
    <row r="362" spans="1:16">
      <c r="A362" s="2" t="s">
        <v>449</v>
      </c>
      <c r="B362" s="3">
        <v>46146</v>
      </c>
      <c r="C362" s="2" t="s">
        <v>79</v>
      </c>
      <c r="D362" s="2" t="s">
        <v>33</v>
      </c>
      <c r="E362" s="2" t="s">
        <v>16</v>
      </c>
      <c r="F362" s="2" t="s">
        <v>28</v>
      </c>
      <c r="G362" s="2" t="s">
        <v>18</v>
      </c>
      <c r="H362" s="2" t="s">
        <v>143</v>
      </c>
      <c r="I362" s="2" t="s">
        <v>26</v>
      </c>
      <c r="J362" s="4">
        <v>3</v>
      </c>
      <c r="K362" s="5">
        <v>63.04</v>
      </c>
      <c r="L362" s="6">
        <v>0</v>
      </c>
      <c r="M362" s="5">
        <v>189.12</v>
      </c>
      <c r="P362" t="str">
        <f>TEXT(Tableau2[[#This Row],[Date]],"mmmm aaaa")</f>
        <v>mai 2026</v>
      </c>
    </row>
    <row r="363" spans="1:16">
      <c r="A363" s="2" t="s">
        <v>450</v>
      </c>
      <c r="B363" s="3">
        <v>46187</v>
      </c>
      <c r="C363" s="2" t="s">
        <v>60</v>
      </c>
      <c r="D363" s="2" t="s">
        <v>33</v>
      </c>
      <c r="E363" s="2" t="s">
        <v>16</v>
      </c>
      <c r="F363" s="2" t="s">
        <v>17</v>
      </c>
      <c r="G363" s="2" t="s">
        <v>54</v>
      </c>
      <c r="H363" s="2" t="s">
        <v>64</v>
      </c>
      <c r="I363" s="2" t="s">
        <v>58</v>
      </c>
      <c r="J363" s="4">
        <v>2</v>
      </c>
      <c r="K363" s="5">
        <v>95.28</v>
      </c>
      <c r="L363" s="6">
        <v>0.05</v>
      </c>
      <c r="M363" s="5">
        <v>181.03</v>
      </c>
      <c r="P363" t="str">
        <f>TEXT(Tableau2[[#This Row],[Date]],"mmmm aaaa")</f>
        <v>juin 2026</v>
      </c>
    </row>
    <row r="364" spans="1:16">
      <c r="A364" s="2" t="s">
        <v>451</v>
      </c>
      <c r="B364" s="3">
        <v>46166</v>
      </c>
      <c r="C364" s="2" t="s">
        <v>160</v>
      </c>
      <c r="D364" s="2" t="s">
        <v>33</v>
      </c>
      <c r="E364" s="2" t="s">
        <v>34</v>
      </c>
      <c r="F364" s="2" t="s">
        <v>17</v>
      </c>
      <c r="G364" s="2" t="s">
        <v>48</v>
      </c>
      <c r="H364" s="2" t="s">
        <v>77</v>
      </c>
      <c r="I364" s="2" t="s">
        <v>20</v>
      </c>
      <c r="J364" s="4">
        <v>1</v>
      </c>
      <c r="K364" s="5">
        <v>89.37</v>
      </c>
      <c r="L364" s="6">
        <v>0</v>
      </c>
      <c r="M364" s="5">
        <v>89.37</v>
      </c>
      <c r="P364" t="str">
        <f>TEXT(Tableau2[[#This Row],[Date]],"mmmm aaaa")</f>
        <v>mai 2026</v>
      </c>
    </row>
    <row r="365" spans="1:16">
      <c r="A365" s="2" t="s">
        <v>452</v>
      </c>
      <c r="B365" s="3">
        <v>46238</v>
      </c>
      <c r="C365" s="2" t="s">
        <v>79</v>
      </c>
      <c r="D365" s="2" t="s">
        <v>33</v>
      </c>
      <c r="E365" s="2" t="s">
        <v>34</v>
      </c>
      <c r="F365" s="2" t="s">
        <v>28</v>
      </c>
      <c r="G365" s="2" t="s">
        <v>48</v>
      </c>
      <c r="H365" s="2" t="s">
        <v>88</v>
      </c>
      <c r="I365" s="2" t="s">
        <v>36</v>
      </c>
      <c r="J365" s="4">
        <v>8</v>
      </c>
      <c r="K365" s="5">
        <v>74.37</v>
      </c>
      <c r="L365" s="6">
        <v>0</v>
      </c>
      <c r="M365" s="5">
        <v>594.96</v>
      </c>
      <c r="P365" t="str">
        <f>TEXT(Tableau2[[#This Row],[Date]],"mmmm aaaa")</f>
        <v>août 2026</v>
      </c>
    </row>
    <row r="366" spans="1:16">
      <c r="A366" s="2" t="s">
        <v>453</v>
      </c>
      <c r="B366" s="3">
        <v>46240</v>
      </c>
      <c r="C366" s="2" t="s">
        <v>106</v>
      </c>
      <c r="D366" s="2" t="s">
        <v>23</v>
      </c>
      <c r="E366" s="2" t="s">
        <v>43</v>
      </c>
      <c r="F366" s="2" t="s">
        <v>28</v>
      </c>
      <c r="G366" s="2" t="s">
        <v>29</v>
      </c>
      <c r="H366" s="2" t="s">
        <v>140</v>
      </c>
      <c r="I366" s="2" t="s">
        <v>41</v>
      </c>
      <c r="J366" s="4">
        <v>3</v>
      </c>
      <c r="K366" s="5">
        <v>45.14</v>
      </c>
      <c r="L366" s="6">
        <v>0</v>
      </c>
      <c r="M366" s="5">
        <v>135.41999999999999</v>
      </c>
      <c r="P366" t="str">
        <f>TEXT(Tableau2[[#This Row],[Date]],"mmmm aaaa")</f>
        <v>août 2026</v>
      </c>
    </row>
    <row r="367" spans="1:16">
      <c r="A367" s="2" t="s">
        <v>454</v>
      </c>
      <c r="B367" s="3">
        <v>46211</v>
      </c>
      <c r="C367" s="2" t="s">
        <v>14</v>
      </c>
      <c r="D367" s="2" t="s">
        <v>15</v>
      </c>
      <c r="E367" s="2" t="s">
        <v>38</v>
      </c>
      <c r="F367" s="2" t="s">
        <v>17</v>
      </c>
      <c r="G367" s="2" t="s">
        <v>54</v>
      </c>
      <c r="H367" s="2" t="s">
        <v>55</v>
      </c>
      <c r="I367" s="2" t="s">
        <v>75</v>
      </c>
      <c r="J367" s="4">
        <v>1</v>
      </c>
      <c r="K367" s="5">
        <v>165.37</v>
      </c>
      <c r="L367" s="6">
        <v>0.15</v>
      </c>
      <c r="M367" s="5">
        <v>140.56</v>
      </c>
      <c r="P367" t="str">
        <f>TEXT(Tableau2[[#This Row],[Date]],"mmmm aaaa")</f>
        <v>juillet 2026</v>
      </c>
    </row>
    <row r="368" spans="1:16">
      <c r="A368" s="2" t="s">
        <v>455</v>
      </c>
      <c r="B368" s="3">
        <v>46265</v>
      </c>
      <c r="C368" s="2" t="s">
        <v>86</v>
      </c>
      <c r="D368" s="2" t="s">
        <v>53</v>
      </c>
      <c r="E368" s="2" t="s">
        <v>34</v>
      </c>
      <c r="F368" s="2" t="s">
        <v>17</v>
      </c>
      <c r="G368" s="2" t="s">
        <v>39</v>
      </c>
      <c r="H368" s="2" t="s">
        <v>71</v>
      </c>
      <c r="I368" s="2" t="s">
        <v>36</v>
      </c>
      <c r="J368" s="4">
        <v>3</v>
      </c>
      <c r="K368" s="5">
        <v>112.52</v>
      </c>
      <c r="L368" s="6">
        <v>0</v>
      </c>
      <c r="M368" s="5">
        <v>337.56</v>
      </c>
      <c r="P368" t="str">
        <f>TEXT(Tableau2[[#This Row],[Date]],"mmmm aaaa")</f>
        <v>août 2026</v>
      </c>
    </row>
    <row r="369" spans="1:16">
      <c r="A369" s="2" t="s">
        <v>456</v>
      </c>
      <c r="B369" s="3">
        <v>46279</v>
      </c>
      <c r="C369" s="2" t="s">
        <v>125</v>
      </c>
      <c r="D369" s="2" t="s">
        <v>23</v>
      </c>
      <c r="E369" s="2" t="s">
        <v>38</v>
      </c>
      <c r="F369" s="2" t="s">
        <v>28</v>
      </c>
      <c r="G369" s="2" t="s">
        <v>18</v>
      </c>
      <c r="H369" s="2" t="s">
        <v>143</v>
      </c>
      <c r="I369" s="2" t="s">
        <v>75</v>
      </c>
      <c r="J369" s="4">
        <v>1</v>
      </c>
      <c r="K369" s="5">
        <v>69.459999999999994</v>
      </c>
      <c r="L369" s="6">
        <v>0.1</v>
      </c>
      <c r="M369" s="5">
        <v>62.51</v>
      </c>
      <c r="P369" t="str">
        <f>TEXT(Tableau2[[#This Row],[Date]],"mmmm aaaa")</f>
        <v>septembre 2026</v>
      </c>
    </row>
    <row r="370" spans="1:16">
      <c r="A370" s="2" t="s">
        <v>457</v>
      </c>
      <c r="B370" s="3">
        <v>46270</v>
      </c>
      <c r="C370" s="2" t="s">
        <v>116</v>
      </c>
      <c r="D370" s="2" t="s">
        <v>15</v>
      </c>
      <c r="E370" s="2" t="s">
        <v>16</v>
      </c>
      <c r="F370" s="2" t="s">
        <v>28</v>
      </c>
      <c r="G370" s="2" t="s">
        <v>29</v>
      </c>
      <c r="H370" s="2" t="s">
        <v>99</v>
      </c>
      <c r="I370" s="2" t="s">
        <v>20</v>
      </c>
      <c r="J370" s="4">
        <v>2</v>
      </c>
      <c r="K370" s="5">
        <v>61.64</v>
      </c>
      <c r="L370" s="6">
        <v>0.05</v>
      </c>
      <c r="M370" s="5">
        <v>117.12</v>
      </c>
      <c r="P370" t="str">
        <f>TEXT(Tableau2[[#This Row],[Date]],"mmmm aaaa")</f>
        <v>septembre 2026</v>
      </c>
    </row>
    <row r="371" spans="1:16">
      <c r="A371" s="2" t="s">
        <v>458</v>
      </c>
      <c r="B371" s="3">
        <v>46123</v>
      </c>
      <c r="C371" s="2" t="s">
        <v>119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143</v>
      </c>
      <c r="I371" s="2" t="s">
        <v>26</v>
      </c>
      <c r="J371" s="4">
        <v>1</v>
      </c>
      <c r="K371" s="5">
        <v>65.400000000000006</v>
      </c>
      <c r="L371" s="6">
        <v>0.1</v>
      </c>
      <c r="M371" s="5">
        <v>58.86</v>
      </c>
      <c r="P371" t="str">
        <f>TEXT(Tableau2[[#This Row],[Date]],"mmmm aaaa")</f>
        <v>avril 2026</v>
      </c>
    </row>
    <row r="372" spans="1:16">
      <c r="A372" s="2" t="s">
        <v>459</v>
      </c>
      <c r="B372" s="3">
        <v>46291</v>
      </c>
      <c r="C372" s="2" t="s">
        <v>22</v>
      </c>
      <c r="D372" s="2" t="s">
        <v>23</v>
      </c>
      <c r="E372" s="2" t="s">
        <v>16</v>
      </c>
      <c r="F372" s="2" t="s">
        <v>28</v>
      </c>
      <c r="G372" s="2" t="s">
        <v>48</v>
      </c>
      <c r="H372" s="2" t="s">
        <v>84</v>
      </c>
      <c r="I372" s="2" t="s">
        <v>75</v>
      </c>
      <c r="J372" s="4">
        <v>2</v>
      </c>
      <c r="K372" s="5">
        <v>89.66</v>
      </c>
      <c r="L372" s="6">
        <v>0.05</v>
      </c>
      <c r="M372" s="5">
        <v>170.35</v>
      </c>
      <c r="P372" t="str">
        <f>TEXT(Tableau2[[#This Row],[Date]],"mmmm aaaa")</f>
        <v>septembre 2026</v>
      </c>
    </row>
    <row r="373" spans="1:16">
      <c r="A373" s="2" t="s">
        <v>460</v>
      </c>
      <c r="B373" s="3">
        <v>46328</v>
      </c>
      <c r="C373" s="2" t="s">
        <v>14</v>
      </c>
      <c r="D373" s="2" t="s">
        <v>15</v>
      </c>
      <c r="E373" s="2" t="s">
        <v>16</v>
      </c>
      <c r="F373" s="2" t="s">
        <v>17</v>
      </c>
      <c r="G373" s="2" t="s">
        <v>29</v>
      </c>
      <c r="H373" s="2" t="s">
        <v>44</v>
      </c>
      <c r="I373" s="2" t="s">
        <v>41</v>
      </c>
      <c r="J373" s="4">
        <v>4</v>
      </c>
      <c r="K373" s="5">
        <v>35.78</v>
      </c>
      <c r="L373" s="6">
        <v>0</v>
      </c>
      <c r="M373" s="5">
        <v>143.12</v>
      </c>
      <c r="P373" t="str">
        <f>TEXT(Tableau2[[#This Row],[Date]],"mmmm aaaa")</f>
        <v>novembre 2026</v>
      </c>
    </row>
    <row r="374" spans="1:16">
      <c r="A374" s="2" t="s">
        <v>461</v>
      </c>
      <c r="B374" s="3">
        <v>46341</v>
      </c>
      <c r="C374" s="2" t="s">
        <v>22</v>
      </c>
      <c r="D374" s="2" t="s">
        <v>23</v>
      </c>
      <c r="E374" s="2" t="s">
        <v>16</v>
      </c>
      <c r="F374" s="2" t="s">
        <v>28</v>
      </c>
      <c r="G374" s="2" t="s">
        <v>29</v>
      </c>
      <c r="H374" s="2" t="s">
        <v>140</v>
      </c>
      <c r="I374" s="2" t="s">
        <v>41</v>
      </c>
      <c r="J374" s="4">
        <v>5</v>
      </c>
      <c r="K374" s="5">
        <v>47.27</v>
      </c>
      <c r="L374" s="6">
        <v>0.05</v>
      </c>
      <c r="M374" s="5">
        <v>224.53</v>
      </c>
      <c r="P374" t="str">
        <f>TEXT(Tableau2[[#This Row],[Date]],"mmmm aaaa")</f>
        <v>novembre 2026</v>
      </c>
    </row>
    <row r="375" spans="1:16">
      <c r="A375" s="2" t="s">
        <v>462</v>
      </c>
      <c r="B375" s="3">
        <v>46090</v>
      </c>
      <c r="C375" s="2" t="s">
        <v>90</v>
      </c>
      <c r="D375" s="2" t="s">
        <v>53</v>
      </c>
      <c r="E375" s="2" t="s">
        <v>38</v>
      </c>
      <c r="F375" s="2" t="s">
        <v>28</v>
      </c>
      <c r="G375" s="2" t="s">
        <v>54</v>
      </c>
      <c r="H375" s="2" t="s">
        <v>64</v>
      </c>
      <c r="I375" s="2" t="s">
        <v>26</v>
      </c>
      <c r="J375" s="4">
        <v>6</v>
      </c>
      <c r="K375" s="5">
        <v>86.66</v>
      </c>
      <c r="L375" s="6">
        <v>0</v>
      </c>
      <c r="M375" s="5">
        <v>519.96</v>
      </c>
      <c r="P375" t="str">
        <f>TEXT(Tableau2[[#This Row],[Date]],"mmmm aaaa")</f>
        <v>mars 2026</v>
      </c>
    </row>
    <row r="376" spans="1:16">
      <c r="A376" s="2" t="s">
        <v>463</v>
      </c>
      <c r="B376" s="3">
        <v>46313</v>
      </c>
      <c r="C376" s="2" t="s">
        <v>52</v>
      </c>
      <c r="D376" s="2" t="s">
        <v>53</v>
      </c>
      <c r="E376" s="2" t="s">
        <v>43</v>
      </c>
      <c r="F376" s="2" t="s">
        <v>28</v>
      </c>
      <c r="G376" s="2" t="s">
        <v>54</v>
      </c>
      <c r="H376" s="2" t="s">
        <v>102</v>
      </c>
      <c r="I376" s="2" t="s">
        <v>36</v>
      </c>
      <c r="J376" s="4">
        <v>10</v>
      </c>
      <c r="K376" s="5">
        <v>201.28</v>
      </c>
      <c r="L376" s="6">
        <v>0</v>
      </c>
      <c r="M376" s="5">
        <v>2012.8</v>
      </c>
      <c r="P376" t="str">
        <f>TEXT(Tableau2[[#This Row],[Date]],"mmmm aaaa")</f>
        <v>octobre 2026</v>
      </c>
    </row>
    <row r="377" spans="1:16">
      <c r="A377" s="2" t="s">
        <v>464</v>
      </c>
      <c r="B377" s="3">
        <v>46294</v>
      </c>
      <c r="C377" s="2" t="s">
        <v>156</v>
      </c>
      <c r="D377" s="2" t="s">
        <v>15</v>
      </c>
      <c r="E377" s="2" t="s">
        <v>43</v>
      </c>
      <c r="F377" s="2" t="s">
        <v>17</v>
      </c>
      <c r="G377" s="2" t="s">
        <v>54</v>
      </c>
      <c r="H377" s="2" t="s">
        <v>64</v>
      </c>
      <c r="I377" s="2" t="s">
        <v>26</v>
      </c>
      <c r="J377" s="4">
        <v>1</v>
      </c>
      <c r="K377" s="5">
        <v>89.15</v>
      </c>
      <c r="L377" s="6">
        <v>0.1</v>
      </c>
      <c r="M377" s="5">
        <v>80.239999999999995</v>
      </c>
      <c r="P377" t="str">
        <f>TEXT(Tableau2[[#This Row],[Date]],"mmmm aaaa")</f>
        <v>septembre 2026</v>
      </c>
    </row>
    <row r="378" spans="1:16">
      <c r="A378" s="2" t="s">
        <v>465</v>
      </c>
      <c r="B378" s="3">
        <v>46370</v>
      </c>
      <c r="C378" s="2" t="s">
        <v>32</v>
      </c>
      <c r="D378" s="2" t="s">
        <v>33</v>
      </c>
      <c r="E378" s="2" t="s">
        <v>16</v>
      </c>
      <c r="F378" s="2" t="s">
        <v>17</v>
      </c>
      <c r="G378" s="2" t="s">
        <v>39</v>
      </c>
      <c r="H378" s="2" t="s">
        <v>71</v>
      </c>
      <c r="I378" s="2" t="s">
        <v>20</v>
      </c>
      <c r="J378" s="4">
        <v>5</v>
      </c>
      <c r="K378" s="5">
        <v>113.28</v>
      </c>
      <c r="L378" s="6">
        <v>0</v>
      </c>
      <c r="M378" s="5">
        <v>566.4</v>
      </c>
      <c r="P378" t="str">
        <f>TEXT(Tableau2[[#This Row],[Date]],"mmmm aaaa")</f>
        <v>décembre 2026</v>
      </c>
    </row>
    <row r="379" spans="1:16">
      <c r="A379" s="2" t="s">
        <v>466</v>
      </c>
      <c r="B379" s="3">
        <v>46281</v>
      </c>
      <c r="C379" s="2" t="s">
        <v>130</v>
      </c>
      <c r="D379" s="2" t="s">
        <v>53</v>
      </c>
      <c r="E379" s="2" t="s">
        <v>34</v>
      </c>
      <c r="F379" s="2" t="s">
        <v>28</v>
      </c>
      <c r="G379" s="2" t="s">
        <v>24</v>
      </c>
      <c r="H379" s="2" t="s">
        <v>82</v>
      </c>
      <c r="I379" s="2" t="s">
        <v>58</v>
      </c>
      <c r="J379" s="4">
        <v>1</v>
      </c>
      <c r="K379" s="5">
        <v>305.56</v>
      </c>
      <c r="L379" s="6">
        <v>0</v>
      </c>
      <c r="M379" s="5">
        <v>305.56</v>
      </c>
      <c r="P379" t="str">
        <f>TEXT(Tableau2[[#This Row],[Date]],"mmmm aaaa")</f>
        <v>septembre 2026</v>
      </c>
    </row>
    <row r="380" spans="1:16">
      <c r="A380" s="2" t="s">
        <v>467</v>
      </c>
      <c r="B380" s="3">
        <v>46376</v>
      </c>
      <c r="C380" s="2" t="s">
        <v>116</v>
      </c>
      <c r="D380" s="2" t="s">
        <v>15</v>
      </c>
      <c r="E380" s="2" t="s">
        <v>34</v>
      </c>
      <c r="F380" s="2" t="s">
        <v>28</v>
      </c>
      <c r="G380" s="2" t="s">
        <v>18</v>
      </c>
      <c r="H380" s="2" t="s">
        <v>19</v>
      </c>
      <c r="I380" s="2" t="s">
        <v>36</v>
      </c>
      <c r="J380" s="4">
        <v>2</v>
      </c>
      <c r="K380" s="5">
        <v>52.51</v>
      </c>
      <c r="L380" s="6">
        <v>0</v>
      </c>
      <c r="M380" s="5">
        <v>105.02</v>
      </c>
      <c r="P380" t="str">
        <f>TEXT(Tableau2[[#This Row],[Date]],"mmmm aaaa")</f>
        <v>décembre 2026</v>
      </c>
    </row>
    <row r="381" spans="1:16">
      <c r="A381" s="2" t="s">
        <v>468</v>
      </c>
      <c r="B381" s="3">
        <v>46040</v>
      </c>
      <c r="C381" s="2" t="s">
        <v>57</v>
      </c>
      <c r="D381" s="2" t="s">
        <v>15</v>
      </c>
      <c r="E381" s="2" t="s">
        <v>16</v>
      </c>
      <c r="F381" s="2" t="s">
        <v>17</v>
      </c>
      <c r="G381" s="2" t="s">
        <v>39</v>
      </c>
      <c r="H381" s="2" t="s">
        <v>95</v>
      </c>
      <c r="I381" s="2" t="s">
        <v>41</v>
      </c>
      <c r="J381" s="4">
        <v>11</v>
      </c>
      <c r="K381" s="5">
        <v>105.79</v>
      </c>
      <c r="L381" s="6">
        <v>0.15</v>
      </c>
      <c r="M381" s="5">
        <v>989.14</v>
      </c>
      <c r="P381" t="str">
        <f>TEXT(Tableau2[[#This Row],[Date]],"mmmm aaaa")</f>
        <v>janvier 2026</v>
      </c>
    </row>
    <row r="382" spans="1:16">
      <c r="A382" s="2" t="s">
        <v>469</v>
      </c>
      <c r="B382" s="3">
        <v>46269</v>
      </c>
      <c r="C382" s="2" t="s">
        <v>22</v>
      </c>
      <c r="D382" s="2" t="s">
        <v>23</v>
      </c>
      <c r="E382" s="2" t="s">
        <v>16</v>
      </c>
      <c r="F382" s="2" t="s">
        <v>17</v>
      </c>
      <c r="G382" s="2" t="s">
        <v>24</v>
      </c>
      <c r="H382" s="2" t="s">
        <v>61</v>
      </c>
      <c r="I382" s="2" t="s">
        <v>50</v>
      </c>
      <c r="J382" s="4">
        <v>6</v>
      </c>
      <c r="K382" s="5">
        <v>241.52</v>
      </c>
      <c r="L382" s="6">
        <v>0</v>
      </c>
      <c r="M382" s="5">
        <v>1449.12</v>
      </c>
      <c r="P382" t="str">
        <f>TEXT(Tableau2[[#This Row],[Date]],"mmmm aaaa")</f>
        <v>septembre 2026</v>
      </c>
    </row>
    <row r="383" spans="1:16">
      <c r="A383" s="2" t="s">
        <v>470</v>
      </c>
      <c r="B383" s="3">
        <v>46168</v>
      </c>
      <c r="C383" s="2" t="s">
        <v>119</v>
      </c>
      <c r="D383" s="2" t="s">
        <v>15</v>
      </c>
      <c r="E383" s="2" t="s">
        <v>43</v>
      </c>
      <c r="F383" s="2" t="s">
        <v>17</v>
      </c>
      <c r="G383" s="2" t="s">
        <v>24</v>
      </c>
      <c r="H383" s="2" t="s">
        <v>82</v>
      </c>
      <c r="I383" s="2" t="s">
        <v>50</v>
      </c>
      <c r="J383" s="4">
        <v>1</v>
      </c>
      <c r="K383" s="5">
        <v>282.20999999999998</v>
      </c>
      <c r="L383" s="6">
        <v>0.05</v>
      </c>
      <c r="M383" s="5">
        <v>268.10000000000002</v>
      </c>
      <c r="P383" t="str">
        <f>TEXT(Tableau2[[#This Row],[Date]],"mmmm aaaa")</f>
        <v>mai 2026</v>
      </c>
    </row>
    <row r="384" spans="1:16">
      <c r="A384" s="2" t="s">
        <v>471</v>
      </c>
      <c r="B384" s="3">
        <v>46355</v>
      </c>
      <c r="C384" s="2" t="s">
        <v>106</v>
      </c>
      <c r="D384" s="2" t="s">
        <v>23</v>
      </c>
      <c r="E384" s="2" t="s">
        <v>38</v>
      </c>
      <c r="F384" s="2" t="s">
        <v>28</v>
      </c>
      <c r="G384" s="2" t="s">
        <v>24</v>
      </c>
      <c r="H384" s="2" t="s">
        <v>35</v>
      </c>
      <c r="I384" s="2" t="s">
        <v>20</v>
      </c>
      <c r="J384" s="4">
        <v>6</v>
      </c>
      <c r="K384" s="5">
        <v>165.2</v>
      </c>
      <c r="L384" s="6">
        <v>0</v>
      </c>
      <c r="M384" s="5">
        <v>991.2</v>
      </c>
      <c r="P384" t="str">
        <f>TEXT(Tableau2[[#This Row],[Date]],"mmmm aaaa")</f>
        <v>novembre 2026</v>
      </c>
    </row>
    <row r="385" spans="1:16">
      <c r="A385" s="2" t="s">
        <v>472</v>
      </c>
      <c r="B385" s="3">
        <v>46179</v>
      </c>
      <c r="C385" s="2" t="s">
        <v>123</v>
      </c>
      <c r="D385" s="2" t="s">
        <v>53</v>
      </c>
      <c r="E385" s="2" t="s">
        <v>34</v>
      </c>
      <c r="F385" s="2" t="s">
        <v>17</v>
      </c>
      <c r="G385" s="2" t="s">
        <v>54</v>
      </c>
      <c r="H385" s="2" t="s">
        <v>55</v>
      </c>
      <c r="I385" s="2" t="s">
        <v>26</v>
      </c>
      <c r="J385" s="4">
        <v>3</v>
      </c>
      <c r="K385" s="5">
        <v>152.09</v>
      </c>
      <c r="L385" s="6">
        <v>0.05</v>
      </c>
      <c r="M385" s="5">
        <v>433.46</v>
      </c>
      <c r="P385" t="str">
        <f>TEXT(Tableau2[[#This Row],[Date]],"mmmm aaaa")</f>
        <v>juin 2026</v>
      </c>
    </row>
    <row r="386" spans="1:16">
      <c r="A386" s="2" t="s">
        <v>473</v>
      </c>
      <c r="B386" s="3">
        <v>46332</v>
      </c>
      <c r="C386" s="2" t="s">
        <v>79</v>
      </c>
      <c r="D386" s="2" t="s">
        <v>33</v>
      </c>
      <c r="E386" s="2" t="s">
        <v>34</v>
      </c>
      <c r="F386" s="2" t="s">
        <v>17</v>
      </c>
      <c r="G386" s="2" t="s">
        <v>24</v>
      </c>
      <c r="H386" s="2" t="s">
        <v>25</v>
      </c>
      <c r="I386" s="2" t="s">
        <v>75</v>
      </c>
      <c r="J386" s="4">
        <v>2</v>
      </c>
      <c r="K386" s="5">
        <v>127.73</v>
      </c>
      <c r="L386" s="6">
        <v>0.15</v>
      </c>
      <c r="M386" s="5">
        <v>217.14</v>
      </c>
      <c r="P386" t="str">
        <f>TEXT(Tableau2[[#This Row],[Date]],"mmmm aaaa")</f>
        <v>novembre 2026</v>
      </c>
    </row>
    <row r="387" spans="1:16">
      <c r="A387" s="2" t="s">
        <v>474</v>
      </c>
      <c r="B387" s="3">
        <v>46165</v>
      </c>
      <c r="C387" s="2" t="s">
        <v>52</v>
      </c>
      <c r="D387" s="2" t="s">
        <v>53</v>
      </c>
      <c r="E387" s="2" t="s">
        <v>34</v>
      </c>
      <c r="F387" s="2" t="s">
        <v>28</v>
      </c>
      <c r="G387" s="2" t="s">
        <v>18</v>
      </c>
      <c r="H387" s="2" t="s">
        <v>19</v>
      </c>
      <c r="I387" s="2" t="s">
        <v>41</v>
      </c>
      <c r="J387" s="4">
        <v>2</v>
      </c>
      <c r="K387" s="5">
        <v>55.9</v>
      </c>
      <c r="L387" s="6">
        <v>0</v>
      </c>
      <c r="M387" s="5">
        <v>111.8</v>
      </c>
      <c r="P387" t="str">
        <f>TEXT(Tableau2[[#This Row],[Date]],"mmmm aaaa")</f>
        <v>mai 2026</v>
      </c>
    </row>
    <row r="388" spans="1:16">
      <c r="A388" s="2" t="s">
        <v>475</v>
      </c>
      <c r="B388" s="3">
        <v>46151</v>
      </c>
      <c r="C388" s="2" t="s">
        <v>123</v>
      </c>
      <c r="D388" s="2" t="s">
        <v>53</v>
      </c>
      <c r="E388" s="2" t="s">
        <v>16</v>
      </c>
      <c r="F388" s="2" t="s">
        <v>28</v>
      </c>
      <c r="G388" s="2" t="s">
        <v>39</v>
      </c>
      <c r="H388" s="2" t="s">
        <v>40</v>
      </c>
      <c r="I388" s="2" t="s">
        <v>41</v>
      </c>
      <c r="J388" s="4">
        <v>2</v>
      </c>
      <c r="K388" s="5">
        <v>139.76</v>
      </c>
      <c r="L388" s="6">
        <v>0.1</v>
      </c>
      <c r="M388" s="5">
        <v>251.57</v>
      </c>
      <c r="P388" t="str">
        <f>TEXT(Tableau2[[#This Row],[Date]],"mmmm aaaa")</f>
        <v>mai 2026</v>
      </c>
    </row>
    <row r="389" spans="1:16">
      <c r="A389" s="2" t="s">
        <v>476</v>
      </c>
      <c r="B389" s="3">
        <v>46293</v>
      </c>
      <c r="C389" s="2" t="s">
        <v>14</v>
      </c>
      <c r="D389" s="2" t="s">
        <v>15</v>
      </c>
      <c r="E389" s="2" t="s">
        <v>43</v>
      </c>
      <c r="F389" s="2" t="s">
        <v>28</v>
      </c>
      <c r="G389" s="2" t="s">
        <v>18</v>
      </c>
      <c r="H389" s="2" t="s">
        <v>19</v>
      </c>
      <c r="I389" s="2" t="s">
        <v>45</v>
      </c>
      <c r="J389" s="4">
        <v>3</v>
      </c>
      <c r="K389" s="5">
        <v>51.1</v>
      </c>
      <c r="L389" s="6">
        <v>0.15</v>
      </c>
      <c r="M389" s="5">
        <v>130.31</v>
      </c>
      <c r="P389" t="str">
        <f>TEXT(Tableau2[[#This Row],[Date]],"mmmm aaaa")</f>
        <v>septembre 2026</v>
      </c>
    </row>
    <row r="390" spans="1:16">
      <c r="A390" s="2" t="s">
        <v>477</v>
      </c>
      <c r="B390" s="3">
        <v>46288</v>
      </c>
      <c r="C390" s="2" t="s">
        <v>156</v>
      </c>
      <c r="D390" s="2" t="s">
        <v>15</v>
      </c>
      <c r="E390" s="2" t="s">
        <v>34</v>
      </c>
      <c r="F390" s="2" t="s">
        <v>17</v>
      </c>
      <c r="G390" s="2" t="s">
        <v>18</v>
      </c>
      <c r="H390" s="2" t="s">
        <v>19</v>
      </c>
      <c r="I390" s="2" t="s">
        <v>75</v>
      </c>
      <c r="J390" s="4">
        <v>1</v>
      </c>
      <c r="K390" s="5">
        <v>51.21</v>
      </c>
      <c r="L390" s="6">
        <v>0.05</v>
      </c>
      <c r="M390" s="5">
        <v>48.65</v>
      </c>
      <c r="P390" t="str">
        <f>TEXT(Tableau2[[#This Row],[Date]],"mmmm aaaa")</f>
        <v>septembre 2026</v>
      </c>
    </row>
    <row r="391" spans="1:16">
      <c r="A391" s="2" t="s">
        <v>478</v>
      </c>
      <c r="B391" s="3">
        <v>46379</v>
      </c>
      <c r="C391" s="2" t="s">
        <v>130</v>
      </c>
      <c r="D391" s="2" t="s">
        <v>53</v>
      </c>
      <c r="E391" s="2" t="s">
        <v>34</v>
      </c>
      <c r="F391" s="2" t="s">
        <v>17</v>
      </c>
      <c r="G391" s="2" t="s">
        <v>24</v>
      </c>
      <c r="H391" s="2" t="s">
        <v>35</v>
      </c>
      <c r="I391" s="2" t="s">
        <v>45</v>
      </c>
      <c r="J391" s="4">
        <v>3</v>
      </c>
      <c r="K391" s="5">
        <v>167.97</v>
      </c>
      <c r="L391" s="6">
        <v>0</v>
      </c>
      <c r="M391" s="5">
        <v>503.91</v>
      </c>
      <c r="P391" t="str">
        <f>TEXT(Tableau2[[#This Row],[Date]],"mmmm aaaa")</f>
        <v>décembre 2026</v>
      </c>
    </row>
    <row r="392" spans="1:16">
      <c r="A392" s="2" t="s">
        <v>479</v>
      </c>
      <c r="B392" s="3">
        <v>46172</v>
      </c>
      <c r="C392" s="2" t="s">
        <v>125</v>
      </c>
      <c r="D392" s="2" t="s">
        <v>23</v>
      </c>
      <c r="E392" s="2" t="s">
        <v>34</v>
      </c>
      <c r="F392" s="2" t="s">
        <v>17</v>
      </c>
      <c r="G392" s="2" t="s">
        <v>24</v>
      </c>
      <c r="H392" s="2" t="s">
        <v>25</v>
      </c>
      <c r="I392" s="2" t="s">
        <v>26</v>
      </c>
      <c r="J392" s="4">
        <v>4</v>
      </c>
      <c r="K392" s="5">
        <v>131.80000000000001</v>
      </c>
      <c r="L392" s="6">
        <v>0.15</v>
      </c>
      <c r="M392" s="5">
        <v>448.12</v>
      </c>
      <c r="P392" t="str">
        <f>TEXT(Tableau2[[#This Row],[Date]],"mmmm aaaa")</f>
        <v>mai 2026</v>
      </c>
    </row>
    <row r="393" spans="1:16">
      <c r="A393" s="2" t="s">
        <v>480</v>
      </c>
      <c r="B393" s="3">
        <v>46188</v>
      </c>
      <c r="C393" s="2" t="s">
        <v>63</v>
      </c>
      <c r="D393" s="2" t="s">
        <v>33</v>
      </c>
      <c r="E393" s="2" t="s">
        <v>34</v>
      </c>
      <c r="F393" s="2" t="s">
        <v>28</v>
      </c>
      <c r="G393" s="2" t="s">
        <v>54</v>
      </c>
      <c r="H393" s="2" t="s">
        <v>64</v>
      </c>
      <c r="I393" s="2" t="s">
        <v>50</v>
      </c>
      <c r="J393" s="4">
        <v>1</v>
      </c>
      <c r="K393" s="5">
        <v>85.19</v>
      </c>
      <c r="L393" s="6">
        <v>0.2</v>
      </c>
      <c r="M393" s="5">
        <v>68.150000000000006</v>
      </c>
      <c r="P393" t="str">
        <f>TEXT(Tableau2[[#This Row],[Date]],"mmmm aaaa")</f>
        <v>juin 2026</v>
      </c>
    </row>
    <row r="394" spans="1:16">
      <c r="A394" s="2" t="s">
        <v>481</v>
      </c>
      <c r="B394" s="3">
        <v>46055</v>
      </c>
      <c r="C394" s="2" t="s">
        <v>106</v>
      </c>
      <c r="D394" s="2" t="s">
        <v>23</v>
      </c>
      <c r="E394" s="2" t="s">
        <v>16</v>
      </c>
      <c r="F394" s="2" t="s">
        <v>17</v>
      </c>
      <c r="G394" s="2" t="s">
        <v>24</v>
      </c>
      <c r="H394" s="2" t="s">
        <v>82</v>
      </c>
      <c r="I394" s="2" t="s">
        <v>75</v>
      </c>
      <c r="J394" s="4">
        <v>1</v>
      </c>
      <c r="K394" s="5">
        <v>316.18</v>
      </c>
      <c r="L394" s="6">
        <v>0</v>
      </c>
      <c r="M394" s="5">
        <v>316.18</v>
      </c>
      <c r="P394" t="str">
        <f>TEXT(Tableau2[[#This Row],[Date]],"mmmm aaaa")</f>
        <v>février 2026</v>
      </c>
    </row>
    <row r="395" spans="1:16">
      <c r="A395" s="2" t="s">
        <v>482</v>
      </c>
      <c r="B395" s="3">
        <v>46083</v>
      </c>
      <c r="C395" s="2" t="s">
        <v>63</v>
      </c>
      <c r="D395" s="2" t="s">
        <v>33</v>
      </c>
      <c r="E395" s="2" t="s">
        <v>34</v>
      </c>
      <c r="F395" s="2" t="s">
        <v>28</v>
      </c>
      <c r="G395" s="2" t="s">
        <v>18</v>
      </c>
      <c r="H395" s="2" t="s">
        <v>19</v>
      </c>
      <c r="I395" s="2" t="s">
        <v>36</v>
      </c>
      <c r="J395" s="4">
        <v>2</v>
      </c>
      <c r="K395" s="5">
        <v>52.53</v>
      </c>
      <c r="L395" s="6">
        <v>0</v>
      </c>
      <c r="M395" s="5">
        <v>105.06</v>
      </c>
      <c r="P395" t="str">
        <f>TEXT(Tableau2[[#This Row],[Date]],"mmmm aaaa")</f>
        <v>mars 2026</v>
      </c>
    </row>
    <row r="396" spans="1:16">
      <c r="A396" s="2" t="s">
        <v>483</v>
      </c>
      <c r="B396" s="3">
        <v>46240</v>
      </c>
      <c r="C396" s="2" t="s">
        <v>32</v>
      </c>
      <c r="D396" s="2" t="s">
        <v>33</v>
      </c>
      <c r="E396" s="2" t="s">
        <v>16</v>
      </c>
      <c r="F396" s="2" t="s">
        <v>17</v>
      </c>
      <c r="G396" s="2" t="s">
        <v>54</v>
      </c>
      <c r="H396" s="2" t="s">
        <v>102</v>
      </c>
      <c r="I396" s="2" t="s">
        <v>41</v>
      </c>
      <c r="J396" s="4">
        <v>2</v>
      </c>
      <c r="K396" s="5">
        <v>212.2</v>
      </c>
      <c r="L396" s="6">
        <v>0.05</v>
      </c>
      <c r="M396" s="5">
        <v>403.18</v>
      </c>
      <c r="P396" t="str">
        <f>TEXT(Tableau2[[#This Row],[Date]],"mmmm aaaa")</f>
        <v>août 2026</v>
      </c>
    </row>
    <row r="397" spans="1:16">
      <c r="A397" s="2" t="s">
        <v>484</v>
      </c>
      <c r="B397" s="3">
        <v>46326</v>
      </c>
      <c r="C397" s="2" t="s">
        <v>66</v>
      </c>
      <c r="D397" s="2" t="s">
        <v>23</v>
      </c>
      <c r="E397" s="2" t="s">
        <v>38</v>
      </c>
      <c r="F397" s="2" t="s">
        <v>17</v>
      </c>
      <c r="G397" s="2" t="s">
        <v>18</v>
      </c>
      <c r="H397" s="2" t="s">
        <v>136</v>
      </c>
      <c r="I397" s="2" t="s">
        <v>26</v>
      </c>
      <c r="J397" s="4">
        <v>3</v>
      </c>
      <c r="K397" s="5">
        <v>33.97</v>
      </c>
      <c r="L397" s="6">
        <v>0</v>
      </c>
      <c r="M397" s="5">
        <v>101.91</v>
      </c>
      <c r="P397" t="str">
        <f>TEXT(Tableau2[[#This Row],[Date]],"mmmm aaaa")</f>
        <v>octobre 2026</v>
      </c>
    </row>
    <row r="398" spans="1:16">
      <c r="A398" s="2" t="s">
        <v>485</v>
      </c>
      <c r="B398" s="3">
        <v>46131</v>
      </c>
      <c r="C398" s="2" t="s">
        <v>101</v>
      </c>
      <c r="D398" s="2" t="s">
        <v>33</v>
      </c>
      <c r="E398" s="2" t="s">
        <v>43</v>
      </c>
      <c r="F398" s="2" t="s">
        <v>28</v>
      </c>
      <c r="G398" s="2" t="s">
        <v>18</v>
      </c>
      <c r="H398" s="2" t="s">
        <v>158</v>
      </c>
      <c r="I398" s="2" t="s">
        <v>58</v>
      </c>
      <c r="J398" s="4">
        <v>6</v>
      </c>
      <c r="K398" s="5">
        <v>47.43</v>
      </c>
      <c r="L398" s="6">
        <v>0.05</v>
      </c>
      <c r="M398" s="5">
        <v>270.35000000000002</v>
      </c>
      <c r="P398" t="str">
        <f>TEXT(Tableau2[[#This Row],[Date]],"mmmm aaaa")</f>
        <v>avril 2026</v>
      </c>
    </row>
    <row r="399" spans="1:16">
      <c r="A399" s="2" t="s">
        <v>486</v>
      </c>
      <c r="B399" s="3">
        <v>46220</v>
      </c>
      <c r="C399" s="2" t="s">
        <v>79</v>
      </c>
      <c r="D399" s="2" t="s">
        <v>33</v>
      </c>
      <c r="E399" s="2" t="s">
        <v>16</v>
      </c>
      <c r="F399" s="2" t="s">
        <v>17</v>
      </c>
      <c r="G399" s="2" t="s">
        <v>24</v>
      </c>
      <c r="H399" s="2" t="s">
        <v>61</v>
      </c>
      <c r="I399" s="2" t="s">
        <v>36</v>
      </c>
      <c r="J399" s="4">
        <v>1</v>
      </c>
      <c r="K399" s="5">
        <v>245.79</v>
      </c>
      <c r="L399" s="6">
        <v>0</v>
      </c>
      <c r="M399" s="5">
        <v>245.79</v>
      </c>
      <c r="P399" t="str">
        <f>TEXT(Tableau2[[#This Row],[Date]],"mmmm aaaa")</f>
        <v>juillet 2026</v>
      </c>
    </row>
    <row r="400" spans="1:16">
      <c r="A400" s="2" t="s">
        <v>487</v>
      </c>
      <c r="B400" s="3">
        <v>46319</v>
      </c>
      <c r="C400" s="2" t="s">
        <v>106</v>
      </c>
      <c r="D400" s="2" t="s">
        <v>23</v>
      </c>
      <c r="E400" s="2" t="s">
        <v>34</v>
      </c>
      <c r="F400" s="2" t="s">
        <v>28</v>
      </c>
      <c r="G400" s="2" t="s">
        <v>48</v>
      </c>
      <c r="H400" s="2" t="s">
        <v>49</v>
      </c>
      <c r="I400" s="2" t="s">
        <v>58</v>
      </c>
      <c r="J400" s="4">
        <v>3</v>
      </c>
      <c r="K400" s="5">
        <v>58.18</v>
      </c>
      <c r="L400" s="6">
        <v>0</v>
      </c>
      <c r="M400" s="5">
        <v>174.54</v>
      </c>
      <c r="P400" t="str">
        <f>TEXT(Tableau2[[#This Row],[Date]],"mmmm aaaa")</f>
        <v>octobre 2026</v>
      </c>
    </row>
    <row r="401" spans="1:16">
      <c r="A401" s="2" t="s">
        <v>488</v>
      </c>
      <c r="B401" s="3">
        <v>46251</v>
      </c>
      <c r="C401" s="2" t="s">
        <v>134</v>
      </c>
      <c r="D401" s="2" t="s">
        <v>15</v>
      </c>
      <c r="E401" s="2" t="s">
        <v>16</v>
      </c>
      <c r="F401" s="2" t="s">
        <v>17</v>
      </c>
      <c r="G401" s="2" t="s">
        <v>54</v>
      </c>
      <c r="H401" s="2" t="s">
        <v>64</v>
      </c>
      <c r="I401" s="2" t="s">
        <v>50</v>
      </c>
      <c r="J401" s="4">
        <v>2</v>
      </c>
      <c r="K401" s="5">
        <v>95.48</v>
      </c>
      <c r="L401" s="6">
        <v>0.1</v>
      </c>
      <c r="M401" s="5">
        <v>171.86</v>
      </c>
      <c r="P401" t="str">
        <f>TEXT(Tableau2[[#This Row],[Date]],"mmmm aaaa")</f>
        <v>août 2026</v>
      </c>
    </row>
    <row r="402" spans="1:16">
      <c r="A402" s="2" t="s">
        <v>489</v>
      </c>
      <c r="B402" s="3">
        <v>46247</v>
      </c>
      <c r="C402" s="2" t="s">
        <v>101</v>
      </c>
      <c r="D402" s="2" t="s">
        <v>33</v>
      </c>
      <c r="E402" s="2" t="s">
        <v>38</v>
      </c>
      <c r="F402" s="2" t="s">
        <v>17</v>
      </c>
      <c r="G402" s="2" t="s">
        <v>54</v>
      </c>
      <c r="H402" s="2" t="s">
        <v>64</v>
      </c>
      <c r="I402" s="2" t="s">
        <v>36</v>
      </c>
      <c r="J402" s="4">
        <v>2</v>
      </c>
      <c r="K402" s="5">
        <v>82.85</v>
      </c>
      <c r="L402" s="6">
        <v>0</v>
      </c>
      <c r="M402" s="5">
        <v>165.7</v>
      </c>
      <c r="P402" t="str">
        <f>TEXT(Tableau2[[#This Row],[Date]],"mmmm aaaa")</f>
        <v>août 2026</v>
      </c>
    </row>
    <row r="403" spans="1:16">
      <c r="A403" s="2" t="s">
        <v>490</v>
      </c>
      <c r="B403" s="3">
        <v>46364</v>
      </c>
      <c r="C403" s="2" t="s">
        <v>92</v>
      </c>
      <c r="D403" s="2" t="s">
        <v>53</v>
      </c>
      <c r="E403" s="2" t="s">
        <v>43</v>
      </c>
      <c r="F403" s="2" t="s">
        <v>28</v>
      </c>
      <c r="G403" s="2" t="s">
        <v>54</v>
      </c>
      <c r="H403" s="2" t="s">
        <v>55</v>
      </c>
      <c r="I403" s="2" t="s">
        <v>36</v>
      </c>
      <c r="J403" s="4">
        <v>7</v>
      </c>
      <c r="K403" s="5">
        <v>162.18</v>
      </c>
      <c r="L403" s="6">
        <v>0</v>
      </c>
      <c r="M403" s="5">
        <v>1135.26</v>
      </c>
      <c r="P403" t="str">
        <f>TEXT(Tableau2[[#This Row],[Date]],"mmmm aaaa")</f>
        <v>décembre 2026</v>
      </c>
    </row>
    <row r="404" spans="1:16">
      <c r="A404" s="2" t="s">
        <v>491</v>
      </c>
      <c r="B404" s="3">
        <v>46191</v>
      </c>
      <c r="C404" s="2" t="s">
        <v>47</v>
      </c>
      <c r="D404" s="2" t="s">
        <v>15</v>
      </c>
      <c r="E404" s="2" t="s">
        <v>34</v>
      </c>
      <c r="F404" s="2" t="s">
        <v>17</v>
      </c>
      <c r="G404" s="2" t="s">
        <v>29</v>
      </c>
      <c r="H404" s="2" t="s">
        <v>44</v>
      </c>
      <c r="I404" s="2" t="s">
        <v>45</v>
      </c>
      <c r="J404" s="4">
        <v>1</v>
      </c>
      <c r="K404" s="5">
        <v>35.49</v>
      </c>
      <c r="L404" s="6">
        <v>0.15</v>
      </c>
      <c r="M404" s="5">
        <v>30.17</v>
      </c>
      <c r="P404" t="str">
        <f>TEXT(Tableau2[[#This Row],[Date]],"mmmm aaaa")</f>
        <v>juin 2026</v>
      </c>
    </row>
    <row r="405" spans="1:16">
      <c r="A405" s="2" t="s">
        <v>492</v>
      </c>
      <c r="B405" s="3">
        <v>46166</v>
      </c>
      <c r="C405" s="2" t="s">
        <v>156</v>
      </c>
      <c r="D405" s="2" t="s">
        <v>15</v>
      </c>
      <c r="E405" s="2" t="s">
        <v>34</v>
      </c>
      <c r="F405" s="2" t="s">
        <v>17</v>
      </c>
      <c r="G405" s="2" t="s">
        <v>54</v>
      </c>
      <c r="H405" s="2" t="s">
        <v>102</v>
      </c>
      <c r="I405" s="2" t="s">
        <v>75</v>
      </c>
      <c r="J405" s="4">
        <v>1</v>
      </c>
      <c r="K405" s="5">
        <v>203.33</v>
      </c>
      <c r="L405" s="6">
        <v>0.05</v>
      </c>
      <c r="M405" s="5">
        <v>193.16</v>
      </c>
      <c r="P405" t="str">
        <f>TEXT(Tableau2[[#This Row],[Date]],"mmmm aaaa")</f>
        <v>mai 2026</v>
      </c>
    </row>
    <row r="406" spans="1:16">
      <c r="A406" s="2" t="s">
        <v>493</v>
      </c>
      <c r="B406" s="3">
        <v>46271</v>
      </c>
      <c r="C406" s="2" t="s">
        <v>130</v>
      </c>
      <c r="D406" s="2" t="s">
        <v>53</v>
      </c>
      <c r="E406" s="2" t="s">
        <v>34</v>
      </c>
      <c r="F406" s="2" t="s">
        <v>17</v>
      </c>
      <c r="G406" s="2" t="s">
        <v>39</v>
      </c>
      <c r="H406" s="2" t="s">
        <v>95</v>
      </c>
      <c r="I406" s="2" t="s">
        <v>41</v>
      </c>
      <c r="J406" s="4">
        <v>3</v>
      </c>
      <c r="K406" s="5">
        <v>95.73</v>
      </c>
      <c r="L406" s="6">
        <v>0.05</v>
      </c>
      <c r="M406" s="5">
        <v>272.83</v>
      </c>
      <c r="P406" t="str">
        <f>TEXT(Tableau2[[#This Row],[Date]],"mmmm aaaa")</f>
        <v>septembre 2026</v>
      </c>
    </row>
    <row r="407" spans="1:16">
      <c r="A407" s="2" t="s">
        <v>494</v>
      </c>
      <c r="B407" s="3">
        <v>46119</v>
      </c>
      <c r="C407" s="2" t="s">
        <v>151</v>
      </c>
      <c r="D407" s="2" t="s">
        <v>15</v>
      </c>
      <c r="E407" s="2" t="s">
        <v>16</v>
      </c>
      <c r="F407" s="2" t="s">
        <v>17</v>
      </c>
      <c r="G407" s="2" t="s">
        <v>54</v>
      </c>
      <c r="H407" s="2" t="s">
        <v>64</v>
      </c>
      <c r="I407" s="2" t="s">
        <v>50</v>
      </c>
      <c r="J407" s="4">
        <v>4</v>
      </c>
      <c r="K407" s="5">
        <v>86.96</v>
      </c>
      <c r="L407" s="6">
        <v>0</v>
      </c>
      <c r="M407" s="5">
        <v>347.84</v>
      </c>
      <c r="P407" t="str">
        <f>TEXT(Tableau2[[#This Row],[Date]],"mmmm aaaa")</f>
        <v>avril 2026</v>
      </c>
    </row>
    <row r="408" spans="1:16">
      <c r="A408" s="2" t="s">
        <v>495</v>
      </c>
      <c r="B408" s="3">
        <v>46169</v>
      </c>
      <c r="C408" s="2" t="s">
        <v>14</v>
      </c>
      <c r="D408" s="2" t="s">
        <v>15</v>
      </c>
      <c r="E408" s="2" t="s">
        <v>16</v>
      </c>
      <c r="F408" s="2" t="s">
        <v>28</v>
      </c>
      <c r="G408" s="2" t="s">
        <v>24</v>
      </c>
      <c r="H408" s="2" t="s">
        <v>25</v>
      </c>
      <c r="I408" s="2" t="s">
        <v>41</v>
      </c>
      <c r="J408" s="4">
        <v>3</v>
      </c>
      <c r="K408" s="5">
        <v>126.1</v>
      </c>
      <c r="L408" s="6">
        <v>0</v>
      </c>
      <c r="M408" s="5">
        <v>378.3</v>
      </c>
      <c r="P408" t="str">
        <f>TEXT(Tableau2[[#This Row],[Date]],"mmmm aaaa")</f>
        <v>mai 2026</v>
      </c>
    </row>
    <row r="409" spans="1:16">
      <c r="A409" s="2" t="s">
        <v>496</v>
      </c>
      <c r="B409" s="3">
        <v>46154</v>
      </c>
      <c r="C409" s="2" t="s">
        <v>22</v>
      </c>
      <c r="D409" s="2" t="s">
        <v>23</v>
      </c>
      <c r="E409" s="2" t="s">
        <v>38</v>
      </c>
      <c r="F409" s="2" t="s">
        <v>17</v>
      </c>
      <c r="G409" s="2" t="s">
        <v>18</v>
      </c>
      <c r="H409" s="2" t="s">
        <v>143</v>
      </c>
      <c r="I409" s="2" t="s">
        <v>58</v>
      </c>
      <c r="J409" s="4">
        <v>2</v>
      </c>
      <c r="K409" s="5">
        <v>67.77</v>
      </c>
      <c r="L409" s="6">
        <v>0</v>
      </c>
      <c r="M409" s="5">
        <v>135.54</v>
      </c>
      <c r="P409" t="str">
        <f>TEXT(Tableau2[[#This Row],[Date]],"mmmm aaaa")</f>
        <v>mai 2026</v>
      </c>
    </row>
    <row r="410" spans="1:16">
      <c r="A410" s="2" t="s">
        <v>497</v>
      </c>
      <c r="B410" s="3">
        <v>46323</v>
      </c>
      <c r="C410" s="2" t="s">
        <v>66</v>
      </c>
      <c r="D410" s="2" t="s">
        <v>23</v>
      </c>
      <c r="E410" s="2" t="s">
        <v>16</v>
      </c>
      <c r="F410" s="2" t="s">
        <v>17</v>
      </c>
      <c r="G410" s="2" t="s">
        <v>24</v>
      </c>
      <c r="H410" s="2" t="s">
        <v>35</v>
      </c>
      <c r="I410" s="2" t="s">
        <v>75</v>
      </c>
      <c r="J410" s="4">
        <v>6</v>
      </c>
      <c r="K410" s="5">
        <v>171.06</v>
      </c>
      <c r="L410" s="6">
        <v>0</v>
      </c>
      <c r="M410" s="5">
        <v>1026.3599999999999</v>
      </c>
      <c r="P410" t="str">
        <f>TEXT(Tableau2[[#This Row],[Date]],"mmmm aaaa")</f>
        <v>octobre 2026</v>
      </c>
    </row>
    <row r="411" spans="1:16">
      <c r="A411" s="2" t="s">
        <v>498</v>
      </c>
      <c r="B411" s="3">
        <v>46148</v>
      </c>
      <c r="C411" s="2" t="s">
        <v>169</v>
      </c>
      <c r="D411" s="2" t="s">
        <v>33</v>
      </c>
      <c r="E411" s="2" t="s">
        <v>16</v>
      </c>
      <c r="F411" s="2" t="s">
        <v>28</v>
      </c>
      <c r="G411" s="2" t="s">
        <v>39</v>
      </c>
      <c r="H411" s="2" t="s">
        <v>95</v>
      </c>
      <c r="I411" s="2" t="s">
        <v>20</v>
      </c>
      <c r="J411" s="4">
        <v>1</v>
      </c>
      <c r="K411" s="5">
        <v>90.46</v>
      </c>
      <c r="L411" s="6">
        <v>0</v>
      </c>
      <c r="M411" s="5">
        <v>90.46</v>
      </c>
      <c r="P411" t="str">
        <f>TEXT(Tableau2[[#This Row],[Date]],"mmmm aaaa")</f>
        <v>mai 2026</v>
      </c>
    </row>
    <row r="412" spans="1:16">
      <c r="A412" s="2" t="s">
        <v>499</v>
      </c>
      <c r="B412" s="3">
        <v>46256</v>
      </c>
      <c r="C412" s="2" t="s">
        <v>116</v>
      </c>
      <c r="D412" s="2" t="s">
        <v>15</v>
      </c>
      <c r="E412" s="2" t="s">
        <v>16</v>
      </c>
      <c r="F412" s="2" t="s">
        <v>28</v>
      </c>
      <c r="G412" s="2" t="s">
        <v>29</v>
      </c>
      <c r="H412" s="2" t="s">
        <v>99</v>
      </c>
      <c r="I412" s="2" t="s">
        <v>26</v>
      </c>
      <c r="J412" s="4">
        <v>2</v>
      </c>
      <c r="K412" s="5">
        <v>57.51</v>
      </c>
      <c r="L412" s="6">
        <v>0.1</v>
      </c>
      <c r="M412" s="5">
        <v>103.52</v>
      </c>
      <c r="P412" t="str">
        <f>TEXT(Tableau2[[#This Row],[Date]],"mmmm aaaa")</f>
        <v>août 2026</v>
      </c>
    </row>
    <row r="413" spans="1:16">
      <c r="A413" s="2" t="s">
        <v>500</v>
      </c>
      <c r="B413" s="3">
        <v>46255</v>
      </c>
      <c r="C413" s="2" t="s">
        <v>14</v>
      </c>
      <c r="D413" s="2" t="s">
        <v>15</v>
      </c>
      <c r="E413" s="2" t="s">
        <v>43</v>
      </c>
      <c r="F413" s="2" t="s">
        <v>28</v>
      </c>
      <c r="G413" s="2" t="s">
        <v>48</v>
      </c>
      <c r="H413" s="2" t="s">
        <v>88</v>
      </c>
      <c r="I413" s="2" t="s">
        <v>20</v>
      </c>
      <c r="J413" s="4">
        <v>5</v>
      </c>
      <c r="K413" s="5">
        <v>78.489999999999995</v>
      </c>
      <c r="L413" s="6">
        <v>0.15</v>
      </c>
      <c r="M413" s="5">
        <v>333.58</v>
      </c>
      <c r="P413" t="str">
        <f>TEXT(Tableau2[[#This Row],[Date]],"mmmm aaaa")</f>
        <v>août 2026</v>
      </c>
    </row>
    <row r="414" spans="1:16">
      <c r="A414" s="2" t="s">
        <v>501</v>
      </c>
      <c r="B414" s="3">
        <v>46292</v>
      </c>
      <c r="C414" s="2" t="s">
        <v>130</v>
      </c>
      <c r="D414" s="2" t="s">
        <v>53</v>
      </c>
      <c r="E414" s="2" t="s">
        <v>43</v>
      </c>
      <c r="F414" s="2" t="s">
        <v>17</v>
      </c>
      <c r="G414" s="2" t="s">
        <v>48</v>
      </c>
      <c r="H414" s="2" t="s">
        <v>88</v>
      </c>
      <c r="I414" s="2" t="s">
        <v>58</v>
      </c>
      <c r="J414" s="4">
        <v>2</v>
      </c>
      <c r="K414" s="5">
        <v>70.67</v>
      </c>
      <c r="L414" s="6">
        <v>0</v>
      </c>
      <c r="M414" s="5">
        <v>141.34</v>
      </c>
      <c r="P414" t="str">
        <f>TEXT(Tableau2[[#This Row],[Date]],"mmmm aaaa")</f>
        <v>septembre 2026</v>
      </c>
    </row>
    <row r="415" spans="1:16">
      <c r="A415" s="2" t="s">
        <v>502</v>
      </c>
      <c r="B415" s="3">
        <v>46315</v>
      </c>
      <c r="C415" s="2" t="s">
        <v>63</v>
      </c>
      <c r="D415" s="2" t="s">
        <v>33</v>
      </c>
      <c r="E415" s="2" t="s">
        <v>43</v>
      </c>
      <c r="F415" s="2" t="s">
        <v>28</v>
      </c>
      <c r="G415" s="2" t="s">
        <v>48</v>
      </c>
      <c r="H415" s="2" t="s">
        <v>84</v>
      </c>
      <c r="I415" s="2" t="s">
        <v>50</v>
      </c>
      <c r="J415" s="4">
        <v>1</v>
      </c>
      <c r="K415" s="5">
        <v>93.3</v>
      </c>
      <c r="L415" s="6">
        <v>0.1</v>
      </c>
      <c r="M415" s="5">
        <v>83.97</v>
      </c>
      <c r="P415" t="str">
        <f>TEXT(Tableau2[[#This Row],[Date]],"mmmm aaaa")</f>
        <v>octobre 2026</v>
      </c>
    </row>
    <row r="416" spans="1:16">
      <c r="A416" s="2" t="s">
        <v>503</v>
      </c>
      <c r="B416" s="3">
        <v>46171</v>
      </c>
      <c r="C416" s="2" t="s">
        <v>86</v>
      </c>
      <c r="D416" s="2" t="s">
        <v>53</v>
      </c>
      <c r="E416" s="2" t="s">
        <v>43</v>
      </c>
      <c r="F416" s="2" t="s">
        <v>17</v>
      </c>
      <c r="G416" s="2" t="s">
        <v>18</v>
      </c>
      <c r="H416" s="2" t="s">
        <v>136</v>
      </c>
      <c r="I416" s="2" t="s">
        <v>50</v>
      </c>
      <c r="J416" s="4">
        <v>1</v>
      </c>
      <c r="K416" s="5">
        <v>34.21</v>
      </c>
      <c r="L416" s="6">
        <v>0</v>
      </c>
      <c r="M416" s="5">
        <v>34.21</v>
      </c>
      <c r="P416" t="str">
        <f>TEXT(Tableau2[[#This Row],[Date]],"mmmm aaaa")</f>
        <v>mai 2026</v>
      </c>
    </row>
    <row r="417" spans="1:16">
      <c r="A417" s="2" t="s">
        <v>504</v>
      </c>
      <c r="B417" s="3">
        <v>46313</v>
      </c>
      <c r="C417" s="2" t="s">
        <v>178</v>
      </c>
      <c r="D417" s="2" t="s">
        <v>15</v>
      </c>
      <c r="E417" s="2" t="s">
        <v>16</v>
      </c>
      <c r="F417" s="2" t="s">
        <v>28</v>
      </c>
      <c r="G417" s="2" t="s">
        <v>39</v>
      </c>
      <c r="H417" s="2" t="s">
        <v>40</v>
      </c>
      <c r="I417" s="2" t="s">
        <v>45</v>
      </c>
      <c r="J417" s="4">
        <v>4</v>
      </c>
      <c r="K417" s="5">
        <v>142.81</v>
      </c>
      <c r="L417" s="6">
        <v>0</v>
      </c>
      <c r="M417" s="5">
        <v>571.24</v>
      </c>
      <c r="P417" t="str">
        <f>TEXT(Tableau2[[#This Row],[Date]],"mmmm aaaa")</f>
        <v>octobre 2026</v>
      </c>
    </row>
    <row r="418" spans="1:16">
      <c r="A418" s="2" t="s">
        <v>505</v>
      </c>
      <c r="B418" s="3">
        <v>46230</v>
      </c>
      <c r="C418" s="2" t="s">
        <v>22</v>
      </c>
      <c r="D418" s="2" t="s">
        <v>23</v>
      </c>
      <c r="E418" s="2" t="s">
        <v>34</v>
      </c>
      <c r="F418" s="2" t="s">
        <v>17</v>
      </c>
      <c r="G418" s="2" t="s">
        <v>48</v>
      </c>
      <c r="H418" s="2" t="s">
        <v>49</v>
      </c>
      <c r="I418" s="2" t="s">
        <v>75</v>
      </c>
      <c r="J418" s="4">
        <v>1</v>
      </c>
      <c r="K418" s="5">
        <v>56.09</v>
      </c>
      <c r="L418" s="6">
        <v>0.2</v>
      </c>
      <c r="M418" s="5">
        <v>44.87</v>
      </c>
      <c r="P418" t="str">
        <f>TEXT(Tableau2[[#This Row],[Date]],"mmmm aaaa")</f>
        <v>juillet 2026</v>
      </c>
    </row>
    <row r="419" spans="1:16">
      <c r="A419" s="2" t="s">
        <v>506</v>
      </c>
      <c r="B419" s="3">
        <v>46244</v>
      </c>
      <c r="C419" s="2" t="s">
        <v>116</v>
      </c>
      <c r="D419" s="2" t="s">
        <v>15</v>
      </c>
      <c r="E419" s="2" t="s">
        <v>34</v>
      </c>
      <c r="F419" s="2" t="s">
        <v>28</v>
      </c>
      <c r="G419" s="2" t="s">
        <v>48</v>
      </c>
      <c r="H419" s="2" t="s">
        <v>88</v>
      </c>
      <c r="I419" s="2" t="s">
        <v>58</v>
      </c>
      <c r="J419" s="4">
        <v>14</v>
      </c>
      <c r="K419" s="5">
        <v>80.92</v>
      </c>
      <c r="L419" s="6">
        <v>0</v>
      </c>
      <c r="M419" s="5">
        <v>1132.8800000000001</v>
      </c>
      <c r="P419" t="str">
        <f>TEXT(Tableau2[[#This Row],[Date]],"mmmm aaaa")</f>
        <v>août 2026</v>
      </c>
    </row>
    <row r="420" spans="1:16">
      <c r="A420" s="2" t="s">
        <v>507</v>
      </c>
      <c r="B420" s="3">
        <v>46101</v>
      </c>
      <c r="C420" s="2" t="s">
        <v>63</v>
      </c>
      <c r="D420" s="2" t="s">
        <v>33</v>
      </c>
      <c r="E420" s="2" t="s">
        <v>34</v>
      </c>
      <c r="F420" s="2" t="s">
        <v>28</v>
      </c>
      <c r="G420" s="2" t="s">
        <v>18</v>
      </c>
      <c r="H420" s="2" t="s">
        <v>143</v>
      </c>
      <c r="I420" s="2" t="s">
        <v>50</v>
      </c>
      <c r="J420" s="4">
        <v>4</v>
      </c>
      <c r="K420" s="5">
        <v>71.87</v>
      </c>
      <c r="L420" s="6">
        <v>0</v>
      </c>
      <c r="M420" s="5">
        <v>287.48</v>
      </c>
      <c r="P420" t="str">
        <f>TEXT(Tableau2[[#This Row],[Date]],"mmmm aaaa")</f>
        <v>mars 2026</v>
      </c>
    </row>
    <row r="421" spans="1:16">
      <c r="A421" s="2" t="s">
        <v>508</v>
      </c>
      <c r="B421" s="3">
        <v>46121</v>
      </c>
      <c r="C421" s="2" t="s">
        <v>14</v>
      </c>
      <c r="D421" s="2" t="s">
        <v>15</v>
      </c>
      <c r="E421" s="2" t="s">
        <v>16</v>
      </c>
      <c r="F421" s="2" t="s">
        <v>17</v>
      </c>
      <c r="G421" s="2" t="s">
        <v>54</v>
      </c>
      <c r="H421" s="2" t="s">
        <v>102</v>
      </c>
      <c r="I421" s="2" t="s">
        <v>26</v>
      </c>
      <c r="J421" s="4">
        <v>2</v>
      </c>
      <c r="K421" s="5">
        <v>232.09</v>
      </c>
      <c r="L421" s="6">
        <v>0</v>
      </c>
      <c r="M421" s="5">
        <v>464.18</v>
      </c>
      <c r="P421" t="str">
        <f>TEXT(Tableau2[[#This Row],[Date]],"mmmm aaaa")</f>
        <v>avril 2026</v>
      </c>
    </row>
    <row r="422" spans="1:16">
      <c r="A422" s="2" t="s">
        <v>509</v>
      </c>
      <c r="B422" s="3">
        <v>46056</v>
      </c>
      <c r="C422" s="2" t="s">
        <v>57</v>
      </c>
      <c r="D422" s="2" t="s">
        <v>15</v>
      </c>
      <c r="E422" s="2" t="s">
        <v>43</v>
      </c>
      <c r="F422" s="2" t="s">
        <v>17</v>
      </c>
      <c r="G422" s="2" t="s">
        <v>39</v>
      </c>
      <c r="H422" s="2" t="s">
        <v>95</v>
      </c>
      <c r="I422" s="2" t="s">
        <v>41</v>
      </c>
      <c r="J422" s="4">
        <v>2</v>
      </c>
      <c r="K422" s="5">
        <v>103.55</v>
      </c>
      <c r="L422" s="6">
        <v>0.2</v>
      </c>
      <c r="M422" s="5">
        <v>165.68</v>
      </c>
      <c r="P422" t="str">
        <f>TEXT(Tableau2[[#This Row],[Date]],"mmmm aaaa")</f>
        <v>février 2026</v>
      </c>
    </row>
    <row r="423" spans="1:16">
      <c r="A423" s="2" t="s">
        <v>510</v>
      </c>
      <c r="B423" s="3">
        <v>46264</v>
      </c>
      <c r="C423" s="2" t="s">
        <v>134</v>
      </c>
      <c r="D423" s="2" t="s">
        <v>15</v>
      </c>
      <c r="E423" s="2" t="s">
        <v>34</v>
      </c>
      <c r="F423" s="2" t="s">
        <v>17</v>
      </c>
      <c r="G423" s="2" t="s">
        <v>54</v>
      </c>
      <c r="H423" s="2" t="s">
        <v>55</v>
      </c>
      <c r="I423" s="2" t="s">
        <v>75</v>
      </c>
      <c r="J423" s="4">
        <v>3</v>
      </c>
      <c r="K423" s="5">
        <v>155.05000000000001</v>
      </c>
      <c r="L423" s="6">
        <v>0</v>
      </c>
      <c r="M423" s="5">
        <v>465.15</v>
      </c>
      <c r="P423" t="str">
        <f>TEXT(Tableau2[[#This Row],[Date]],"mmmm aaaa")</f>
        <v>août 2026</v>
      </c>
    </row>
    <row r="424" spans="1:16">
      <c r="A424" s="2" t="s">
        <v>511</v>
      </c>
      <c r="B424" s="3">
        <v>46112</v>
      </c>
      <c r="C424" s="2" t="s">
        <v>169</v>
      </c>
      <c r="D424" s="2" t="s">
        <v>33</v>
      </c>
      <c r="E424" s="2" t="s">
        <v>16</v>
      </c>
      <c r="F424" s="2" t="s">
        <v>17</v>
      </c>
      <c r="G424" s="2" t="s">
        <v>39</v>
      </c>
      <c r="H424" s="2" t="s">
        <v>40</v>
      </c>
      <c r="I424" s="2" t="s">
        <v>75</v>
      </c>
      <c r="J424" s="4">
        <v>1</v>
      </c>
      <c r="K424" s="5">
        <v>135.55000000000001</v>
      </c>
      <c r="L424" s="6">
        <v>0.15</v>
      </c>
      <c r="M424" s="5">
        <v>115.22</v>
      </c>
      <c r="P424" t="str">
        <f>TEXT(Tableau2[[#This Row],[Date]],"mmmm aaaa")</f>
        <v>mars 2026</v>
      </c>
    </row>
    <row r="425" spans="1:16">
      <c r="A425" s="2" t="s">
        <v>512</v>
      </c>
      <c r="B425" s="3">
        <v>46275</v>
      </c>
      <c r="C425" s="2" t="s">
        <v>134</v>
      </c>
      <c r="D425" s="2" t="s">
        <v>15</v>
      </c>
      <c r="E425" s="2" t="s">
        <v>43</v>
      </c>
      <c r="F425" s="2" t="s">
        <v>28</v>
      </c>
      <c r="G425" s="2" t="s">
        <v>54</v>
      </c>
      <c r="H425" s="2" t="s">
        <v>55</v>
      </c>
      <c r="I425" s="2" t="s">
        <v>75</v>
      </c>
      <c r="J425" s="4">
        <v>1</v>
      </c>
      <c r="K425" s="5">
        <v>170.13</v>
      </c>
      <c r="L425" s="6">
        <v>0.05</v>
      </c>
      <c r="M425" s="5">
        <v>161.62</v>
      </c>
      <c r="P425" t="str">
        <f>TEXT(Tableau2[[#This Row],[Date]],"mmmm aaaa")</f>
        <v>septembre 2026</v>
      </c>
    </row>
    <row r="426" spans="1:16">
      <c r="A426" s="2" t="s">
        <v>513</v>
      </c>
      <c r="B426" s="3">
        <v>46377</v>
      </c>
      <c r="C426" s="2" t="s">
        <v>14</v>
      </c>
      <c r="D426" s="2" t="s">
        <v>15</v>
      </c>
      <c r="E426" s="2" t="s">
        <v>16</v>
      </c>
      <c r="F426" s="2" t="s">
        <v>17</v>
      </c>
      <c r="G426" s="2" t="s">
        <v>54</v>
      </c>
      <c r="H426" s="2" t="s">
        <v>64</v>
      </c>
      <c r="I426" s="2" t="s">
        <v>41</v>
      </c>
      <c r="J426" s="4">
        <v>1</v>
      </c>
      <c r="K426" s="5">
        <v>83.6</v>
      </c>
      <c r="L426" s="6">
        <v>0.1</v>
      </c>
      <c r="M426" s="5">
        <v>75.239999999999995</v>
      </c>
      <c r="P426" t="str">
        <f>TEXT(Tableau2[[#This Row],[Date]],"mmmm aaaa")</f>
        <v>décembre 2026</v>
      </c>
    </row>
    <row r="427" spans="1:16">
      <c r="A427" s="2" t="s">
        <v>514</v>
      </c>
      <c r="B427" s="3">
        <v>46316</v>
      </c>
      <c r="C427" s="2" t="s">
        <v>22</v>
      </c>
      <c r="D427" s="2" t="s">
        <v>23</v>
      </c>
      <c r="E427" s="2" t="s">
        <v>16</v>
      </c>
      <c r="F427" s="2" t="s">
        <v>28</v>
      </c>
      <c r="G427" s="2" t="s">
        <v>24</v>
      </c>
      <c r="H427" s="2" t="s">
        <v>25</v>
      </c>
      <c r="I427" s="2" t="s">
        <v>50</v>
      </c>
      <c r="J427" s="4">
        <v>3</v>
      </c>
      <c r="K427" s="5">
        <v>120.28</v>
      </c>
      <c r="L427" s="6">
        <v>0</v>
      </c>
      <c r="M427" s="5">
        <v>360.84</v>
      </c>
      <c r="P427" t="str">
        <f>TEXT(Tableau2[[#This Row],[Date]],"mmmm aaaa")</f>
        <v>octobre 2026</v>
      </c>
    </row>
    <row r="428" spans="1:16">
      <c r="A428" s="2" t="s">
        <v>515</v>
      </c>
      <c r="B428" s="3">
        <v>46264</v>
      </c>
      <c r="C428" s="2" t="s">
        <v>32</v>
      </c>
      <c r="D428" s="2" t="s">
        <v>33</v>
      </c>
      <c r="E428" s="2" t="s">
        <v>16</v>
      </c>
      <c r="F428" s="2" t="s">
        <v>17</v>
      </c>
      <c r="G428" s="2" t="s">
        <v>24</v>
      </c>
      <c r="H428" s="2" t="s">
        <v>35</v>
      </c>
      <c r="I428" s="2" t="s">
        <v>26</v>
      </c>
      <c r="J428" s="4">
        <v>1</v>
      </c>
      <c r="K428" s="5">
        <v>155.41999999999999</v>
      </c>
      <c r="L428" s="6">
        <v>0</v>
      </c>
      <c r="M428" s="5">
        <v>155.41999999999999</v>
      </c>
      <c r="P428" t="str">
        <f>TEXT(Tableau2[[#This Row],[Date]],"mmmm aaaa")</f>
        <v>août 2026</v>
      </c>
    </row>
    <row r="429" spans="1:16">
      <c r="A429" s="2" t="s">
        <v>516</v>
      </c>
      <c r="B429" s="3">
        <v>46215</v>
      </c>
      <c r="C429" s="2" t="s">
        <v>125</v>
      </c>
      <c r="D429" s="2" t="s">
        <v>23</v>
      </c>
      <c r="E429" s="2" t="s">
        <v>34</v>
      </c>
      <c r="F429" s="2" t="s">
        <v>17</v>
      </c>
      <c r="G429" s="2" t="s">
        <v>18</v>
      </c>
      <c r="H429" s="2" t="s">
        <v>143</v>
      </c>
      <c r="I429" s="2" t="s">
        <v>50</v>
      </c>
      <c r="J429" s="4">
        <v>1</v>
      </c>
      <c r="K429" s="5">
        <v>67.94</v>
      </c>
      <c r="L429" s="6">
        <v>0</v>
      </c>
      <c r="M429" s="5">
        <v>67.94</v>
      </c>
      <c r="P429" t="str">
        <f>TEXT(Tableau2[[#This Row],[Date]],"mmmm aaaa")</f>
        <v>juillet 2026</v>
      </c>
    </row>
    <row r="430" spans="1:16">
      <c r="A430" s="2" t="s">
        <v>517</v>
      </c>
      <c r="B430" s="3">
        <v>46369</v>
      </c>
      <c r="C430" s="2" t="s">
        <v>57</v>
      </c>
      <c r="D430" s="2" t="s">
        <v>15</v>
      </c>
      <c r="E430" s="2" t="s">
        <v>16</v>
      </c>
      <c r="F430" s="2" t="s">
        <v>17</v>
      </c>
      <c r="G430" s="2" t="s">
        <v>48</v>
      </c>
      <c r="H430" s="2" t="s">
        <v>77</v>
      </c>
      <c r="I430" s="2" t="s">
        <v>41</v>
      </c>
      <c r="J430" s="4">
        <v>2</v>
      </c>
      <c r="K430" s="5">
        <v>86.45</v>
      </c>
      <c r="L430" s="6">
        <v>0</v>
      </c>
      <c r="M430" s="5">
        <v>172.9</v>
      </c>
      <c r="P430" t="str">
        <f>TEXT(Tableau2[[#This Row],[Date]],"mmmm aaaa")</f>
        <v>décembre 2026</v>
      </c>
    </row>
    <row r="431" spans="1:16">
      <c r="A431" s="2" t="s">
        <v>518</v>
      </c>
      <c r="B431" s="3">
        <v>46089</v>
      </c>
      <c r="C431" s="2" t="s">
        <v>14</v>
      </c>
      <c r="D431" s="2" t="s">
        <v>15</v>
      </c>
      <c r="E431" s="2" t="s">
        <v>34</v>
      </c>
      <c r="F431" s="2" t="s">
        <v>17</v>
      </c>
      <c r="G431" s="2" t="s">
        <v>54</v>
      </c>
      <c r="H431" s="2" t="s">
        <v>102</v>
      </c>
      <c r="I431" s="2" t="s">
        <v>26</v>
      </c>
      <c r="J431" s="4">
        <v>10</v>
      </c>
      <c r="K431" s="5">
        <v>215.2</v>
      </c>
      <c r="L431" s="6">
        <v>0</v>
      </c>
      <c r="M431" s="5">
        <v>2152</v>
      </c>
      <c r="P431" t="str">
        <f>TEXT(Tableau2[[#This Row],[Date]],"mmmm aaaa")</f>
        <v>mars 2026</v>
      </c>
    </row>
    <row r="432" spans="1:16">
      <c r="A432" s="2" t="s">
        <v>519</v>
      </c>
      <c r="B432" s="3">
        <v>46051</v>
      </c>
      <c r="C432" s="2" t="s">
        <v>130</v>
      </c>
      <c r="D432" s="2" t="s">
        <v>53</v>
      </c>
      <c r="E432" s="2" t="s">
        <v>16</v>
      </c>
      <c r="F432" s="2" t="s">
        <v>28</v>
      </c>
      <c r="G432" s="2" t="s">
        <v>18</v>
      </c>
      <c r="H432" s="2" t="s">
        <v>158</v>
      </c>
      <c r="I432" s="2" t="s">
        <v>50</v>
      </c>
      <c r="J432" s="4">
        <v>4</v>
      </c>
      <c r="K432" s="5">
        <v>46.39</v>
      </c>
      <c r="L432" s="6">
        <v>0</v>
      </c>
      <c r="M432" s="5">
        <v>185.56</v>
      </c>
      <c r="P432" t="str">
        <f>TEXT(Tableau2[[#This Row],[Date]],"mmmm aaaa")</f>
        <v>janvier 2026</v>
      </c>
    </row>
    <row r="433" spans="1:16">
      <c r="A433" s="2" t="s">
        <v>520</v>
      </c>
      <c r="B433" s="3">
        <v>46121</v>
      </c>
      <c r="C433" s="2" t="s">
        <v>14</v>
      </c>
      <c r="D433" s="2" t="s">
        <v>15</v>
      </c>
      <c r="E433" s="2" t="s">
        <v>16</v>
      </c>
      <c r="F433" s="2" t="s">
        <v>17</v>
      </c>
      <c r="G433" s="2" t="s">
        <v>39</v>
      </c>
      <c r="H433" s="2" t="s">
        <v>71</v>
      </c>
      <c r="I433" s="2" t="s">
        <v>36</v>
      </c>
      <c r="J433" s="4">
        <v>6</v>
      </c>
      <c r="K433" s="5">
        <v>113.13</v>
      </c>
      <c r="L433" s="6">
        <v>0</v>
      </c>
      <c r="M433" s="5">
        <v>678.78</v>
      </c>
      <c r="P433" t="str">
        <f>TEXT(Tableau2[[#This Row],[Date]],"mmmm aaaa")</f>
        <v>avril 2026</v>
      </c>
    </row>
    <row r="434" spans="1:16">
      <c r="A434" s="2" t="s">
        <v>521</v>
      </c>
      <c r="B434" s="3">
        <v>46123</v>
      </c>
      <c r="C434" s="2" t="s">
        <v>22</v>
      </c>
      <c r="D434" s="2" t="s">
        <v>23</v>
      </c>
      <c r="E434" s="2" t="s">
        <v>16</v>
      </c>
      <c r="F434" s="2" t="s">
        <v>28</v>
      </c>
      <c r="G434" s="2" t="s">
        <v>18</v>
      </c>
      <c r="H434" s="2" t="s">
        <v>136</v>
      </c>
      <c r="I434" s="2" t="s">
        <v>41</v>
      </c>
      <c r="J434" s="4">
        <v>3</v>
      </c>
      <c r="K434" s="5">
        <v>30.54</v>
      </c>
      <c r="L434" s="6">
        <v>0.15</v>
      </c>
      <c r="M434" s="5">
        <v>77.88</v>
      </c>
      <c r="P434" t="str">
        <f>TEXT(Tableau2[[#This Row],[Date]],"mmmm aaaa")</f>
        <v>avril 2026</v>
      </c>
    </row>
    <row r="435" spans="1:16">
      <c r="A435" s="2" t="s">
        <v>522</v>
      </c>
      <c r="B435" s="3">
        <v>46360</v>
      </c>
      <c r="C435" s="2" t="s">
        <v>22</v>
      </c>
      <c r="D435" s="2" t="s">
        <v>23</v>
      </c>
      <c r="E435" s="2" t="s">
        <v>34</v>
      </c>
      <c r="F435" s="2" t="s">
        <v>17</v>
      </c>
      <c r="G435" s="2" t="s">
        <v>29</v>
      </c>
      <c r="H435" s="2" t="s">
        <v>30</v>
      </c>
      <c r="I435" s="2" t="s">
        <v>50</v>
      </c>
      <c r="J435" s="4">
        <v>2</v>
      </c>
      <c r="K435" s="5">
        <v>26.15</v>
      </c>
      <c r="L435" s="6">
        <v>0</v>
      </c>
      <c r="M435" s="5">
        <v>52.3</v>
      </c>
      <c r="P435" t="str">
        <f>TEXT(Tableau2[[#This Row],[Date]],"mmmm aaaa")</f>
        <v>décembre 2026</v>
      </c>
    </row>
    <row r="436" spans="1:16">
      <c r="A436" s="2" t="s">
        <v>523</v>
      </c>
      <c r="B436" s="3">
        <v>46230</v>
      </c>
      <c r="C436" s="2" t="s">
        <v>14</v>
      </c>
      <c r="D436" s="2" t="s">
        <v>15</v>
      </c>
      <c r="E436" s="2" t="s">
        <v>43</v>
      </c>
      <c r="F436" s="2" t="s">
        <v>17</v>
      </c>
      <c r="G436" s="2" t="s">
        <v>18</v>
      </c>
      <c r="H436" s="2" t="s">
        <v>158</v>
      </c>
      <c r="I436" s="2" t="s">
        <v>26</v>
      </c>
      <c r="J436" s="4">
        <v>7</v>
      </c>
      <c r="K436" s="5">
        <v>48.92</v>
      </c>
      <c r="L436" s="6">
        <v>0</v>
      </c>
      <c r="M436" s="5">
        <v>342.44</v>
      </c>
      <c r="P436" t="str">
        <f>TEXT(Tableau2[[#This Row],[Date]],"mmmm aaaa")</f>
        <v>juillet 2026</v>
      </c>
    </row>
    <row r="437" spans="1:16">
      <c r="A437" s="2" t="s">
        <v>524</v>
      </c>
      <c r="B437" s="3">
        <v>46222</v>
      </c>
      <c r="C437" s="2" t="s">
        <v>14</v>
      </c>
      <c r="D437" s="2" t="s">
        <v>15</v>
      </c>
      <c r="E437" s="2" t="s">
        <v>16</v>
      </c>
      <c r="F437" s="2" t="s">
        <v>17</v>
      </c>
      <c r="G437" s="2" t="s">
        <v>39</v>
      </c>
      <c r="H437" s="2" t="s">
        <v>40</v>
      </c>
      <c r="I437" s="2" t="s">
        <v>41</v>
      </c>
      <c r="J437" s="4">
        <v>1</v>
      </c>
      <c r="K437" s="5">
        <v>139.21</v>
      </c>
      <c r="L437" s="6">
        <v>0.05</v>
      </c>
      <c r="M437" s="5">
        <v>132.25</v>
      </c>
      <c r="P437" t="str">
        <f>TEXT(Tableau2[[#This Row],[Date]],"mmmm aaaa")</f>
        <v>juillet 2026</v>
      </c>
    </row>
    <row r="438" spans="1:16">
      <c r="A438" s="2" t="s">
        <v>525</v>
      </c>
      <c r="B438" s="3">
        <v>46319</v>
      </c>
      <c r="C438" s="2" t="s">
        <v>47</v>
      </c>
      <c r="D438" s="2" t="s">
        <v>15</v>
      </c>
      <c r="E438" s="2" t="s">
        <v>16</v>
      </c>
      <c r="F438" s="2" t="s">
        <v>17</v>
      </c>
      <c r="G438" s="2" t="s">
        <v>54</v>
      </c>
      <c r="H438" s="2" t="s">
        <v>64</v>
      </c>
      <c r="I438" s="2" t="s">
        <v>41</v>
      </c>
      <c r="J438" s="4">
        <v>2</v>
      </c>
      <c r="K438" s="5">
        <v>82.68</v>
      </c>
      <c r="L438" s="6">
        <v>0</v>
      </c>
      <c r="M438" s="5">
        <v>165.36</v>
      </c>
      <c r="P438" t="str">
        <f>TEXT(Tableau2[[#This Row],[Date]],"mmmm aaaa")</f>
        <v>octobre 2026</v>
      </c>
    </row>
    <row r="439" spans="1:16">
      <c r="A439" s="2" t="s">
        <v>526</v>
      </c>
      <c r="B439" s="3">
        <v>46178</v>
      </c>
      <c r="C439" s="2" t="s">
        <v>164</v>
      </c>
      <c r="D439" s="2" t="s">
        <v>53</v>
      </c>
      <c r="E439" s="2" t="s">
        <v>16</v>
      </c>
      <c r="F439" s="2" t="s">
        <v>28</v>
      </c>
      <c r="G439" s="2" t="s">
        <v>24</v>
      </c>
      <c r="H439" s="2" t="s">
        <v>25</v>
      </c>
      <c r="I439" s="2" t="s">
        <v>26</v>
      </c>
      <c r="J439" s="4">
        <v>1</v>
      </c>
      <c r="K439" s="5">
        <v>122.97</v>
      </c>
      <c r="L439" s="6">
        <v>0.15</v>
      </c>
      <c r="M439" s="5">
        <v>104.52</v>
      </c>
      <c r="P439" t="str">
        <f>TEXT(Tableau2[[#This Row],[Date]],"mmmm aaaa")</f>
        <v>juin 2026</v>
      </c>
    </row>
    <row r="440" spans="1:16">
      <c r="A440" s="2" t="s">
        <v>527</v>
      </c>
      <c r="B440" s="3">
        <v>46195</v>
      </c>
      <c r="C440" s="2" t="s">
        <v>22</v>
      </c>
      <c r="D440" s="2" t="s">
        <v>23</v>
      </c>
      <c r="E440" s="2" t="s">
        <v>34</v>
      </c>
      <c r="F440" s="2" t="s">
        <v>28</v>
      </c>
      <c r="G440" s="2" t="s">
        <v>24</v>
      </c>
      <c r="H440" s="2" t="s">
        <v>25</v>
      </c>
      <c r="I440" s="2" t="s">
        <v>26</v>
      </c>
      <c r="J440" s="4">
        <v>3</v>
      </c>
      <c r="K440" s="5">
        <v>123.35</v>
      </c>
      <c r="L440" s="6">
        <v>0</v>
      </c>
      <c r="M440" s="5">
        <v>370.05</v>
      </c>
      <c r="P440" t="str">
        <f>TEXT(Tableau2[[#This Row],[Date]],"mmmm aaaa")</f>
        <v>juin 2026</v>
      </c>
    </row>
    <row r="441" spans="1:16">
      <c r="A441" s="2" t="s">
        <v>528</v>
      </c>
      <c r="B441" s="3">
        <v>46206</v>
      </c>
      <c r="C441" s="2" t="s">
        <v>63</v>
      </c>
      <c r="D441" s="2" t="s">
        <v>33</v>
      </c>
      <c r="E441" s="2" t="s">
        <v>34</v>
      </c>
      <c r="F441" s="2" t="s">
        <v>17</v>
      </c>
      <c r="G441" s="2" t="s">
        <v>24</v>
      </c>
      <c r="H441" s="2" t="s">
        <v>35</v>
      </c>
      <c r="I441" s="2" t="s">
        <v>26</v>
      </c>
      <c r="J441" s="4">
        <v>1</v>
      </c>
      <c r="K441" s="5">
        <v>165.12</v>
      </c>
      <c r="L441" s="6">
        <v>0</v>
      </c>
      <c r="M441" s="5">
        <v>165.12</v>
      </c>
      <c r="P441" t="str">
        <f>TEXT(Tableau2[[#This Row],[Date]],"mmmm aaaa")</f>
        <v>juillet 2026</v>
      </c>
    </row>
    <row r="442" spans="1:16">
      <c r="A442" s="2" t="s">
        <v>529</v>
      </c>
      <c r="B442" s="3">
        <v>46085</v>
      </c>
      <c r="C442" s="2" t="s">
        <v>90</v>
      </c>
      <c r="D442" s="2" t="s">
        <v>53</v>
      </c>
      <c r="E442" s="2" t="s">
        <v>16</v>
      </c>
      <c r="F442" s="2" t="s">
        <v>17</v>
      </c>
      <c r="G442" s="2" t="s">
        <v>24</v>
      </c>
      <c r="H442" s="2" t="s">
        <v>82</v>
      </c>
      <c r="I442" s="2" t="s">
        <v>41</v>
      </c>
      <c r="J442" s="4">
        <v>5</v>
      </c>
      <c r="K442" s="5">
        <v>281.23</v>
      </c>
      <c r="L442" s="6">
        <v>0</v>
      </c>
      <c r="M442" s="5">
        <v>1406.15</v>
      </c>
      <c r="P442" t="str">
        <f>TEXT(Tableau2[[#This Row],[Date]],"mmmm aaaa")</f>
        <v>mars 2026</v>
      </c>
    </row>
    <row r="443" spans="1:16">
      <c r="A443" s="2" t="s">
        <v>530</v>
      </c>
      <c r="B443" s="3">
        <v>46102</v>
      </c>
      <c r="C443" s="2" t="s">
        <v>94</v>
      </c>
      <c r="D443" s="2" t="s">
        <v>15</v>
      </c>
      <c r="E443" s="2" t="s">
        <v>38</v>
      </c>
      <c r="F443" s="2" t="s">
        <v>17</v>
      </c>
      <c r="G443" s="2" t="s">
        <v>54</v>
      </c>
      <c r="H443" s="2" t="s">
        <v>64</v>
      </c>
      <c r="I443" s="2" t="s">
        <v>41</v>
      </c>
      <c r="J443" s="4">
        <v>8</v>
      </c>
      <c r="K443" s="5">
        <v>83.3</v>
      </c>
      <c r="L443" s="6">
        <v>0</v>
      </c>
      <c r="M443" s="5">
        <v>666.4</v>
      </c>
      <c r="P443" t="str">
        <f>TEXT(Tableau2[[#This Row],[Date]],"mmmm aaaa")</f>
        <v>mars 2026</v>
      </c>
    </row>
    <row r="444" spans="1:16">
      <c r="A444" s="2" t="s">
        <v>531</v>
      </c>
      <c r="B444" s="3">
        <v>46369</v>
      </c>
      <c r="C444" s="2" t="s">
        <v>63</v>
      </c>
      <c r="D444" s="2" t="s">
        <v>33</v>
      </c>
      <c r="E444" s="2" t="s">
        <v>38</v>
      </c>
      <c r="F444" s="2" t="s">
        <v>28</v>
      </c>
      <c r="G444" s="2" t="s">
        <v>48</v>
      </c>
      <c r="H444" s="2" t="s">
        <v>84</v>
      </c>
      <c r="I444" s="2" t="s">
        <v>41</v>
      </c>
      <c r="J444" s="4">
        <v>7</v>
      </c>
      <c r="K444" s="5">
        <v>97.08</v>
      </c>
      <c r="L444" s="6">
        <v>0</v>
      </c>
      <c r="M444" s="5">
        <v>679.56</v>
      </c>
      <c r="P444" t="str">
        <f>TEXT(Tableau2[[#This Row],[Date]],"mmmm aaaa")</f>
        <v>décembre 2026</v>
      </c>
    </row>
    <row r="445" spans="1:16">
      <c r="A445" s="2" t="s">
        <v>532</v>
      </c>
      <c r="B445" s="3">
        <v>46333</v>
      </c>
      <c r="C445" s="2" t="s">
        <v>47</v>
      </c>
      <c r="D445" s="2" t="s">
        <v>15</v>
      </c>
      <c r="E445" s="2" t="s">
        <v>16</v>
      </c>
      <c r="F445" s="2" t="s">
        <v>17</v>
      </c>
      <c r="G445" s="2" t="s">
        <v>39</v>
      </c>
      <c r="H445" s="2" t="s">
        <v>40</v>
      </c>
      <c r="I445" s="2" t="s">
        <v>75</v>
      </c>
      <c r="J445" s="4">
        <v>1</v>
      </c>
      <c r="K445" s="5">
        <v>127.54</v>
      </c>
      <c r="L445" s="6">
        <v>0</v>
      </c>
      <c r="M445" s="5">
        <v>127.54</v>
      </c>
      <c r="P445" t="str">
        <f>TEXT(Tableau2[[#This Row],[Date]],"mmmm aaaa")</f>
        <v>novembre 2026</v>
      </c>
    </row>
    <row r="446" spans="1:16">
      <c r="A446" s="2" t="s">
        <v>533</v>
      </c>
      <c r="B446" s="3">
        <v>46212</v>
      </c>
      <c r="C446" s="2" t="s">
        <v>86</v>
      </c>
      <c r="D446" s="2" t="s">
        <v>53</v>
      </c>
      <c r="E446" s="2" t="s">
        <v>43</v>
      </c>
      <c r="F446" s="2" t="s">
        <v>28</v>
      </c>
      <c r="G446" s="2" t="s">
        <v>48</v>
      </c>
      <c r="H446" s="2" t="s">
        <v>88</v>
      </c>
      <c r="I446" s="2" t="s">
        <v>45</v>
      </c>
      <c r="J446" s="4">
        <v>4</v>
      </c>
      <c r="K446" s="5">
        <v>72.67</v>
      </c>
      <c r="L446" s="6">
        <v>0</v>
      </c>
      <c r="M446" s="5">
        <v>290.68</v>
      </c>
      <c r="P446" t="str">
        <f>TEXT(Tableau2[[#This Row],[Date]],"mmmm aaaa")</f>
        <v>juillet 2026</v>
      </c>
    </row>
    <row r="447" spans="1:16">
      <c r="A447" s="2" t="s">
        <v>534</v>
      </c>
      <c r="B447" s="3">
        <v>46064</v>
      </c>
      <c r="C447" s="2" t="s">
        <v>14</v>
      </c>
      <c r="D447" s="2" t="s">
        <v>15</v>
      </c>
      <c r="E447" s="2" t="s">
        <v>38</v>
      </c>
      <c r="F447" s="2" t="s">
        <v>28</v>
      </c>
      <c r="G447" s="2" t="s">
        <v>18</v>
      </c>
      <c r="H447" s="2" t="s">
        <v>136</v>
      </c>
      <c r="I447" s="2" t="s">
        <v>20</v>
      </c>
      <c r="J447" s="4">
        <v>8</v>
      </c>
      <c r="K447" s="5">
        <v>29.46</v>
      </c>
      <c r="L447" s="6">
        <v>0</v>
      </c>
      <c r="M447" s="5">
        <v>235.68</v>
      </c>
      <c r="P447" t="str">
        <f>TEXT(Tableau2[[#This Row],[Date]],"mmmm aaaa")</f>
        <v>février 2026</v>
      </c>
    </row>
    <row r="448" spans="1:16">
      <c r="A448" s="2" t="s">
        <v>535</v>
      </c>
      <c r="B448" s="3">
        <v>46070</v>
      </c>
      <c r="C448" s="2" t="s">
        <v>90</v>
      </c>
      <c r="D448" s="2" t="s">
        <v>53</v>
      </c>
      <c r="E448" s="2" t="s">
        <v>16</v>
      </c>
      <c r="F448" s="2" t="s">
        <v>17</v>
      </c>
      <c r="G448" s="2" t="s">
        <v>18</v>
      </c>
      <c r="H448" s="2" t="s">
        <v>136</v>
      </c>
      <c r="I448" s="2" t="s">
        <v>41</v>
      </c>
      <c r="J448" s="4">
        <v>1</v>
      </c>
      <c r="K448" s="5">
        <v>30.69</v>
      </c>
      <c r="L448" s="6">
        <v>0</v>
      </c>
      <c r="M448" s="5">
        <v>30.69</v>
      </c>
      <c r="P448" t="str">
        <f>TEXT(Tableau2[[#This Row],[Date]],"mmmm aaaa")</f>
        <v>février 2026</v>
      </c>
    </row>
    <row r="449" spans="1:16">
      <c r="A449" s="2" t="s">
        <v>536</v>
      </c>
      <c r="B449" s="3">
        <v>46193</v>
      </c>
      <c r="C449" s="2" t="s">
        <v>106</v>
      </c>
      <c r="D449" s="2" t="s">
        <v>23</v>
      </c>
      <c r="E449" s="2" t="s">
        <v>34</v>
      </c>
      <c r="F449" s="2" t="s">
        <v>17</v>
      </c>
      <c r="G449" s="2" t="s">
        <v>24</v>
      </c>
      <c r="H449" s="2" t="s">
        <v>61</v>
      </c>
      <c r="I449" s="2" t="s">
        <v>75</v>
      </c>
      <c r="J449" s="4">
        <v>1</v>
      </c>
      <c r="K449" s="5">
        <v>257.32</v>
      </c>
      <c r="L449" s="6">
        <v>0</v>
      </c>
      <c r="M449" s="5">
        <v>257.32</v>
      </c>
      <c r="P449" t="str">
        <f>TEXT(Tableau2[[#This Row],[Date]],"mmmm aaaa")</f>
        <v>juin 2026</v>
      </c>
    </row>
    <row r="450" spans="1:16">
      <c r="A450" s="2" t="s">
        <v>537</v>
      </c>
      <c r="B450" s="3">
        <v>46219</v>
      </c>
      <c r="C450" s="2" t="s">
        <v>130</v>
      </c>
      <c r="D450" s="2" t="s">
        <v>53</v>
      </c>
      <c r="E450" s="2" t="s">
        <v>16</v>
      </c>
      <c r="F450" s="2" t="s">
        <v>28</v>
      </c>
      <c r="G450" s="2" t="s">
        <v>48</v>
      </c>
      <c r="H450" s="2" t="s">
        <v>77</v>
      </c>
      <c r="I450" s="2" t="s">
        <v>58</v>
      </c>
      <c r="J450" s="4">
        <v>4</v>
      </c>
      <c r="K450" s="5">
        <v>80.5</v>
      </c>
      <c r="L450" s="6">
        <v>0.05</v>
      </c>
      <c r="M450" s="5">
        <v>305.89999999999998</v>
      </c>
      <c r="P450" t="str">
        <f>TEXT(Tableau2[[#This Row],[Date]],"mmmm aaaa")</f>
        <v>juillet 2026</v>
      </c>
    </row>
    <row r="451" spans="1:16">
      <c r="A451" s="2" t="s">
        <v>538</v>
      </c>
      <c r="B451" s="3">
        <v>46275</v>
      </c>
      <c r="C451" s="2" t="s">
        <v>90</v>
      </c>
      <c r="D451" s="2" t="s">
        <v>53</v>
      </c>
      <c r="E451" s="2" t="s">
        <v>34</v>
      </c>
      <c r="F451" s="2" t="s">
        <v>17</v>
      </c>
      <c r="G451" s="2" t="s">
        <v>48</v>
      </c>
      <c r="H451" s="2" t="s">
        <v>77</v>
      </c>
      <c r="I451" s="2" t="s">
        <v>36</v>
      </c>
      <c r="J451" s="4">
        <v>2</v>
      </c>
      <c r="K451" s="5">
        <v>78.13</v>
      </c>
      <c r="L451" s="6">
        <v>0</v>
      </c>
      <c r="M451" s="5">
        <v>156.26</v>
      </c>
      <c r="P451" t="str">
        <f>TEXT(Tableau2[[#This Row],[Date]],"mmmm aaaa")</f>
        <v>septembre 2026</v>
      </c>
    </row>
    <row r="452" spans="1:16">
      <c r="A452" s="2" t="s">
        <v>539</v>
      </c>
      <c r="B452" s="3">
        <v>46214</v>
      </c>
      <c r="C452" s="2" t="s">
        <v>57</v>
      </c>
      <c r="D452" s="2" t="s">
        <v>15</v>
      </c>
      <c r="E452" s="2" t="s">
        <v>34</v>
      </c>
      <c r="F452" s="2" t="s">
        <v>28</v>
      </c>
      <c r="G452" s="2" t="s">
        <v>29</v>
      </c>
      <c r="H452" s="2" t="s">
        <v>99</v>
      </c>
      <c r="I452" s="2" t="s">
        <v>41</v>
      </c>
      <c r="J452" s="4">
        <v>2</v>
      </c>
      <c r="K452" s="5">
        <v>61.18</v>
      </c>
      <c r="L452" s="6">
        <v>0</v>
      </c>
      <c r="M452" s="5">
        <v>122.36</v>
      </c>
      <c r="P452" t="str">
        <f>TEXT(Tableau2[[#This Row],[Date]],"mmmm aaaa")</f>
        <v>juillet 2026</v>
      </c>
    </row>
    <row r="453" spans="1:16">
      <c r="A453" s="2" t="s">
        <v>540</v>
      </c>
      <c r="B453" s="3">
        <v>46177</v>
      </c>
      <c r="C453" s="2" t="s">
        <v>130</v>
      </c>
      <c r="D453" s="2" t="s">
        <v>53</v>
      </c>
      <c r="E453" s="2" t="s">
        <v>16</v>
      </c>
      <c r="F453" s="2" t="s">
        <v>28</v>
      </c>
      <c r="G453" s="2" t="s">
        <v>18</v>
      </c>
      <c r="H453" s="2" t="s">
        <v>158</v>
      </c>
      <c r="I453" s="2" t="s">
        <v>20</v>
      </c>
      <c r="J453" s="4">
        <v>1</v>
      </c>
      <c r="K453" s="5">
        <v>44.75</v>
      </c>
      <c r="L453" s="6">
        <v>0</v>
      </c>
      <c r="M453" s="5">
        <v>44.75</v>
      </c>
      <c r="P453" t="str">
        <f>TEXT(Tableau2[[#This Row],[Date]],"mmmm aaaa")</f>
        <v>juin 2026</v>
      </c>
    </row>
    <row r="454" spans="1:16">
      <c r="A454" s="2" t="s">
        <v>541</v>
      </c>
      <c r="B454" s="3">
        <v>46337</v>
      </c>
      <c r="C454" s="2" t="s">
        <v>22</v>
      </c>
      <c r="D454" s="2" t="s">
        <v>23</v>
      </c>
      <c r="E454" s="2" t="s">
        <v>16</v>
      </c>
      <c r="F454" s="2" t="s">
        <v>28</v>
      </c>
      <c r="G454" s="2" t="s">
        <v>54</v>
      </c>
      <c r="H454" s="2" t="s">
        <v>55</v>
      </c>
      <c r="I454" s="2" t="s">
        <v>45</v>
      </c>
      <c r="J454" s="4">
        <v>2</v>
      </c>
      <c r="K454" s="5">
        <v>152.28</v>
      </c>
      <c r="L454" s="6">
        <v>0</v>
      </c>
      <c r="M454" s="5">
        <v>304.56</v>
      </c>
      <c r="P454" t="str">
        <f>TEXT(Tableau2[[#This Row],[Date]],"mmmm aaaa")</f>
        <v>novembre 2026</v>
      </c>
    </row>
    <row r="455" spans="1:16">
      <c r="A455" s="2" t="s">
        <v>542</v>
      </c>
      <c r="B455" s="3">
        <v>46213</v>
      </c>
      <c r="C455" s="2" t="s">
        <v>164</v>
      </c>
      <c r="D455" s="2" t="s">
        <v>53</v>
      </c>
      <c r="E455" s="2" t="s">
        <v>43</v>
      </c>
      <c r="F455" s="2" t="s">
        <v>17</v>
      </c>
      <c r="G455" s="2" t="s">
        <v>18</v>
      </c>
      <c r="H455" s="2" t="s">
        <v>158</v>
      </c>
      <c r="I455" s="2" t="s">
        <v>36</v>
      </c>
      <c r="J455" s="4">
        <v>5</v>
      </c>
      <c r="K455" s="5">
        <v>43.82</v>
      </c>
      <c r="L455" s="6">
        <v>0.05</v>
      </c>
      <c r="M455" s="5">
        <v>208.14</v>
      </c>
      <c r="P455" t="str">
        <f>TEXT(Tableau2[[#This Row],[Date]],"mmmm aaaa")</f>
        <v>juillet 2026</v>
      </c>
    </row>
    <row r="456" spans="1:16">
      <c r="A456" s="2" t="s">
        <v>543</v>
      </c>
      <c r="B456" s="3">
        <v>46070</v>
      </c>
      <c r="C456" s="2" t="s">
        <v>156</v>
      </c>
      <c r="D456" s="2" t="s">
        <v>15</v>
      </c>
      <c r="E456" s="2" t="s">
        <v>43</v>
      </c>
      <c r="F456" s="2" t="s">
        <v>28</v>
      </c>
      <c r="G456" s="2" t="s">
        <v>24</v>
      </c>
      <c r="H456" s="2" t="s">
        <v>35</v>
      </c>
      <c r="I456" s="2" t="s">
        <v>58</v>
      </c>
      <c r="J456" s="4">
        <v>6</v>
      </c>
      <c r="K456" s="5">
        <v>168.57</v>
      </c>
      <c r="L456" s="6">
        <v>0</v>
      </c>
      <c r="M456" s="5">
        <v>1011.42</v>
      </c>
      <c r="P456" t="str">
        <f>TEXT(Tableau2[[#This Row],[Date]],"mmmm aaaa")</f>
        <v>février 2026</v>
      </c>
    </row>
    <row r="457" spans="1:16">
      <c r="A457" s="2" t="s">
        <v>544</v>
      </c>
      <c r="B457" s="3">
        <v>46115</v>
      </c>
      <c r="C457" s="2" t="s">
        <v>119</v>
      </c>
      <c r="D457" s="2" t="s">
        <v>15</v>
      </c>
      <c r="E457" s="2" t="s">
        <v>16</v>
      </c>
      <c r="F457" s="2" t="s">
        <v>17</v>
      </c>
      <c r="G457" s="2" t="s">
        <v>54</v>
      </c>
      <c r="H457" s="2" t="s">
        <v>64</v>
      </c>
      <c r="I457" s="2" t="s">
        <v>41</v>
      </c>
      <c r="J457" s="4">
        <v>6</v>
      </c>
      <c r="K457" s="5">
        <v>91.11</v>
      </c>
      <c r="L457" s="6">
        <v>0.15</v>
      </c>
      <c r="M457" s="5">
        <v>464.66</v>
      </c>
      <c r="P457" t="str">
        <f>TEXT(Tableau2[[#This Row],[Date]],"mmmm aaaa")</f>
        <v>avril 2026</v>
      </c>
    </row>
    <row r="458" spans="1:16">
      <c r="A458" s="2" t="s">
        <v>545</v>
      </c>
      <c r="B458" s="3">
        <v>46304</v>
      </c>
      <c r="C458" s="2" t="s">
        <v>57</v>
      </c>
      <c r="D458" s="2" t="s">
        <v>15</v>
      </c>
      <c r="E458" s="2" t="s">
        <v>43</v>
      </c>
      <c r="F458" s="2" t="s">
        <v>17</v>
      </c>
      <c r="G458" s="2" t="s">
        <v>54</v>
      </c>
      <c r="H458" s="2" t="s">
        <v>64</v>
      </c>
      <c r="I458" s="2" t="s">
        <v>45</v>
      </c>
      <c r="J458" s="4">
        <v>1</v>
      </c>
      <c r="K458" s="5">
        <v>89.91</v>
      </c>
      <c r="L458" s="6">
        <v>0</v>
      </c>
      <c r="M458" s="5">
        <v>89.91</v>
      </c>
      <c r="P458" t="str">
        <f>TEXT(Tableau2[[#This Row],[Date]],"mmmm aaaa")</f>
        <v>octobre 2026</v>
      </c>
    </row>
    <row r="459" spans="1:16">
      <c r="A459" s="2" t="s">
        <v>546</v>
      </c>
      <c r="B459" s="3">
        <v>46179</v>
      </c>
      <c r="C459" s="2" t="s">
        <v>116</v>
      </c>
      <c r="D459" s="2" t="s">
        <v>15</v>
      </c>
      <c r="E459" s="2" t="s">
        <v>43</v>
      </c>
      <c r="F459" s="2" t="s">
        <v>28</v>
      </c>
      <c r="G459" s="2" t="s">
        <v>18</v>
      </c>
      <c r="H459" s="2" t="s">
        <v>158</v>
      </c>
      <c r="I459" s="2" t="s">
        <v>36</v>
      </c>
      <c r="J459" s="4">
        <v>1</v>
      </c>
      <c r="K459" s="5">
        <v>43.85</v>
      </c>
      <c r="L459" s="6">
        <v>0.15</v>
      </c>
      <c r="M459" s="5">
        <v>37.270000000000003</v>
      </c>
      <c r="P459" t="str">
        <f>TEXT(Tableau2[[#This Row],[Date]],"mmmm aaaa")</f>
        <v>juin 2026</v>
      </c>
    </row>
    <row r="460" spans="1:16">
      <c r="A460" s="2" t="s">
        <v>547</v>
      </c>
      <c r="B460" s="3">
        <v>46374</v>
      </c>
      <c r="C460" s="2" t="s">
        <v>32</v>
      </c>
      <c r="D460" s="2" t="s">
        <v>33</v>
      </c>
      <c r="E460" s="2" t="s">
        <v>38</v>
      </c>
      <c r="F460" s="2" t="s">
        <v>28</v>
      </c>
      <c r="G460" s="2" t="s">
        <v>54</v>
      </c>
      <c r="H460" s="2" t="s">
        <v>102</v>
      </c>
      <c r="I460" s="2" t="s">
        <v>20</v>
      </c>
      <c r="J460" s="4">
        <v>1</v>
      </c>
      <c r="K460" s="5">
        <v>203.08</v>
      </c>
      <c r="L460" s="6">
        <v>0</v>
      </c>
      <c r="M460" s="5">
        <v>203.08</v>
      </c>
      <c r="P460" t="str">
        <f>TEXT(Tableau2[[#This Row],[Date]],"mmmm aaaa")</f>
        <v>décembre 2026</v>
      </c>
    </row>
    <row r="461" spans="1:16">
      <c r="A461" s="2" t="s">
        <v>548</v>
      </c>
      <c r="B461" s="3">
        <v>46038</v>
      </c>
      <c r="C461" s="2" t="s">
        <v>79</v>
      </c>
      <c r="D461" s="2" t="s">
        <v>33</v>
      </c>
      <c r="E461" s="2" t="s">
        <v>34</v>
      </c>
      <c r="F461" s="2" t="s">
        <v>17</v>
      </c>
      <c r="G461" s="2" t="s">
        <v>29</v>
      </c>
      <c r="H461" s="2" t="s">
        <v>30</v>
      </c>
      <c r="I461" s="2" t="s">
        <v>58</v>
      </c>
      <c r="J461" s="4">
        <v>1</v>
      </c>
      <c r="K461" s="5">
        <v>27.23</v>
      </c>
      <c r="L461" s="6">
        <v>0</v>
      </c>
      <c r="M461" s="5">
        <v>27.23</v>
      </c>
      <c r="P461" t="str">
        <f>TEXT(Tableau2[[#This Row],[Date]],"mmmm aaaa")</f>
        <v>janvier 2026</v>
      </c>
    </row>
    <row r="462" spans="1:16">
      <c r="A462" s="2" t="s">
        <v>549</v>
      </c>
      <c r="B462" s="3">
        <v>46201</v>
      </c>
      <c r="C462" s="2" t="s">
        <v>63</v>
      </c>
      <c r="D462" s="2" t="s">
        <v>33</v>
      </c>
      <c r="E462" s="2" t="s">
        <v>16</v>
      </c>
      <c r="F462" s="2" t="s">
        <v>17</v>
      </c>
      <c r="G462" s="2" t="s">
        <v>54</v>
      </c>
      <c r="H462" s="2" t="s">
        <v>55</v>
      </c>
      <c r="I462" s="2" t="s">
        <v>36</v>
      </c>
      <c r="J462" s="4">
        <v>9</v>
      </c>
      <c r="K462" s="5">
        <v>161.08000000000001</v>
      </c>
      <c r="L462" s="6">
        <v>0.15</v>
      </c>
      <c r="M462" s="5">
        <v>1232.26</v>
      </c>
      <c r="P462" t="str">
        <f>TEXT(Tableau2[[#This Row],[Date]],"mmmm aaaa")</f>
        <v>juin 2026</v>
      </c>
    </row>
    <row r="463" spans="1:16">
      <c r="A463" s="2" t="s">
        <v>550</v>
      </c>
      <c r="B463" s="3">
        <v>46207</v>
      </c>
      <c r="C463" s="2" t="s">
        <v>47</v>
      </c>
      <c r="D463" s="2" t="s">
        <v>15</v>
      </c>
      <c r="E463" s="2" t="s">
        <v>34</v>
      </c>
      <c r="F463" s="2" t="s">
        <v>17</v>
      </c>
      <c r="G463" s="2" t="s">
        <v>39</v>
      </c>
      <c r="H463" s="2" t="s">
        <v>71</v>
      </c>
      <c r="I463" s="2" t="s">
        <v>20</v>
      </c>
      <c r="J463" s="4">
        <v>4</v>
      </c>
      <c r="K463" s="5">
        <v>114.07</v>
      </c>
      <c r="L463" s="6">
        <v>0</v>
      </c>
      <c r="M463" s="5">
        <v>456.28</v>
      </c>
      <c r="P463" t="str">
        <f>TEXT(Tableau2[[#This Row],[Date]],"mmmm aaaa")</f>
        <v>juillet 2026</v>
      </c>
    </row>
    <row r="464" spans="1:16">
      <c r="A464" s="2" t="s">
        <v>551</v>
      </c>
      <c r="B464" s="3">
        <v>46305</v>
      </c>
      <c r="C464" s="2" t="s">
        <v>66</v>
      </c>
      <c r="D464" s="2" t="s">
        <v>23</v>
      </c>
      <c r="E464" s="2" t="s">
        <v>16</v>
      </c>
      <c r="F464" s="2" t="s">
        <v>17</v>
      </c>
      <c r="G464" s="2" t="s">
        <v>24</v>
      </c>
      <c r="H464" s="2" t="s">
        <v>35</v>
      </c>
      <c r="I464" s="2" t="s">
        <v>26</v>
      </c>
      <c r="J464" s="4">
        <v>1</v>
      </c>
      <c r="K464" s="5">
        <v>160.56</v>
      </c>
      <c r="L464" s="6">
        <v>0</v>
      </c>
      <c r="M464" s="5">
        <v>160.56</v>
      </c>
      <c r="P464" t="str">
        <f>TEXT(Tableau2[[#This Row],[Date]],"mmmm aaaa")</f>
        <v>octobre 2026</v>
      </c>
    </row>
    <row r="465" spans="1:16">
      <c r="A465" s="2" t="s">
        <v>552</v>
      </c>
      <c r="B465" s="3">
        <v>46187</v>
      </c>
      <c r="C465" s="2" t="s">
        <v>63</v>
      </c>
      <c r="D465" s="2" t="s">
        <v>33</v>
      </c>
      <c r="E465" s="2" t="s">
        <v>34</v>
      </c>
      <c r="F465" s="2" t="s">
        <v>17</v>
      </c>
      <c r="G465" s="2" t="s">
        <v>54</v>
      </c>
      <c r="H465" s="2" t="s">
        <v>55</v>
      </c>
      <c r="I465" s="2" t="s">
        <v>75</v>
      </c>
      <c r="J465" s="4">
        <v>7</v>
      </c>
      <c r="K465" s="5">
        <v>146.33000000000001</v>
      </c>
      <c r="L465" s="6">
        <v>0.1</v>
      </c>
      <c r="M465" s="5">
        <v>921.88</v>
      </c>
      <c r="P465" t="str">
        <f>TEXT(Tableau2[[#This Row],[Date]],"mmmm aaaa")</f>
        <v>juin 2026</v>
      </c>
    </row>
    <row r="466" spans="1:16">
      <c r="A466" s="2" t="s">
        <v>553</v>
      </c>
      <c r="B466" s="3">
        <v>46046</v>
      </c>
      <c r="C466" s="2" t="s">
        <v>160</v>
      </c>
      <c r="D466" s="2" t="s">
        <v>33</v>
      </c>
      <c r="E466" s="2" t="s">
        <v>43</v>
      </c>
      <c r="F466" s="2" t="s">
        <v>17</v>
      </c>
      <c r="G466" s="2" t="s">
        <v>18</v>
      </c>
      <c r="H466" s="2" t="s">
        <v>19</v>
      </c>
      <c r="I466" s="2" t="s">
        <v>75</v>
      </c>
      <c r="J466" s="4">
        <v>6</v>
      </c>
      <c r="K466" s="5">
        <v>56.93</v>
      </c>
      <c r="L466" s="6">
        <v>0.2</v>
      </c>
      <c r="M466" s="5">
        <v>273.26</v>
      </c>
      <c r="P466" t="str">
        <f>TEXT(Tableau2[[#This Row],[Date]],"mmmm aaaa")</f>
        <v>janvier 2026</v>
      </c>
    </row>
    <row r="467" spans="1:16">
      <c r="A467" s="2" t="s">
        <v>554</v>
      </c>
      <c r="B467" s="3">
        <v>46182</v>
      </c>
      <c r="C467" s="2" t="s">
        <v>63</v>
      </c>
      <c r="D467" s="2" t="s">
        <v>33</v>
      </c>
      <c r="E467" s="2" t="s">
        <v>16</v>
      </c>
      <c r="F467" s="2" t="s">
        <v>17</v>
      </c>
      <c r="G467" s="2" t="s">
        <v>54</v>
      </c>
      <c r="H467" s="2" t="s">
        <v>102</v>
      </c>
      <c r="I467" s="2" t="s">
        <v>36</v>
      </c>
      <c r="J467" s="4">
        <v>3</v>
      </c>
      <c r="K467" s="5">
        <v>207.37</v>
      </c>
      <c r="L467" s="6">
        <v>0.2</v>
      </c>
      <c r="M467" s="5">
        <v>497.69</v>
      </c>
      <c r="P467" t="str">
        <f>TEXT(Tableau2[[#This Row],[Date]],"mmmm aaaa")</f>
        <v>juin 2026</v>
      </c>
    </row>
    <row r="468" spans="1:16">
      <c r="A468" s="2" t="s">
        <v>555</v>
      </c>
      <c r="B468" s="3">
        <v>46263</v>
      </c>
      <c r="C468" s="2" t="s">
        <v>47</v>
      </c>
      <c r="D468" s="2" t="s">
        <v>15</v>
      </c>
      <c r="E468" s="2" t="s">
        <v>16</v>
      </c>
      <c r="F468" s="2" t="s">
        <v>17</v>
      </c>
      <c r="G468" s="2" t="s">
        <v>48</v>
      </c>
      <c r="H468" s="2" t="s">
        <v>49</v>
      </c>
      <c r="I468" s="2" t="s">
        <v>36</v>
      </c>
      <c r="J468" s="4">
        <v>2</v>
      </c>
      <c r="K468" s="5">
        <v>54.35</v>
      </c>
      <c r="L468" s="6">
        <v>0</v>
      </c>
      <c r="M468" s="5">
        <v>108.7</v>
      </c>
      <c r="P468" t="str">
        <f>TEXT(Tableau2[[#This Row],[Date]],"mmmm aaaa")</f>
        <v>août 2026</v>
      </c>
    </row>
    <row r="469" spans="1:16">
      <c r="A469" s="2" t="s">
        <v>556</v>
      </c>
      <c r="B469" s="3">
        <v>46212</v>
      </c>
      <c r="C469" s="2" t="s">
        <v>57</v>
      </c>
      <c r="D469" s="2" t="s">
        <v>15</v>
      </c>
      <c r="E469" s="2" t="s">
        <v>34</v>
      </c>
      <c r="F469" s="2" t="s">
        <v>17</v>
      </c>
      <c r="G469" s="2" t="s">
        <v>54</v>
      </c>
      <c r="H469" s="2" t="s">
        <v>55</v>
      </c>
      <c r="I469" s="2" t="s">
        <v>45</v>
      </c>
      <c r="J469" s="4">
        <v>2</v>
      </c>
      <c r="K469" s="5">
        <v>152.06</v>
      </c>
      <c r="L469" s="6">
        <v>0.2</v>
      </c>
      <c r="M469" s="5">
        <v>243.3</v>
      </c>
      <c r="P469" t="str">
        <f>TEXT(Tableau2[[#This Row],[Date]],"mmmm aaaa")</f>
        <v>juillet 2026</v>
      </c>
    </row>
    <row r="470" spans="1:16">
      <c r="A470" s="2" t="s">
        <v>557</v>
      </c>
      <c r="B470" s="3">
        <v>46358</v>
      </c>
      <c r="C470" s="2" t="s">
        <v>63</v>
      </c>
      <c r="D470" s="2" t="s">
        <v>33</v>
      </c>
      <c r="E470" s="2" t="s">
        <v>34</v>
      </c>
      <c r="F470" s="2" t="s">
        <v>17</v>
      </c>
      <c r="G470" s="2" t="s">
        <v>54</v>
      </c>
      <c r="H470" s="2" t="s">
        <v>102</v>
      </c>
      <c r="I470" s="2" t="s">
        <v>45</v>
      </c>
      <c r="J470" s="4">
        <v>2</v>
      </c>
      <c r="K470" s="5">
        <v>207.63</v>
      </c>
      <c r="L470" s="6">
        <v>0.2</v>
      </c>
      <c r="M470" s="5">
        <v>332.21</v>
      </c>
      <c r="P470" t="str">
        <f>TEXT(Tableau2[[#This Row],[Date]],"mmmm aaaa")</f>
        <v>décembre 2026</v>
      </c>
    </row>
    <row r="471" spans="1:16">
      <c r="A471" s="2" t="s">
        <v>558</v>
      </c>
      <c r="B471" s="3">
        <v>46148</v>
      </c>
      <c r="C471" s="2" t="s">
        <v>57</v>
      </c>
      <c r="D471" s="2" t="s">
        <v>15</v>
      </c>
      <c r="E471" s="2" t="s">
        <v>16</v>
      </c>
      <c r="F471" s="2" t="s">
        <v>17</v>
      </c>
      <c r="G471" s="2" t="s">
        <v>48</v>
      </c>
      <c r="H471" s="2" t="s">
        <v>84</v>
      </c>
      <c r="I471" s="2" t="s">
        <v>75</v>
      </c>
      <c r="J471" s="4">
        <v>1</v>
      </c>
      <c r="K471" s="5">
        <v>95.45</v>
      </c>
      <c r="L471" s="6">
        <v>0</v>
      </c>
      <c r="M471" s="5">
        <v>95.45</v>
      </c>
      <c r="P471" t="str">
        <f>TEXT(Tableau2[[#This Row],[Date]],"mmmm aaaa")</f>
        <v>mai 2026</v>
      </c>
    </row>
    <row r="472" spans="1:16">
      <c r="A472" s="2" t="s">
        <v>559</v>
      </c>
      <c r="B472" s="3">
        <v>46314</v>
      </c>
      <c r="C472" s="2" t="s">
        <v>14</v>
      </c>
      <c r="D472" s="2" t="s">
        <v>15</v>
      </c>
      <c r="E472" s="2" t="s">
        <v>16</v>
      </c>
      <c r="F472" s="2" t="s">
        <v>17</v>
      </c>
      <c r="G472" s="2" t="s">
        <v>48</v>
      </c>
      <c r="H472" s="2" t="s">
        <v>88</v>
      </c>
      <c r="I472" s="2" t="s">
        <v>50</v>
      </c>
      <c r="J472" s="4">
        <v>6</v>
      </c>
      <c r="K472" s="5">
        <v>81.56</v>
      </c>
      <c r="L472" s="6">
        <v>0.2</v>
      </c>
      <c r="M472" s="5">
        <v>391.49</v>
      </c>
      <c r="P472" t="str">
        <f>TEXT(Tableau2[[#This Row],[Date]],"mmmm aaaa")</f>
        <v>octobre 2026</v>
      </c>
    </row>
    <row r="473" spans="1:16">
      <c r="A473" s="2" t="s">
        <v>560</v>
      </c>
      <c r="B473" s="3">
        <v>46249</v>
      </c>
      <c r="C473" s="2" t="s">
        <v>101</v>
      </c>
      <c r="D473" s="2" t="s">
        <v>33</v>
      </c>
      <c r="E473" s="2" t="s">
        <v>16</v>
      </c>
      <c r="F473" s="2" t="s">
        <v>28</v>
      </c>
      <c r="G473" s="2" t="s">
        <v>48</v>
      </c>
      <c r="H473" s="2" t="s">
        <v>88</v>
      </c>
      <c r="I473" s="2" t="s">
        <v>45</v>
      </c>
      <c r="J473" s="4">
        <v>2</v>
      </c>
      <c r="K473" s="5">
        <v>81.599999999999994</v>
      </c>
      <c r="L473" s="6">
        <v>0</v>
      </c>
      <c r="M473" s="5">
        <v>163.19999999999999</v>
      </c>
      <c r="P473" t="str">
        <f>TEXT(Tableau2[[#This Row],[Date]],"mmmm aaaa")</f>
        <v>août 2026</v>
      </c>
    </row>
    <row r="474" spans="1:16">
      <c r="A474" s="2" t="s">
        <v>561</v>
      </c>
      <c r="B474" s="3">
        <v>46192</v>
      </c>
      <c r="C474" s="2" t="s">
        <v>123</v>
      </c>
      <c r="D474" s="2" t="s">
        <v>53</v>
      </c>
      <c r="E474" s="2" t="s">
        <v>38</v>
      </c>
      <c r="F474" s="2" t="s">
        <v>17</v>
      </c>
      <c r="G474" s="2" t="s">
        <v>18</v>
      </c>
      <c r="H474" s="2" t="s">
        <v>143</v>
      </c>
      <c r="I474" s="2" t="s">
        <v>58</v>
      </c>
      <c r="J474" s="4">
        <v>7</v>
      </c>
      <c r="K474" s="5">
        <v>66.44</v>
      </c>
      <c r="L474" s="6">
        <v>0</v>
      </c>
      <c r="M474" s="5">
        <v>465.08</v>
      </c>
      <c r="P474" t="str">
        <f>TEXT(Tableau2[[#This Row],[Date]],"mmmm aaaa")</f>
        <v>juin 2026</v>
      </c>
    </row>
    <row r="475" spans="1:16">
      <c r="A475" s="2" t="s">
        <v>562</v>
      </c>
      <c r="B475" s="3">
        <v>46182</v>
      </c>
      <c r="C475" s="2" t="s">
        <v>130</v>
      </c>
      <c r="D475" s="2" t="s">
        <v>53</v>
      </c>
      <c r="E475" s="2" t="s">
        <v>16</v>
      </c>
      <c r="F475" s="2" t="s">
        <v>28</v>
      </c>
      <c r="G475" s="2" t="s">
        <v>18</v>
      </c>
      <c r="H475" s="2" t="s">
        <v>158</v>
      </c>
      <c r="I475" s="2" t="s">
        <v>75</v>
      </c>
      <c r="J475" s="4">
        <v>7</v>
      </c>
      <c r="K475" s="5">
        <v>42.49</v>
      </c>
      <c r="L475" s="6">
        <v>0</v>
      </c>
      <c r="M475" s="5">
        <v>297.43</v>
      </c>
      <c r="P475" t="str">
        <f>TEXT(Tableau2[[#This Row],[Date]],"mmmm aaaa")</f>
        <v>juin 2026</v>
      </c>
    </row>
    <row r="476" spans="1:16">
      <c r="A476" s="2" t="s">
        <v>563</v>
      </c>
      <c r="B476" s="3">
        <v>46216</v>
      </c>
      <c r="C476" s="2" t="s">
        <v>32</v>
      </c>
      <c r="D476" s="2" t="s">
        <v>33</v>
      </c>
      <c r="E476" s="2" t="s">
        <v>43</v>
      </c>
      <c r="F476" s="2" t="s">
        <v>17</v>
      </c>
      <c r="G476" s="2" t="s">
        <v>29</v>
      </c>
      <c r="H476" s="2" t="s">
        <v>30</v>
      </c>
      <c r="I476" s="2" t="s">
        <v>45</v>
      </c>
      <c r="J476" s="4">
        <v>1</v>
      </c>
      <c r="K476" s="5">
        <v>27.61</v>
      </c>
      <c r="L476" s="6">
        <v>0.3</v>
      </c>
      <c r="M476" s="5">
        <v>19.329999999999998</v>
      </c>
      <c r="P476" t="str">
        <f>TEXT(Tableau2[[#This Row],[Date]],"mmmm aaaa")</f>
        <v>juillet 2026</v>
      </c>
    </row>
    <row r="477" spans="1:16">
      <c r="A477" s="2" t="s">
        <v>564</v>
      </c>
      <c r="B477" s="3">
        <v>46077</v>
      </c>
      <c r="C477" s="2" t="s">
        <v>57</v>
      </c>
      <c r="D477" s="2" t="s">
        <v>15</v>
      </c>
      <c r="E477" s="2" t="s">
        <v>34</v>
      </c>
      <c r="F477" s="2" t="s">
        <v>28</v>
      </c>
      <c r="G477" s="2" t="s">
        <v>18</v>
      </c>
      <c r="H477" s="2" t="s">
        <v>158</v>
      </c>
      <c r="I477" s="2" t="s">
        <v>26</v>
      </c>
      <c r="J477" s="4">
        <v>8</v>
      </c>
      <c r="K477" s="5">
        <v>47.7</v>
      </c>
      <c r="L477" s="6">
        <v>0</v>
      </c>
      <c r="M477" s="5">
        <v>381.6</v>
      </c>
      <c r="P477" t="str">
        <f>TEXT(Tableau2[[#This Row],[Date]],"mmmm aaaa")</f>
        <v>février 2026</v>
      </c>
    </row>
    <row r="478" spans="1:16">
      <c r="A478" s="2" t="s">
        <v>565</v>
      </c>
      <c r="B478" s="3">
        <v>46120</v>
      </c>
      <c r="C478" s="2" t="s">
        <v>63</v>
      </c>
      <c r="D478" s="2" t="s">
        <v>33</v>
      </c>
      <c r="E478" s="2" t="s">
        <v>34</v>
      </c>
      <c r="F478" s="2" t="s">
        <v>17</v>
      </c>
      <c r="G478" s="2" t="s">
        <v>24</v>
      </c>
      <c r="H478" s="2" t="s">
        <v>25</v>
      </c>
      <c r="I478" s="2" t="s">
        <v>26</v>
      </c>
      <c r="J478" s="4">
        <v>1</v>
      </c>
      <c r="K478" s="5">
        <v>132.97999999999999</v>
      </c>
      <c r="L478" s="6">
        <v>0.05</v>
      </c>
      <c r="M478" s="5">
        <v>126.33</v>
      </c>
      <c r="P478" t="str">
        <f>TEXT(Tableau2[[#This Row],[Date]],"mmmm aaaa")</f>
        <v>avril 2026</v>
      </c>
    </row>
    <row r="479" spans="1:16">
      <c r="A479" s="2" t="s">
        <v>566</v>
      </c>
      <c r="B479" s="3">
        <v>46178</v>
      </c>
      <c r="C479" s="2" t="s">
        <v>66</v>
      </c>
      <c r="D479" s="2" t="s">
        <v>23</v>
      </c>
      <c r="E479" s="2" t="s">
        <v>16</v>
      </c>
      <c r="F479" s="2" t="s">
        <v>28</v>
      </c>
      <c r="G479" s="2" t="s">
        <v>24</v>
      </c>
      <c r="H479" s="2" t="s">
        <v>82</v>
      </c>
      <c r="I479" s="2" t="s">
        <v>41</v>
      </c>
      <c r="J479" s="4">
        <v>1</v>
      </c>
      <c r="K479" s="5">
        <v>311.92</v>
      </c>
      <c r="L479" s="6">
        <v>0</v>
      </c>
      <c r="M479" s="5">
        <v>311.92</v>
      </c>
      <c r="P479" t="str">
        <f>TEXT(Tableau2[[#This Row],[Date]],"mmmm aaaa")</f>
        <v>juin 2026</v>
      </c>
    </row>
    <row r="480" spans="1:16">
      <c r="A480" s="2" t="s">
        <v>567</v>
      </c>
      <c r="B480" s="3">
        <v>46304</v>
      </c>
      <c r="C480" s="2" t="s">
        <v>66</v>
      </c>
      <c r="D480" s="2" t="s">
        <v>23</v>
      </c>
      <c r="E480" s="2" t="s">
        <v>34</v>
      </c>
      <c r="F480" s="2" t="s">
        <v>17</v>
      </c>
      <c r="G480" s="2" t="s">
        <v>18</v>
      </c>
      <c r="H480" s="2" t="s">
        <v>158</v>
      </c>
      <c r="I480" s="2" t="s">
        <v>75</v>
      </c>
      <c r="J480" s="4">
        <v>4</v>
      </c>
      <c r="K480" s="5">
        <v>45.29</v>
      </c>
      <c r="L480" s="6">
        <v>0</v>
      </c>
      <c r="M480" s="5">
        <v>181.16</v>
      </c>
      <c r="P480" t="str">
        <f>TEXT(Tableau2[[#This Row],[Date]],"mmmm aaaa")</f>
        <v>octobre 2026</v>
      </c>
    </row>
    <row r="481" spans="1:16">
      <c r="A481" s="2" t="s">
        <v>568</v>
      </c>
      <c r="B481" s="3">
        <v>46269</v>
      </c>
      <c r="C481" s="2" t="s">
        <v>32</v>
      </c>
      <c r="D481" s="2" t="s">
        <v>33</v>
      </c>
      <c r="E481" s="2" t="s">
        <v>34</v>
      </c>
      <c r="F481" s="2" t="s">
        <v>28</v>
      </c>
      <c r="G481" s="2" t="s">
        <v>18</v>
      </c>
      <c r="H481" s="2" t="s">
        <v>143</v>
      </c>
      <c r="I481" s="2" t="s">
        <v>41</v>
      </c>
      <c r="J481" s="4">
        <v>4</v>
      </c>
      <c r="K481" s="5">
        <v>63.14</v>
      </c>
      <c r="L481" s="6">
        <v>0</v>
      </c>
      <c r="M481" s="5">
        <v>252.56</v>
      </c>
      <c r="P481" t="str">
        <f>TEXT(Tableau2[[#This Row],[Date]],"mmmm aaaa")</f>
        <v>septembre 2026</v>
      </c>
    </row>
    <row r="482" spans="1:16">
      <c r="A482" s="2" t="s">
        <v>569</v>
      </c>
      <c r="B482" s="3">
        <v>46068</v>
      </c>
      <c r="C482" s="2" t="s">
        <v>32</v>
      </c>
      <c r="D482" s="2" t="s">
        <v>33</v>
      </c>
      <c r="E482" s="2" t="s">
        <v>38</v>
      </c>
      <c r="F482" s="2" t="s">
        <v>28</v>
      </c>
      <c r="G482" s="2" t="s">
        <v>39</v>
      </c>
      <c r="H482" s="2" t="s">
        <v>95</v>
      </c>
      <c r="I482" s="2" t="s">
        <v>50</v>
      </c>
      <c r="J482" s="4">
        <v>1</v>
      </c>
      <c r="K482" s="5">
        <v>96.62</v>
      </c>
      <c r="L482" s="6">
        <v>0</v>
      </c>
      <c r="M482" s="5">
        <v>96.62</v>
      </c>
      <c r="P482" t="str">
        <f>TEXT(Tableau2[[#This Row],[Date]],"mmmm aaaa")</f>
        <v>février 2026</v>
      </c>
    </row>
    <row r="483" spans="1:16">
      <c r="A483" s="2" t="s">
        <v>570</v>
      </c>
      <c r="B483" s="3">
        <v>46220</v>
      </c>
      <c r="C483" s="2" t="s">
        <v>57</v>
      </c>
      <c r="D483" s="2" t="s">
        <v>15</v>
      </c>
      <c r="E483" s="2" t="s">
        <v>38</v>
      </c>
      <c r="F483" s="2" t="s">
        <v>17</v>
      </c>
      <c r="G483" s="2" t="s">
        <v>48</v>
      </c>
      <c r="H483" s="2" t="s">
        <v>88</v>
      </c>
      <c r="I483" s="2" t="s">
        <v>58</v>
      </c>
      <c r="J483" s="4">
        <v>7</v>
      </c>
      <c r="K483" s="5">
        <v>79.430000000000007</v>
      </c>
      <c r="L483" s="6">
        <v>0</v>
      </c>
      <c r="M483" s="5">
        <v>556.01</v>
      </c>
      <c r="P483" t="str">
        <f>TEXT(Tableau2[[#This Row],[Date]],"mmmm aaaa")</f>
        <v>juillet 2026</v>
      </c>
    </row>
    <row r="484" spans="1:16">
      <c r="A484" s="2" t="s">
        <v>571</v>
      </c>
      <c r="B484" s="3">
        <v>46202</v>
      </c>
      <c r="C484" s="2" t="s">
        <v>125</v>
      </c>
      <c r="D484" s="2" t="s">
        <v>23</v>
      </c>
      <c r="E484" s="2" t="s">
        <v>43</v>
      </c>
      <c r="F484" s="2" t="s">
        <v>17</v>
      </c>
      <c r="G484" s="2" t="s">
        <v>18</v>
      </c>
      <c r="H484" s="2" t="s">
        <v>158</v>
      </c>
      <c r="I484" s="2" t="s">
        <v>58</v>
      </c>
      <c r="J484" s="4">
        <v>1</v>
      </c>
      <c r="K484" s="5">
        <v>43.3</v>
      </c>
      <c r="L484" s="6">
        <v>0.05</v>
      </c>
      <c r="M484" s="5">
        <v>41.13</v>
      </c>
      <c r="P484" t="str">
        <f>TEXT(Tableau2[[#This Row],[Date]],"mmmm aaaa")</f>
        <v>juin 2026</v>
      </c>
    </row>
    <row r="485" spans="1:16">
      <c r="A485" s="2" t="s">
        <v>572</v>
      </c>
      <c r="B485" s="3">
        <v>46197</v>
      </c>
      <c r="C485" s="2" t="s">
        <v>63</v>
      </c>
      <c r="D485" s="2" t="s">
        <v>33</v>
      </c>
      <c r="E485" s="2" t="s">
        <v>43</v>
      </c>
      <c r="F485" s="2" t="s">
        <v>17</v>
      </c>
      <c r="G485" s="2" t="s">
        <v>18</v>
      </c>
      <c r="H485" s="2" t="s">
        <v>158</v>
      </c>
      <c r="I485" s="2" t="s">
        <v>50</v>
      </c>
      <c r="J485" s="4">
        <v>1</v>
      </c>
      <c r="K485" s="5">
        <v>44.73</v>
      </c>
      <c r="L485" s="6">
        <v>0</v>
      </c>
      <c r="M485" s="5">
        <v>44.73</v>
      </c>
      <c r="P485" t="str">
        <f>TEXT(Tableau2[[#This Row],[Date]],"mmmm aaaa")</f>
        <v>juin 2026</v>
      </c>
    </row>
    <row r="486" spans="1:16">
      <c r="A486" s="2" t="s">
        <v>573</v>
      </c>
      <c r="B486" s="3">
        <v>46253</v>
      </c>
      <c r="C486" s="2" t="s">
        <v>130</v>
      </c>
      <c r="D486" s="2" t="s">
        <v>53</v>
      </c>
      <c r="E486" s="2" t="s">
        <v>16</v>
      </c>
      <c r="F486" s="2" t="s">
        <v>28</v>
      </c>
      <c r="G486" s="2" t="s">
        <v>18</v>
      </c>
      <c r="H486" s="2" t="s">
        <v>19</v>
      </c>
      <c r="I486" s="2" t="s">
        <v>50</v>
      </c>
      <c r="J486" s="4">
        <v>3</v>
      </c>
      <c r="K486" s="5">
        <v>51.8</v>
      </c>
      <c r="L486" s="6">
        <v>0</v>
      </c>
      <c r="M486" s="5">
        <v>155.4</v>
      </c>
      <c r="P486" t="str">
        <f>TEXT(Tableau2[[#This Row],[Date]],"mmmm aaaa")</f>
        <v>août 2026</v>
      </c>
    </row>
    <row r="487" spans="1:16">
      <c r="A487" s="2" t="s">
        <v>574</v>
      </c>
      <c r="B487" s="3">
        <v>46358</v>
      </c>
      <c r="C487" s="2" t="s">
        <v>116</v>
      </c>
      <c r="D487" s="2" t="s">
        <v>15</v>
      </c>
      <c r="E487" s="2" t="s">
        <v>16</v>
      </c>
      <c r="F487" s="2" t="s">
        <v>17</v>
      </c>
      <c r="G487" s="2" t="s">
        <v>29</v>
      </c>
      <c r="H487" s="2" t="s">
        <v>99</v>
      </c>
      <c r="I487" s="2" t="s">
        <v>75</v>
      </c>
      <c r="J487" s="4">
        <v>1</v>
      </c>
      <c r="K487" s="5">
        <v>60.4</v>
      </c>
      <c r="L487" s="6">
        <v>0.05</v>
      </c>
      <c r="M487" s="5">
        <v>57.38</v>
      </c>
      <c r="P487" t="str">
        <f>TEXT(Tableau2[[#This Row],[Date]],"mmmm aaaa")</f>
        <v>décembre 2026</v>
      </c>
    </row>
    <row r="488" spans="1:16">
      <c r="A488" s="2" t="s">
        <v>575</v>
      </c>
      <c r="B488" s="3">
        <v>46151</v>
      </c>
      <c r="C488" s="2" t="s">
        <v>57</v>
      </c>
      <c r="D488" s="2" t="s">
        <v>15</v>
      </c>
      <c r="E488" s="2" t="s">
        <v>43</v>
      </c>
      <c r="F488" s="2" t="s">
        <v>17</v>
      </c>
      <c r="G488" s="2" t="s">
        <v>48</v>
      </c>
      <c r="H488" s="2" t="s">
        <v>88</v>
      </c>
      <c r="I488" s="2" t="s">
        <v>58</v>
      </c>
      <c r="J488" s="4">
        <v>2</v>
      </c>
      <c r="K488" s="5">
        <v>81.48</v>
      </c>
      <c r="L488" s="6">
        <v>0.1</v>
      </c>
      <c r="M488" s="5">
        <v>146.66</v>
      </c>
      <c r="P488" t="str">
        <f>TEXT(Tableau2[[#This Row],[Date]],"mmmm aaaa")</f>
        <v>mai 2026</v>
      </c>
    </row>
    <row r="489" spans="1:16">
      <c r="A489" s="2" t="s">
        <v>576</v>
      </c>
      <c r="B489" s="3">
        <v>46188</v>
      </c>
      <c r="C489" s="2" t="s">
        <v>90</v>
      </c>
      <c r="D489" s="2" t="s">
        <v>53</v>
      </c>
      <c r="E489" s="2" t="s">
        <v>38</v>
      </c>
      <c r="F489" s="2" t="s">
        <v>17</v>
      </c>
      <c r="G489" s="2" t="s">
        <v>39</v>
      </c>
      <c r="H489" s="2" t="s">
        <v>40</v>
      </c>
      <c r="I489" s="2" t="s">
        <v>75</v>
      </c>
      <c r="J489" s="4">
        <v>1</v>
      </c>
      <c r="K489" s="5">
        <v>139.66</v>
      </c>
      <c r="L489" s="6">
        <v>0.1</v>
      </c>
      <c r="M489" s="5">
        <v>125.69</v>
      </c>
      <c r="P489" t="str">
        <f>TEXT(Tableau2[[#This Row],[Date]],"mmmm aaaa")</f>
        <v>juin 2026</v>
      </c>
    </row>
    <row r="490" spans="1:16">
      <c r="A490" s="2" t="s">
        <v>577</v>
      </c>
      <c r="B490" s="3">
        <v>46288</v>
      </c>
      <c r="C490" s="2" t="s">
        <v>47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136</v>
      </c>
      <c r="I490" s="2" t="s">
        <v>75</v>
      </c>
      <c r="J490" s="4">
        <v>1</v>
      </c>
      <c r="K490" s="5">
        <v>33.97</v>
      </c>
      <c r="L490" s="6">
        <v>0</v>
      </c>
      <c r="M490" s="5">
        <v>33.97</v>
      </c>
      <c r="P490" t="str">
        <f>TEXT(Tableau2[[#This Row],[Date]],"mmmm aaaa")</f>
        <v>septembre 2026</v>
      </c>
    </row>
    <row r="491" spans="1:16">
      <c r="A491" s="2" t="s">
        <v>578</v>
      </c>
      <c r="B491" s="3">
        <v>46044</v>
      </c>
      <c r="C491" s="2" t="s">
        <v>66</v>
      </c>
      <c r="D491" s="2" t="s">
        <v>23</v>
      </c>
      <c r="E491" s="2" t="s">
        <v>34</v>
      </c>
      <c r="F491" s="2" t="s">
        <v>17</v>
      </c>
      <c r="G491" s="2" t="s">
        <v>18</v>
      </c>
      <c r="H491" s="2" t="s">
        <v>143</v>
      </c>
      <c r="I491" s="2" t="s">
        <v>75</v>
      </c>
      <c r="J491" s="4">
        <v>3</v>
      </c>
      <c r="K491" s="5">
        <v>66.47</v>
      </c>
      <c r="L491" s="6">
        <v>0</v>
      </c>
      <c r="M491" s="5">
        <v>199.41</v>
      </c>
      <c r="P491" t="str">
        <f>TEXT(Tableau2[[#This Row],[Date]],"mmmm aaaa")</f>
        <v>janvier 2026</v>
      </c>
    </row>
    <row r="492" spans="1:16">
      <c r="A492" s="2" t="s">
        <v>579</v>
      </c>
      <c r="B492" s="3">
        <v>46334</v>
      </c>
      <c r="C492" s="2" t="s">
        <v>79</v>
      </c>
      <c r="D492" s="2" t="s">
        <v>33</v>
      </c>
      <c r="E492" s="2" t="s">
        <v>16</v>
      </c>
      <c r="F492" s="2" t="s">
        <v>28</v>
      </c>
      <c r="G492" s="2" t="s">
        <v>39</v>
      </c>
      <c r="H492" s="2" t="s">
        <v>40</v>
      </c>
      <c r="I492" s="2" t="s">
        <v>50</v>
      </c>
      <c r="J492" s="4">
        <v>4</v>
      </c>
      <c r="K492" s="5">
        <v>141.99</v>
      </c>
      <c r="L492" s="6">
        <v>0</v>
      </c>
      <c r="M492" s="5">
        <v>567.96</v>
      </c>
      <c r="P492" t="str">
        <f>TEXT(Tableau2[[#This Row],[Date]],"mmmm aaaa")</f>
        <v>novembre 2026</v>
      </c>
    </row>
    <row r="493" spans="1:16">
      <c r="A493" s="2" t="s">
        <v>580</v>
      </c>
      <c r="B493" s="3">
        <v>46277</v>
      </c>
      <c r="C493" s="2" t="s">
        <v>57</v>
      </c>
      <c r="D493" s="2" t="s">
        <v>15</v>
      </c>
      <c r="E493" s="2" t="s">
        <v>34</v>
      </c>
      <c r="F493" s="2" t="s">
        <v>28</v>
      </c>
      <c r="G493" s="2" t="s">
        <v>18</v>
      </c>
      <c r="H493" s="2" t="s">
        <v>158</v>
      </c>
      <c r="I493" s="2" t="s">
        <v>20</v>
      </c>
      <c r="J493" s="4">
        <v>1</v>
      </c>
      <c r="K493" s="5">
        <v>44.74</v>
      </c>
      <c r="L493" s="6">
        <v>0.1</v>
      </c>
      <c r="M493" s="5">
        <v>40.270000000000003</v>
      </c>
      <c r="P493" t="str">
        <f>TEXT(Tableau2[[#This Row],[Date]],"mmmm aaaa")</f>
        <v>septembre 2026</v>
      </c>
    </row>
    <row r="494" spans="1:16">
      <c r="A494" s="2" t="s">
        <v>581</v>
      </c>
      <c r="B494" s="3">
        <v>46205</v>
      </c>
      <c r="C494" s="2" t="s">
        <v>66</v>
      </c>
      <c r="D494" s="2" t="s">
        <v>23</v>
      </c>
      <c r="E494" s="2" t="s">
        <v>43</v>
      </c>
      <c r="F494" s="2" t="s">
        <v>28</v>
      </c>
      <c r="G494" s="2" t="s">
        <v>48</v>
      </c>
      <c r="H494" s="2" t="s">
        <v>77</v>
      </c>
      <c r="I494" s="2" t="s">
        <v>20</v>
      </c>
      <c r="J494" s="4">
        <v>12</v>
      </c>
      <c r="K494" s="5">
        <v>90.39</v>
      </c>
      <c r="L494" s="6">
        <v>0</v>
      </c>
      <c r="M494" s="5">
        <v>1084.68</v>
      </c>
      <c r="P494" t="str">
        <f>TEXT(Tableau2[[#This Row],[Date]],"mmmm aaaa")</f>
        <v>juillet 2026</v>
      </c>
    </row>
    <row r="495" spans="1:16">
      <c r="A495" s="2" t="s">
        <v>582</v>
      </c>
      <c r="B495" s="3">
        <v>46293</v>
      </c>
      <c r="C495" s="2" t="s">
        <v>90</v>
      </c>
      <c r="D495" s="2" t="s">
        <v>53</v>
      </c>
      <c r="E495" s="2" t="s">
        <v>34</v>
      </c>
      <c r="F495" s="2" t="s">
        <v>17</v>
      </c>
      <c r="G495" s="2" t="s">
        <v>24</v>
      </c>
      <c r="H495" s="2" t="s">
        <v>35</v>
      </c>
      <c r="I495" s="2" t="s">
        <v>75</v>
      </c>
      <c r="J495" s="4">
        <v>2</v>
      </c>
      <c r="K495" s="5">
        <v>178.52</v>
      </c>
      <c r="L495" s="6">
        <v>0.2</v>
      </c>
      <c r="M495" s="5">
        <v>285.63</v>
      </c>
      <c r="P495" t="str">
        <f>TEXT(Tableau2[[#This Row],[Date]],"mmmm aaaa")</f>
        <v>septembre 2026</v>
      </c>
    </row>
    <row r="496" spans="1:16">
      <c r="A496" s="2" t="s">
        <v>583</v>
      </c>
      <c r="B496" s="3">
        <v>46190</v>
      </c>
      <c r="C496" s="2" t="s">
        <v>63</v>
      </c>
      <c r="D496" s="2" t="s">
        <v>33</v>
      </c>
      <c r="E496" s="2" t="s">
        <v>34</v>
      </c>
      <c r="F496" s="2" t="s">
        <v>17</v>
      </c>
      <c r="G496" s="2" t="s">
        <v>18</v>
      </c>
      <c r="H496" s="2" t="s">
        <v>143</v>
      </c>
      <c r="I496" s="2" t="s">
        <v>58</v>
      </c>
      <c r="J496" s="4">
        <v>3</v>
      </c>
      <c r="K496" s="5">
        <v>69.069999999999993</v>
      </c>
      <c r="L496" s="6">
        <v>0.05</v>
      </c>
      <c r="M496" s="5">
        <v>196.85</v>
      </c>
      <c r="P496" t="str">
        <f>TEXT(Tableau2[[#This Row],[Date]],"mmmm aaaa")</f>
        <v>juin 2026</v>
      </c>
    </row>
    <row r="497" spans="1:16">
      <c r="A497" s="2" t="s">
        <v>584</v>
      </c>
      <c r="B497" s="3">
        <v>46056</v>
      </c>
      <c r="C497" s="2" t="s">
        <v>14</v>
      </c>
      <c r="D497" s="2" t="s">
        <v>15</v>
      </c>
      <c r="E497" s="2" t="s">
        <v>16</v>
      </c>
      <c r="F497" s="2" t="s">
        <v>17</v>
      </c>
      <c r="G497" s="2" t="s">
        <v>39</v>
      </c>
      <c r="H497" s="2" t="s">
        <v>95</v>
      </c>
      <c r="I497" s="2" t="s">
        <v>26</v>
      </c>
      <c r="J497" s="4">
        <v>3</v>
      </c>
      <c r="K497" s="5">
        <v>100.45</v>
      </c>
      <c r="L497" s="6">
        <v>0</v>
      </c>
      <c r="M497" s="5">
        <v>301.35000000000002</v>
      </c>
      <c r="P497" t="str">
        <f>TEXT(Tableau2[[#This Row],[Date]],"mmmm aaaa")</f>
        <v>février 2026</v>
      </c>
    </row>
    <row r="498" spans="1:16">
      <c r="A498" s="2" t="s">
        <v>585</v>
      </c>
      <c r="B498" s="3">
        <v>46059</v>
      </c>
      <c r="C498" s="2" t="s">
        <v>160</v>
      </c>
      <c r="D498" s="2" t="s">
        <v>33</v>
      </c>
      <c r="E498" s="2" t="s">
        <v>16</v>
      </c>
      <c r="F498" s="2" t="s">
        <v>28</v>
      </c>
      <c r="G498" s="2" t="s">
        <v>29</v>
      </c>
      <c r="H498" s="2" t="s">
        <v>44</v>
      </c>
      <c r="I498" s="2" t="s">
        <v>45</v>
      </c>
      <c r="J498" s="4">
        <v>1</v>
      </c>
      <c r="K498" s="5">
        <v>38.08</v>
      </c>
      <c r="L498" s="6">
        <v>0.1</v>
      </c>
      <c r="M498" s="5">
        <v>34.270000000000003</v>
      </c>
      <c r="P498" t="str">
        <f>TEXT(Tableau2[[#This Row],[Date]],"mmmm aaaa")</f>
        <v>février 2026</v>
      </c>
    </row>
    <row r="499" spans="1:16">
      <c r="A499" s="2" t="s">
        <v>586</v>
      </c>
      <c r="B499" s="3">
        <v>46354</v>
      </c>
      <c r="C499" s="2" t="s">
        <v>125</v>
      </c>
      <c r="D499" s="2" t="s">
        <v>23</v>
      </c>
      <c r="E499" s="2" t="s">
        <v>34</v>
      </c>
      <c r="F499" s="2" t="s">
        <v>17</v>
      </c>
      <c r="G499" s="2" t="s">
        <v>24</v>
      </c>
      <c r="H499" s="2" t="s">
        <v>35</v>
      </c>
      <c r="I499" s="2" t="s">
        <v>58</v>
      </c>
      <c r="J499" s="4">
        <v>2</v>
      </c>
      <c r="K499" s="5">
        <v>160.49</v>
      </c>
      <c r="L499" s="6">
        <v>0</v>
      </c>
      <c r="M499" s="5">
        <v>320.98</v>
      </c>
      <c r="P499" t="str">
        <f>TEXT(Tableau2[[#This Row],[Date]],"mmmm aaaa")</f>
        <v>novembre 2026</v>
      </c>
    </row>
    <row r="500" spans="1:16">
      <c r="A500" s="2" t="s">
        <v>587</v>
      </c>
      <c r="B500" s="3">
        <v>46147</v>
      </c>
      <c r="C500" s="2" t="s">
        <v>63</v>
      </c>
      <c r="D500" s="2" t="s">
        <v>33</v>
      </c>
      <c r="E500" s="2" t="s">
        <v>16</v>
      </c>
      <c r="F500" s="2" t="s">
        <v>17</v>
      </c>
      <c r="G500" s="2" t="s">
        <v>18</v>
      </c>
      <c r="H500" s="2" t="s">
        <v>19</v>
      </c>
      <c r="I500" s="2" t="s">
        <v>50</v>
      </c>
      <c r="J500" s="4">
        <v>3</v>
      </c>
      <c r="K500" s="5">
        <v>56.11</v>
      </c>
      <c r="L500" s="6">
        <v>0</v>
      </c>
      <c r="M500" s="5">
        <v>168.33</v>
      </c>
      <c r="P500" t="str">
        <f>TEXT(Tableau2[[#This Row],[Date]],"mmmm aaaa")</f>
        <v>mai 2026</v>
      </c>
    </row>
    <row r="501" spans="1:16">
      <c r="A501" s="2" t="s">
        <v>588</v>
      </c>
      <c r="B501" s="3">
        <v>46147</v>
      </c>
      <c r="C501" s="2" t="s">
        <v>60</v>
      </c>
      <c r="D501" s="2" t="s">
        <v>33</v>
      </c>
      <c r="E501" s="2" t="s">
        <v>43</v>
      </c>
      <c r="F501" s="2" t="s">
        <v>28</v>
      </c>
      <c r="G501" s="2" t="s">
        <v>29</v>
      </c>
      <c r="H501" s="2" t="s">
        <v>99</v>
      </c>
      <c r="I501" s="2" t="s">
        <v>41</v>
      </c>
      <c r="J501" s="4">
        <v>3</v>
      </c>
      <c r="K501" s="5">
        <v>60.37</v>
      </c>
      <c r="L501" s="6">
        <v>0.2</v>
      </c>
      <c r="M501" s="5">
        <v>144.88999999999999</v>
      </c>
      <c r="P501" t="str">
        <f>TEXT(Tableau2[[#This Row],[Date]],"mmmm aaaa")</f>
        <v>mai 2026</v>
      </c>
    </row>
    <row r="502" spans="1:16">
      <c r="A502" s="2" t="s">
        <v>589</v>
      </c>
      <c r="B502" s="3">
        <v>46222</v>
      </c>
      <c r="C502" s="2" t="s">
        <v>164</v>
      </c>
      <c r="D502" s="2" t="s">
        <v>53</v>
      </c>
      <c r="E502" s="2" t="s">
        <v>43</v>
      </c>
      <c r="F502" s="2" t="s">
        <v>17</v>
      </c>
      <c r="G502" s="2" t="s">
        <v>18</v>
      </c>
      <c r="H502" s="2" t="s">
        <v>136</v>
      </c>
      <c r="I502" s="2" t="s">
        <v>20</v>
      </c>
      <c r="J502" s="4">
        <v>1</v>
      </c>
      <c r="K502" s="5">
        <v>34.47</v>
      </c>
      <c r="L502" s="6">
        <v>0.1</v>
      </c>
      <c r="M502" s="5">
        <v>31.02</v>
      </c>
      <c r="P502" t="str">
        <f>TEXT(Tableau2[[#This Row],[Date]],"mmmm aaaa")</f>
        <v>juillet 2026</v>
      </c>
    </row>
    <row r="503" spans="1:16">
      <c r="A503" s="2" t="s">
        <v>590</v>
      </c>
      <c r="B503" s="3">
        <v>46120</v>
      </c>
      <c r="C503" s="2" t="s">
        <v>164</v>
      </c>
      <c r="D503" s="2" t="s">
        <v>53</v>
      </c>
      <c r="E503" s="2" t="s">
        <v>43</v>
      </c>
      <c r="F503" s="2" t="s">
        <v>17</v>
      </c>
      <c r="G503" s="2" t="s">
        <v>39</v>
      </c>
      <c r="H503" s="2" t="s">
        <v>40</v>
      </c>
      <c r="I503" s="2" t="s">
        <v>20</v>
      </c>
      <c r="J503" s="4">
        <v>11</v>
      </c>
      <c r="K503" s="5">
        <v>128.12</v>
      </c>
      <c r="L503" s="6">
        <v>0.1</v>
      </c>
      <c r="M503" s="5">
        <v>1268.3900000000001</v>
      </c>
      <c r="P503" t="str">
        <f>TEXT(Tableau2[[#This Row],[Date]],"mmmm aaaa")</f>
        <v>avril 2026</v>
      </c>
    </row>
    <row r="504" spans="1:16">
      <c r="A504" s="2" t="s">
        <v>591</v>
      </c>
      <c r="B504" s="3">
        <v>46084</v>
      </c>
      <c r="C504" s="2" t="s">
        <v>63</v>
      </c>
      <c r="D504" s="2" t="s">
        <v>33</v>
      </c>
      <c r="E504" s="2" t="s">
        <v>38</v>
      </c>
      <c r="F504" s="2" t="s">
        <v>17</v>
      </c>
      <c r="G504" s="2" t="s">
        <v>54</v>
      </c>
      <c r="H504" s="2" t="s">
        <v>64</v>
      </c>
      <c r="I504" s="2" t="s">
        <v>36</v>
      </c>
      <c r="J504" s="4">
        <v>1</v>
      </c>
      <c r="K504" s="5">
        <v>85.11</v>
      </c>
      <c r="L504" s="6">
        <v>0</v>
      </c>
      <c r="M504" s="5">
        <v>85.11</v>
      </c>
      <c r="P504" t="str">
        <f>TEXT(Tableau2[[#This Row],[Date]],"mmmm aaaa")</f>
        <v>mars 2026</v>
      </c>
    </row>
    <row r="505" spans="1:16">
      <c r="A505" s="2" t="s">
        <v>592</v>
      </c>
      <c r="B505" s="3">
        <v>46248</v>
      </c>
      <c r="C505" s="2" t="s">
        <v>63</v>
      </c>
      <c r="D505" s="2" t="s">
        <v>33</v>
      </c>
      <c r="E505" s="2" t="s">
        <v>43</v>
      </c>
      <c r="F505" s="2" t="s">
        <v>28</v>
      </c>
      <c r="G505" s="2" t="s">
        <v>39</v>
      </c>
      <c r="H505" s="2" t="s">
        <v>95</v>
      </c>
      <c r="I505" s="2" t="s">
        <v>50</v>
      </c>
      <c r="J505" s="4">
        <v>2</v>
      </c>
      <c r="K505" s="5">
        <v>99.12</v>
      </c>
      <c r="L505" s="6">
        <v>0</v>
      </c>
      <c r="M505" s="5">
        <v>198.24</v>
      </c>
      <c r="P505" t="str">
        <f>TEXT(Tableau2[[#This Row],[Date]],"mmmm aaaa")</f>
        <v>août 2026</v>
      </c>
    </row>
    <row r="506" spans="1:16">
      <c r="A506" s="2" t="s">
        <v>593</v>
      </c>
      <c r="B506" s="3">
        <v>46028</v>
      </c>
      <c r="C506" s="2" t="s">
        <v>63</v>
      </c>
      <c r="D506" s="2" t="s">
        <v>33</v>
      </c>
      <c r="E506" s="2" t="s">
        <v>43</v>
      </c>
      <c r="F506" s="2" t="s">
        <v>28</v>
      </c>
      <c r="G506" s="2" t="s">
        <v>54</v>
      </c>
      <c r="H506" s="2" t="s">
        <v>55</v>
      </c>
      <c r="I506" s="2" t="s">
        <v>20</v>
      </c>
      <c r="J506" s="4">
        <v>8</v>
      </c>
      <c r="K506" s="5">
        <v>153.63</v>
      </c>
      <c r="L506" s="6">
        <v>0</v>
      </c>
      <c r="M506" s="5">
        <v>1229.04</v>
      </c>
      <c r="P506" t="str">
        <f>TEXT(Tableau2[[#This Row],[Date]],"mmmm aaaa")</f>
        <v>janvier 2026</v>
      </c>
    </row>
    <row r="507" spans="1:16">
      <c r="A507" s="2" t="s">
        <v>594</v>
      </c>
      <c r="B507" s="3">
        <v>46025</v>
      </c>
      <c r="C507" s="2" t="s">
        <v>106</v>
      </c>
      <c r="D507" s="2" t="s">
        <v>23</v>
      </c>
      <c r="E507" s="2" t="s">
        <v>16</v>
      </c>
      <c r="F507" s="2" t="s">
        <v>17</v>
      </c>
      <c r="G507" s="2" t="s">
        <v>39</v>
      </c>
      <c r="H507" s="2" t="s">
        <v>95</v>
      </c>
      <c r="I507" s="2" t="s">
        <v>75</v>
      </c>
      <c r="J507" s="4">
        <v>1</v>
      </c>
      <c r="K507" s="5">
        <v>103.67</v>
      </c>
      <c r="L507" s="6">
        <v>0.3</v>
      </c>
      <c r="M507" s="5">
        <v>72.569999999999993</v>
      </c>
      <c r="P507" t="str">
        <f>TEXT(Tableau2[[#This Row],[Date]],"mmmm aaaa")</f>
        <v>janvier 2026</v>
      </c>
    </row>
    <row r="508" spans="1:16">
      <c r="A508" s="2" t="s">
        <v>595</v>
      </c>
      <c r="B508" s="3">
        <v>46092</v>
      </c>
      <c r="C508" s="2" t="s">
        <v>52</v>
      </c>
      <c r="D508" s="2" t="s">
        <v>53</v>
      </c>
      <c r="E508" s="2" t="s">
        <v>38</v>
      </c>
      <c r="F508" s="2" t="s">
        <v>28</v>
      </c>
      <c r="G508" s="2" t="s">
        <v>48</v>
      </c>
      <c r="H508" s="2" t="s">
        <v>84</v>
      </c>
      <c r="I508" s="2" t="s">
        <v>20</v>
      </c>
      <c r="J508" s="4">
        <v>2</v>
      </c>
      <c r="K508" s="5">
        <v>89.46</v>
      </c>
      <c r="L508" s="6">
        <v>0</v>
      </c>
      <c r="M508" s="5">
        <v>178.92</v>
      </c>
      <c r="P508" t="str">
        <f>TEXT(Tableau2[[#This Row],[Date]],"mmmm aaaa")</f>
        <v>mars 2026</v>
      </c>
    </row>
    <row r="509" spans="1:16">
      <c r="A509" s="2" t="s">
        <v>596</v>
      </c>
      <c r="B509" s="3">
        <v>46098</v>
      </c>
      <c r="C509" s="2" t="s">
        <v>134</v>
      </c>
      <c r="D509" s="2" t="s">
        <v>15</v>
      </c>
      <c r="E509" s="2" t="s">
        <v>16</v>
      </c>
      <c r="F509" s="2" t="s">
        <v>17</v>
      </c>
      <c r="G509" s="2" t="s">
        <v>18</v>
      </c>
      <c r="H509" s="2" t="s">
        <v>158</v>
      </c>
      <c r="I509" s="2" t="s">
        <v>41</v>
      </c>
      <c r="J509" s="4">
        <v>8</v>
      </c>
      <c r="K509" s="5">
        <v>45.45</v>
      </c>
      <c r="L509" s="6">
        <v>0</v>
      </c>
      <c r="M509" s="5">
        <v>363.6</v>
      </c>
      <c r="P509" t="str">
        <f>TEXT(Tableau2[[#This Row],[Date]],"mmmm aaaa")</f>
        <v>mars 2026</v>
      </c>
    </row>
    <row r="510" spans="1:16">
      <c r="A510" s="2" t="s">
        <v>597</v>
      </c>
      <c r="B510" s="3">
        <v>46283</v>
      </c>
      <c r="C510" s="2" t="s">
        <v>92</v>
      </c>
      <c r="D510" s="2" t="s">
        <v>53</v>
      </c>
      <c r="E510" s="2" t="s">
        <v>34</v>
      </c>
      <c r="F510" s="2" t="s">
        <v>17</v>
      </c>
      <c r="G510" s="2" t="s">
        <v>39</v>
      </c>
      <c r="H510" s="2" t="s">
        <v>95</v>
      </c>
      <c r="I510" s="2" t="s">
        <v>41</v>
      </c>
      <c r="J510" s="4">
        <v>2</v>
      </c>
      <c r="K510" s="5">
        <v>103.81</v>
      </c>
      <c r="L510" s="6">
        <v>0</v>
      </c>
      <c r="M510" s="5">
        <v>207.62</v>
      </c>
      <c r="P510" t="str">
        <f>TEXT(Tableau2[[#This Row],[Date]],"mmmm aaaa")</f>
        <v>septembre 2026</v>
      </c>
    </row>
    <row r="511" spans="1:16">
      <c r="A511" s="2" t="s">
        <v>598</v>
      </c>
      <c r="B511" s="3">
        <v>46319</v>
      </c>
      <c r="C511" s="2" t="s">
        <v>63</v>
      </c>
      <c r="D511" s="2" t="s">
        <v>33</v>
      </c>
      <c r="E511" s="2" t="s">
        <v>34</v>
      </c>
      <c r="F511" s="2" t="s">
        <v>28</v>
      </c>
      <c r="G511" s="2" t="s">
        <v>48</v>
      </c>
      <c r="H511" s="2" t="s">
        <v>77</v>
      </c>
      <c r="I511" s="2" t="s">
        <v>50</v>
      </c>
      <c r="J511" s="4">
        <v>2</v>
      </c>
      <c r="K511" s="5">
        <v>87.93</v>
      </c>
      <c r="L511" s="6">
        <v>0.1</v>
      </c>
      <c r="M511" s="5">
        <v>158.27000000000001</v>
      </c>
      <c r="P511" t="str">
        <f>TEXT(Tableau2[[#This Row],[Date]],"mmmm aaaa")</f>
        <v>octobre 2026</v>
      </c>
    </row>
    <row r="512" spans="1:16">
      <c r="A512" s="2" t="s">
        <v>599</v>
      </c>
      <c r="B512" s="3">
        <v>46281</v>
      </c>
      <c r="C512" s="2" t="s">
        <v>90</v>
      </c>
      <c r="D512" s="2" t="s">
        <v>53</v>
      </c>
      <c r="E512" s="2" t="s">
        <v>16</v>
      </c>
      <c r="F512" s="2" t="s">
        <v>28</v>
      </c>
      <c r="G512" s="2" t="s">
        <v>18</v>
      </c>
      <c r="H512" s="2" t="s">
        <v>136</v>
      </c>
      <c r="I512" s="2" t="s">
        <v>75</v>
      </c>
      <c r="J512" s="4">
        <v>1</v>
      </c>
      <c r="K512" s="5">
        <v>34.18</v>
      </c>
      <c r="L512" s="6">
        <v>0</v>
      </c>
      <c r="M512" s="5">
        <v>34.18</v>
      </c>
      <c r="P512" t="str">
        <f>TEXT(Tableau2[[#This Row],[Date]],"mmmm aaaa")</f>
        <v>septembre 2026</v>
      </c>
    </row>
    <row r="513" spans="1:16">
      <c r="A513" s="2" t="s">
        <v>600</v>
      </c>
      <c r="B513" s="3">
        <v>46315</v>
      </c>
      <c r="C513" s="2" t="s">
        <v>52</v>
      </c>
      <c r="D513" s="2" t="s">
        <v>53</v>
      </c>
      <c r="E513" s="2" t="s">
        <v>34</v>
      </c>
      <c r="F513" s="2" t="s">
        <v>28</v>
      </c>
      <c r="G513" s="2" t="s">
        <v>24</v>
      </c>
      <c r="H513" s="2" t="s">
        <v>25</v>
      </c>
      <c r="I513" s="2" t="s">
        <v>36</v>
      </c>
      <c r="J513" s="4">
        <v>10</v>
      </c>
      <c r="K513" s="5">
        <v>131.32</v>
      </c>
      <c r="L513" s="6">
        <v>0</v>
      </c>
      <c r="M513" s="5">
        <v>1313.2</v>
      </c>
      <c r="P513" t="str">
        <f>TEXT(Tableau2[[#This Row],[Date]],"mmmm aaaa")</f>
        <v>octobre 2026</v>
      </c>
    </row>
    <row r="514" spans="1:16">
      <c r="A514" s="2" t="s">
        <v>601</v>
      </c>
      <c r="B514" s="3">
        <v>46074</v>
      </c>
      <c r="C514" s="2" t="s">
        <v>63</v>
      </c>
      <c r="D514" s="2" t="s">
        <v>33</v>
      </c>
      <c r="E514" s="2" t="s">
        <v>16</v>
      </c>
      <c r="F514" s="2" t="s">
        <v>17</v>
      </c>
      <c r="G514" s="2" t="s">
        <v>48</v>
      </c>
      <c r="H514" s="2" t="s">
        <v>84</v>
      </c>
      <c r="I514" s="2" t="s">
        <v>75</v>
      </c>
      <c r="J514" s="4">
        <v>1</v>
      </c>
      <c r="K514" s="5">
        <v>94.55</v>
      </c>
      <c r="L514" s="6">
        <v>0</v>
      </c>
      <c r="M514" s="5">
        <v>94.55</v>
      </c>
      <c r="P514" t="str">
        <f>TEXT(Tableau2[[#This Row],[Date]],"mmmm aaaa")</f>
        <v>février 2026</v>
      </c>
    </row>
    <row r="515" spans="1:16">
      <c r="A515" s="2" t="s">
        <v>602</v>
      </c>
      <c r="B515" s="3">
        <v>46362</v>
      </c>
      <c r="C515" s="2" t="s">
        <v>130</v>
      </c>
      <c r="D515" s="2" t="s">
        <v>53</v>
      </c>
      <c r="E515" s="2" t="s">
        <v>34</v>
      </c>
      <c r="F515" s="2" t="s">
        <v>28</v>
      </c>
      <c r="G515" s="2" t="s">
        <v>24</v>
      </c>
      <c r="H515" s="2" t="s">
        <v>61</v>
      </c>
      <c r="I515" s="2" t="s">
        <v>45</v>
      </c>
      <c r="J515" s="4">
        <v>5</v>
      </c>
      <c r="K515" s="5">
        <v>220.93</v>
      </c>
      <c r="L515" s="6">
        <v>0.05</v>
      </c>
      <c r="M515" s="5">
        <v>1049.42</v>
      </c>
      <c r="P515" t="str">
        <f>TEXT(Tableau2[[#This Row],[Date]],"mmmm aaaa")</f>
        <v>décembre 2026</v>
      </c>
    </row>
    <row r="516" spans="1:16">
      <c r="A516" s="2" t="s">
        <v>603</v>
      </c>
      <c r="B516" s="3">
        <v>46236</v>
      </c>
      <c r="C516" s="2" t="s">
        <v>63</v>
      </c>
      <c r="D516" s="2" t="s">
        <v>33</v>
      </c>
      <c r="E516" s="2" t="s">
        <v>34</v>
      </c>
      <c r="F516" s="2" t="s">
        <v>28</v>
      </c>
      <c r="G516" s="2" t="s">
        <v>39</v>
      </c>
      <c r="H516" s="2" t="s">
        <v>40</v>
      </c>
      <c r="I516" s="2" t="s">
        <v>50</v>
      </c>
      <c r="J516" s="4">
        <v>1</v>
      </c>
      <c r="K516" s="5">
        <v>136.88</v>
      </c>
      <c r="L516" s="6">
        <v>0</v>
      </c>
      <c r="M516" s="5">
        <v>136.88</v>
      </c>
      <c r="P516" t="str">
        <f>TEXT(Tableau2[[#This Row],[Date]],"mmmm aaaa")</f>
        <v>août 2026</v>
      </c>
    </row>
    <row r="517" spans="1:16">
      <c r="A517" s="2" t="s">
        <v>604</v>
      </c>
      <c r="B517" s="3">
        <v>46028</v>
      </c>
      <c r="C517" s="2" t="s">
        <v>116</v>
      </c>
      <c r="D517" s="2" t="s">
        <v>15</v>
      </c>
      <c r="E517" s="2" t="s">
        <v>38</v>
      </c>
      <c r="F517" s="2" t="s">
        <v>17</v>
      </c>
      <c r="G517" s="2" t="s">
        <v>48</v>
      </c>
      <c r="H517" s="2" t="s">
        <v>49</v>
      </c>
      <c r="I517" s="2" t="s">
        <v>20</v>
      </c>
      <c r="J517" s="4">
        <v>1</v>
      </c>
      <c r="K517" s="5">
        <v>59.19</v>
      </c>
      <c r="L517" s="6">
        <v>0</v>
      </c>
      <c r="M517" s="5">
        <v>59.19</v>
      </c>
      <c r="P517" t="str">
        <f>TEXT(Tableau2[[#This Row],[Date]],"mmmm aaaa")</f>
        <v>janvier 2026</v>
      </c>
    </row>
    <row r="518" spans="1:16">
      <c r="A518" s="2" t="s">
        <v>605</v>
      </c>
      <c r="B518" s="3">
        <v>46328</v>
      </c>
      <c r="C518" s="2" t="s">
        <v>22</v>
      </c>
      <c r="D518" s="2" t="s">
        <v>23</v>
      </c>
      <c r="E518" s="2" t="s">
        <v>34</v>
      </c>
      <c r="F518" s="2" t="s">
        <v>17</v>
      </c>
      <c r="G518" s="2" t="s">
        <v>54</v>
      </c>
      <c r="H518" s="2" t="s">
        <v>102</v>
      </c>
      <c r="I518" s="2" t="s">
        <v>75</v>
      </c>
      <c r="J518" s="4">
        <v>13</v>
      </c>
      <c r="K518" s="5">
        <v>216.56</v>
      </c>
      <c r="L518" s="6">
        <v>0.2</v>
      </c>
      <c r="M518" s="5">
        <v>2252.2199999999998</v>
      </c>
      <c r="P518" t="str">
        <f>TEXT(Tableau2[[#This Row],[Date]],"mmmm aaaa")</f>
        <v>novembre 2026</v>
      </c>
    </row>
    <row r="519" spans="1:16">
      <c r="A519" s="2" t="s">
        <v>606</v>
      </c>
      <c r="B519" s="3">
        <v>46217</v>
      </c>
      <c r="C519" s="2" t="s">
        <v>116</v>
      </c>
      <c r="D519" s="2" t="s">
        <v>15</v>
      </c>
      <c r="E519" s="2" t="s">
        <v>43</v>
      </c>
      <c r="F519" s="2" t="s">
        <v>17</v>
      </c>
      <c r="G519" s="2" t="s">
        <v>24</v>
      </c>
      <c r="H519" s="2" t="s">
        <v>61</v>
      </c>
      <c r="I519" s="2" t="s">
        <v>36</v>
      </c>
      <c r="J519" s="4">
        <v>4</v>
      </c>
      <c r="K519" s="5">
        <v>238.97</v>
      </c>
      <c r="L519" s="6">
        <v>0</v>
      </c>
      <c r="M519" s="5">
        <v>955.88</v>
      </c>
      <c r="P519" t="str">
        <f>TEXT(Tableau2[[#This Row],[Date]],"mmmm aaaa")</f>
        <v>juillet 2026</v>
      </c>
    </row>
    <row r="520" spans="1:16">
      <c r="A520" s="2" t="s">
        <v>607</v>
      </c>
      <c r="B520" s="3">
        <v>46188</v>
      </c>
      <c r="C520" s="2" t="s">
        <v>134</v>
      </c>
      <c r="D520" s="2" t="s">
        <v>15</v>
      </c>
      <c r="E520" s="2" t="s">
        <v>16</v>
      </c>
      <c r="F520" s="2" t="s">
        <v>28</v>
      </c>
      <c r="G520" s="2" t="s">
        <v>29</v>
      </c>
      <c r="H520" s="2" t="s">
        <v>30</v>
      </c>
      <c r="I520" s="2" t="s">
        <v>45</v>
      </c>
      <c r="J520" s="4">
        <v>1</v>
      </c>
      <c r="K520" s="5">
        <v>24.08</v>
      </c>
      <c r="L520" s="6">
        <v>0</v>
      </c>
      <c r="M520" s="5">
        <v>24.08</v>
      </c>
      <c r="P520" t="str">
        <f>TEXT(Tableau2[[#This Row],[Date]],"mmmm aaaa")</f>
        <v>juin 2026</v>
      </c>
    </row>
    <row r="521" spans="1:16">
      <c r="A521" s="2" t="s">
        <v>608</v>
      </c>
      <c r="B521" s="3">
        <v>46325</v>
      </c>
      <c r="C521" s="2" t="s">
        <v>86</v>
      </c>
      <c r="D521" s="2" t="s">
        <v>53</v>
      </c>
      <c r="E521" s="2" t="s">
        <v>43</v>
      </c>
      <c r="F521" s="2" t="s">
        <v>28</v>
      </c>
      <c r="G521" s="2" t="s">
        <v>29</v>
      </c>
      <c r="H521" s="2" t="s">
        <v>30</v>
      </c>
      <c r="I521" s="2" t="s">
        <v>26</v>
      </c>
      <c r="J521" s="4">
        <v>3</v>
      </c>
      <c r="K521" s="5">
        <v>25.91</v>
      </c>
      <c r="L521" s="6">
        <v>0.1</v>
      </c>
      <c r="M521" s="5">
        <v>69.959999999999994</v>
      </c>
      <c r="P521" t="str">
        <f>TEXT(Tableau2[[#This Row],[Date]],"mmmm aaaa")</f>
        <v>octobre 2026</v>
      </c>
    </row>
    <row r="522" spans="1:16">
      <c r="A522" s="2" t="s">
        <v>609</v>
      </c>
      <c r="B522" s="3">
        <v>46090</v>
      </c>
      <c r="C522" s="2" t="s">
        <v>63</v>
      </c>
      <c r="D522" s="2" t="s">
        <v>33</v>
      </c>
      <c r="E522" s="2" t="s">
        <v>16</v>
      </c>
      <c r="F522" s="2" t="s">
        <v>28</v>
      </c>
      <c r="G522" s="2" t="s">
        <v>24</v>
      </c>
      <c r="H522" s="2" t="s">
        <v>61</v>
      </c>
      <c r="I522" s="2" t="s">
        <v>45</v>
      </c>
      <c r="J522" s="4">
        <v>3</v>
      </c>
      <c r="K522" s="5">
        <v>250.02</v>
      </c>
      <c r="L522" s="6">
        <v>0</v>
      </c>
      <c r="M522" s="5">
        <v>750.06</v>
      </c>
      <c r="P522" t="str">
        <f>TEXT(Tableau2[[#This Row],[Date]],"mmmm aaaa")</f>
        <v>mars 2026</v>
      </c>
    </row>
    <row r="523" spans="1:16">
      <c r="A523" s="2" t="s">
        <v>610</v>
      </c>
      <c r="B523" s="3">
        <v>46337</v>
      </c>
      <c r="C523" s="2" t="s">
        <v>86</v>
      </c>
      <c r="D523" s="2" t="s">
        <v>53</v>
      </c>
      <c r="E523" s="2" t="s">
        <v>34</v>
      </c>
      <c r="F523" s="2" t="s">
        <v>17</v>
      </c>
      <c r="G523" s="2" t="s">
        <v>39</v>
      </c>
      <c r="H523" s="2" t="s">
        <v>95</v>
      </c>
      <c r="I523" s="2" t="s">
        <v>26</v>
      </c>
      <c r="J523" s="4">
        <v>8</v>
      </c>
      <c r="K523" s="5">
        <v>103.88</v>
      </c>
      <c r="L523" s="6">
        <v>0.05</v>
      </c>
      <c r="M523" s="5">
        <v>789.49</v>
      </c>
      <c r="P523" t="str">
        <f>TEXT(Tableau2[[#This Row],[Date]],"mmmm aaaa")</f>
        <v>novembre 2026</v>
      </c>
    </row>
    <row r="524" spans="1:16">
      <c r="A524" s="2" t="s">
        <v>611</v>
      </c>
      <c r="B524" s="3">
        <v>46168</v>
      </c>
      <c r="C524" s="2" t="s">
        <v>130</v>
      </c>
      <c r="D524" s="2" t="s">
        <v>53</v>
      </c>
      <c r="E524" s="2" t="s">
        <v>34</v>
      </c>
      <c r="F524" s="2" t="s">
        <v>17</v>
      </c>
      <c r="G524" s="2" t="s">
        <v>54</v>
      </c>
      <c r="H524" s="2" t="s">
        <v>64</v>
      </c>
      <c r="I524" s="2" t="s">
        <v>20</v>
      </c>
      <c r="J524" s="4">
        <v>6</v>
      </c>
      <c r="K524" s="5">
        <v>84.53</v>
      </c>
      <c r="L524" s="6">
        <v>0.05</v>
      </c>
      <c r="M524" s="5">
        <v>481.82</v>
      </c>
      <c r="P524" t="str">
        <f>TEXT(Tableau2[[#This Row],[Date]],"mmmm aaaa")</f>
        <v>mai 2026</v>
      </c>
    </row>
    <row r="525" spans="1:16">
      <c r="A525" s="2" t="s">
        <v>612</v>
      </c>
      <c r="B525" s="3">
        <v>46223</v>
      </c>
      <c r="C525" s="2" t="s">
        <v>52</v>
      </c>
      <c r="D525" s="2" t="s">
        <v>53</v>
      </c>
      <c r="E525" s="2" t="s">
        <v>34</v>
      </c>
      <c r="F525" s="2" t="s">
        <v>17</v>
      </c>
      <c r="G525" s="2" t="s">
        <v>18</v>
      </c>
      <c r="H525" s="2" t="s">
        <v>158</v>
      </c>
      <c r="I525" s="2" t="s">
        <v>41</v>
      </c>
      <c r="J525" s="4">
        <v>1</v>
      </c>
      <c r="K525" s="5">
        <v>43.64</v>
      </c>
      <c r="L525" s="6">
        <v>0.2</v>
      </c>
      <c r="M525" s="5">
        <v>34.909999999999997</v>
      </c>
      <c r="P525" t="str">
        <f>TEXT(Tableau2[[#This Row],[Date]],"mmmm aaaa")</f>
        <v>juillet 2026</v>
      </c>
    </row>
    <row r="526" spans="1:16">
      <c r="A526" s="2" t="s">
        <v>613</v>
      </c>
      <c r="B526" s="3">
        <v>46196</v>
      </c>
      <c r="C526" s="2" t="s">
        <v>106</v>
      </c>
      <c r="D526" s="2" t="s">
        <v>23</v>
      </c>
      <c r="E526" s="2" t="s">
        <v>16</v>
      </c>
      <c r="F526" s="2" t="s">
        <v>17</v>
      </c>
      <c r="G526" s="2" t="s">
        <v>54</v>
      </c>
      <c r="H526" s="2" t="s">
        <v>102</v>
      </c>
      <c r="I526" s="2" t="s">
        <v>75</v>
      </c>
      <c r="J526" s="4">
        <v>1</v>
      </c>
      <c r="K526" s="5">
        <v>205.97</v>
      </c>
      <c r="L526" s="6">
        <v>0</v>
      </c>
      <c r="M526" s="5">
        <v>205.97</v>
      </c>
      <c r="P526" t="str">
        <f>TEXT(Tableau2[[#This Row],[Date]],"mmmm aaaa")</f>
        <v>juin 2026</v>
      </c>
    </row>
    <row r="527" spans="1:16">
      <c r="A527" s="2" t="s">
        <v>614</v>
      </c>
      <c r="B527" s="3">
        <v>46141</v>
      </c>
      <c r="C527" s="2" t="s">
        <v>57</v>
      </c>
      <c r="D527" s="2" t="s">
        <v>15</v>
      </c>
      <c r="E527" s="2" t="s">
        <v>16</v>
      </c>
      <c r="F527" s="2" t="s">
        <v>28</v>
      </c>
      <c r="G527" s="2" t="s">
        <v>24</v>
      </c>
      <c r="H527" s="2" t="s">
        <v>61</v>
      </c>
      <c r="I527" s="2" t="s">
        <v>36</v>
      </c>
      <c r="J527" s="4">
        <v>2</v>
      </c>
      <c r="K527" s="5">
        <v>236.11</v>
      </c>
      <c r="L527" s="6">
        <v>0</v>
      </c>
      <c r="M527" s="5">
        <v>472.22</v>
      </c>
      <c r="P527" t="str">
        <f>TEXT(Tableau2[[#This Row],[Date]],"mmmm aaaa")</f>
        <v>avril 2026</v>
      </c>
    </row>
    <row r="528" spans="1:16">
      <c r="A528" s="2" t="s">
        <v>615</v>
      </c>
      <c r="B528" s="3">
        <v>46079</v>
      </c>
      <c r="C528" s="2" t="s">
        <v>14</v>
      </c>
      <c r="D528" s="2" t="s">
        <v>15</v>
      </c>
      <c r="E528" s="2" t="s">
        <v>34</v>
      </c>
      <c r="F528" s="2" t="s">
        <v>28</v>
      </c>
      <c r="G528" s="2" t="s">
        <v>54</v>
      </c>
      <c r="H528" s="2" t="s">
        <v>64</v>
      </c>
      <c r="I528" s="2" t="s">
        <v>20</v>
      </c>
      <c r="J528" s="4">
        <v>6</v>
      </c>
      <c r="K528" s="5">
        <v>89.96</v>
      </c>
      <c r="L528" s="6">
        <v>0</v>
      </c>
      <c r="M528" s="5">
        <v>539.76</v>
      </c>
      <c r="P528" t="str">
        <f>TEXT(Tableau2[[#This Row],[Date]],"mmmm aaaa")</f>
        <v>février 2026</v>
      </c>
    </row>
    <row r="529" spans="1:16">
      <c r="A529" s="2" t="s">
        <v>616</v>
      </c>
      <c r="B529" s="3">
        <v>46180</v>
      </c>
      <c r="C529" s="2" t="s">
        <v>164</v>
      </c>
      <c r="D529" s="2" t="s">
        <v>53</v>
      </c>
      <c r="E529" s="2" t="s">
        <v>34</v>
      </c>
      <c r="F529" s="2" t="s">
        <v>17</v>
      </c>
      <c r="G529" s="2" t="s">
        <v>18</v>
      </c>
      <c r="H529" s="2" t="s">
        <v>143</v>
      </c>
      <c r="I529" s="2" t="s">
        <v>75</v>
      </c>
      <c r="J529" s="4">
        <v>4</v>
      </c>
      <c r="K529" s="5">
        <v>67.84</v>
      </c>
      <c r="L529" s="6">
        <v>0</v>
      </c>
      <c r="M529" s="5">
        <v>271.36</v>
      </c>
      <c r="P529" t="str">
        <f>TEXT(Tableau2[[#This Row],[Date]],"mmmm aaaa")</f>
        <v>juin 2026</v>
      </c>
    </row>
    <row r="530" spans="1:16">
      <c r="A530" s="2" t="s">
        <v>617</v>
      </c>
      <c r="B530" s="3">
        <v>46202</v>
      </c>
      <c r="C530" s="2" t="s">
        <v>14</v>
      </c>
      <c r="D530" s="2" t="s">
        <v>15</v>
      </c>
      <c r="E530" s="2" t="s">
        <v>43</v>
      </c>
      <c r="F530" s="2" t="s">
        <v>28</v>
      </c>
      <c r="G530" s="2" t="s">
        <v>48</v>
      </c>
      <c r="H530" s="2" t="s">
        <v>49</v>
      </c>
      <c r="I530" s="2" t="s">
        <v>50</v>
      </c>
      <c r="J530" s="4">
        <v>1</v>
      </c>
      <c r="K530" s="5">
        <v>54.62</v>
      </c>
      <c r="L530" s="6">
        <v>0.15</v>
      </c>
      <c r="M530" s="5">
        <v>46.43</v>
      </c>
      <c r="P530" t="str">
        <f>TEXT(Tableau2[[#This Row],[Date]],"mmmm aaaa")</f>
        <v>juin 2026</v>
      </c>
    </row>
    <row r="531" spans="1:16">
      <c r="A531" s="2" t="s">
        <v>618</v>
      </c>
      <c r="B531" s="3">
        <v>46254</v>
      </c>
      <c r="C531" s="2" t="s">
        <v>178</v>
      </c>
      <c r="D531" s="2" t="s">
        <v>15</v>
      </c>
      <c r="E531" s="2" t="s">
        <v>34</v>
      </c>
      <c r="F531" s="2" t="s">
        <v>17</v>
      </c>
      <c r="G531" s="2" t="s">
        <v>24</v>
      </c>
      <c r="H531" s="2" t="s">
        <v>82</v>
      </c>
      <c r="I531" s="2" t="s">
        <v>58</v>
      </c>
      <c r="J531" s="4">
        <v>2</v>
      </c>
      <c r="K531" s="5">
        <v>291.33999999999997</v>
      </c>
      <c r="L531" s="6">
        <v>0.3</v>
      </c>
      <c r="M531" s="5">
        <v>407.88</v>
      </c>
      <c r="P531" t="str">
        <f>TEXT(Tableau2[[#This Row],[Date]],"mmmm aaaa")</f>
        <v>août 2026</v>
      </c>
    </row>
    <row r="532" spans="1:16">
      <c r="A532" s="2" t="s">
        <v>619</v>
      </c>
      <c r="B532" s="3">
        <v>46320</v>
      </c>
      <c r="C532" s="2" t="s">
        <v>14</v>
      </c>
      <c r="D532" s="2" t="s">
        <v>15</v>
      </c>
      <c r="E532" s="2" t="s">
        <v>16</v>
      </c>
      <c r="F532" s="2" t="s">
        <v>28</v>
      </c>
      <c r="G532" s="2" t="s">
        <v>48</v>
      </c>
      <c r="H532" s="2" t="s">
        <v>77</v>
      </c>
      <c r="I532" s="2" t="s">
        <v>26</v>
      </c>
      <c r="J532" s="4">
        <v>2</v>
      </c>
      <c r="K532" s="5">
        <v>88.65</v>
      </c>
      <c r="L532" s="6">
        <v>0.1</v>
      </c>
      <c r="M532" s="5">
        <v>159.57</v>
      </c>
      <c r="P532" t="str">
        <f>TEXT(Tableau2[[#This Row],[Date]],"mmmm aaaa")</f>
        <v>octobre 2026</v>
      </c>
    </row>
    <row r="533" spans="1:16">
      <c r="A533" s="2" t="s">
        <v>620</v>
      </c>
      <c r="B533" s="3">
        <v>46152</v>
      </c>
      <c r="C533" s="2" t="s">
        <v>63</v>
      </c>
      <c r="D533" s="2" t="s">
        <v>33</v>
      </c>
      <c r="E533" s="2" t="s">
        <v>16</v>
      </c>
      <c r="F533" s="2" t="s">
        <v>17</v>
      </c>
      <c r="G533" s="2" t="s">
        <v>39</v>
      </c>
      <c r="H533" s="2" t="s">
        <v>40</v>
      </c>
      <c r="I533" s="2" t="s">
        <v>41</v>
      </c>
      <c r="J533" s="4">
        <v>2</v>
      </c>
      <c r="K533" s="5">
        <v>127.7</v>
      </c>
      <c r="L533" s="6">
        <v>0</v>
      </c>
      <c r="M533" s="5">
        <v>255.4</v>
      </c>
      <c r="P533" t="str">
        <f>TEXT(Tableau2[[#This Row],[Date]],"mmmm aaaa")</f>
        <v>mai 2026</v>
      </c>
    </row>
    <row r="534" spans="1:16">
      <c r="A534" s="2" t="s">
        <v>621</v>
      </c>
      <c r="B534" s="3">
        <v>46043</v>
      </c>
      <c r="C534" s="2" t="s">
        <v>86</v>
      </c>
      <c r="D534" s="2" t="s">
        <v>53</v>
      </c>
      <c r="E534" s="2" t="s">
        <v>38</v>
      </c>
      <c r="F534" s="2" t="s">
        <v>28</v>
      </c>
      <c r="G534" s="2" t="s">
        <v>48</v>
      </c>
      <c r="H534" s="2" t="s">
        <v>84</v>
      </c>
      <c r="I534" s="2" t="s">
        <v>50</v>
      </c>
      <c r="J534" s="4">
        <v>2</v>
      </c>
      <c r="K534" s="5">
        <v>96.43</v>
      </c>
      <c r="L534" s="6">
        <v>0</v>
      </c>
      <c r="M534" s="5">
        <v>192.86</v>
      </c>
      <c r="P534" t="str">
        <f>TEXT(Tableau2[[#This Row],[Date]],"mmmm aaaa")</f>
        <v>janvier 2026</v>
      </c>
    </row>
    <row r="535" spans="1:16">
      <c r="A535" s="2" t="s">
        <v>622</v>
      </c>
      <c r="B535" s="3">
        <v>46144</v>
      </c>
      <c r="C535" s="2" t="s">
        <v>66</v>
      </c>
      <c r="D535" s="2" t="s">
        <v>23</v>
      </c>
      <c r="E535" s="2" t="s">
        <v>43</v>
      </c>
      <c r="F535" s="2" t="s">
        <v>17</v>
      </c>
      <c r="G535" s="2" t="s">
        <v>54</v>
      </c>
      <c r="H535" s="2" t="s">
        <v>64</v>
      </c>
      <c r="I535" s="2" t="s">
        <v>50</v>
      </c>
      <c r="J535" s="4">
        <v>2</v>
      </c>
      <c r="K535" s="5">
        <v>83.69</v>
      </c>
      <c r="L535" s="6">
        <v>0</v>
      </c>
      <c r="M535" s="5">
        <v>167.38</v>
      </c>
      <c r="P535" t="str">
        <f>TEXT(Tableau2[[#This Row],[Date]],"mmmm aaaa")</f>
        <v>mai 2026</v>
      </c>
    </row>
    <row r="536" spans="1:16">
      <c r="A536" s="2" t="s">
        <v>623</v>
      </c>
      <c r="B536" s="3">
        <v>46048</v>
      </c>
      <c r="C536" s="2" t="s">
        <v>63</v>
      </c>
      <c r="D536" s="2" t="s">
        <v>33</v>
      </c>
      <c r="E536" s="2" t="s">
        <v>34</v>
      </c>
      <c r="F536" s="2" t="s">
        <v>17</v>
      </c>
      <c r="G536" s="2" t="s">
        <v>18</v>
      </c>
      <c r="H536" s="2" t="s">
        <v>158</v>
      </c>
      <c r="I536" s="2" t="s">
        <v>75</v>
      </c>
      <c r="J536" s="4">
        <v>2</v>
      </c>
      <c r="K536" s="5">
        <v>42.66</v>
      </c>
      <c r="L536" s="6">
        <v>0.15</v>
      </c>
      <c r="M536" s="5">
        <v>72.52</v>
      </c>
      <c r="P536" t="str">
        <f>TEXT(Tableau2[[#This Row],[Date]],"mmmm aaaa")</f>
        <v>janvier 2026</v>
      </c>
    </row>
    <row r="537" spans="1:16">
      <c r="A537" s="2" t="s">
        <v>624</v>
      </c>
      <c r="B537" s="3">
        <v>46122</v>
      </c>
      <c r="C537" s="2" t="s">
        <v>63</v>
      </c>
      <c r="D537" s="2" t="s">
        <v>33</v>
      </c>
      <c r="E537" s="2" t="s">
        <v>34</v>
      </c>
      <c r="F537" s="2" t="s">
        <v>17</v>
      </c>
      <c r="G537" s="2" t="s">
        <v>18</v>
      </c>
      <c r="H537" s="2" t="s">
        <v>136</v>
      </c>
      <c r="I537" s="2" t="s">
        <v>75</v>
      </c>
      <c r="J537" s="4">
        <v>3</v>
      </c>
      <c r="K537" s="5">
        <v>30.73</v>
      </c>
      <c r="L537" s="6">
        <v>0.2</v>
      </c>
      <c r="M537" s="5">
        <v>73.75</v>
      </c>
      <c r="P537" t="str">
        <f>TEXT(Tableau2[[#This Row],[Date]],"mmmm aaaa")</f>
        <v>avril 2026</v>
      </c>
    </row>
    <row r="538" spans="1:16">
      <c r="A538" s="2" t="s">
        <v>625</v>
      </c>
      <c r="B538" s="3">
        <v>46166</v>
      </c>
      <c r="C538" s="2" t="s">
        <v>86</v>
      </c>
      <c r="D538" s="2" t="s">
        <v>53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41</v>
      </c>
      <c r="J538" s="4">
        <v>3</v>
      </c>
      <c r="K538" s="5">
        <v>51.52</v>
      </c>
      <c r="L538" s="6">
        <v>0</v>
      </c>
      <c r="M538" s="5">
        <v>154.56</v>
      </c>
      <c r="P538" t="str">
        <f>TEXT(Tableau2[[#This Row],[Date]],"mmmm aaaa")</f>
        <v>mai 2026</v>
      </c>
    </row>
    <row r="539" spans="1:16">
      <c r="A539" s="2" t="s">
        <v>626</v>
      </c>
      <c r="B539" s="3">
        <v>46272</v>
      </c>
      <c r="C539" s="2" t="s">
        <v>125</v>
      </c>
      <c r="D539" s="2" t="s">
        <v>23</v>
      </c>
      <c r="E539" s="2" t="s">
        <v>16</v>
      </c>
      <c r="F539" s="2" t="s">
        <v>17</v>
      </c>
      <c r="G539" s="2" t="s">
        <v>54</v>
      </c>
      <c r="H539" s="2" t="s">
        <v>55</v>
      </c>
      <c r="I539" s="2" t="s">
        <v>58</v>
      </c>
      <c r="J539" s="4">
        <v>6</v>
      </c>
      <c r="K539" s="5">
        <v>159.22999999999999</v>
      </c>
      <c r="L539" s="6">
        <v>0</v>
      </c>
      <c r="M539" s="5">
        <v>955.38</v>
      </c>
      <c r="P539" t="str">
        <f>TEXT(Tableau2[[#This Row],[Date]],"mmmm aaaa")</f>
        <v>septembre 2026</v>
      </c>
    </row>
    <row r="540" spans="1:16">
      <c r="A540" s="2" t="s">
        <v>627</v>
      </c>
      <c r="B540" s="3">
        <v>46341</v>
      </c>
      <c r="C540" s="2" t="s">
        <v>125</v>
      </c>
      <c r="D540" s="2" t="s">
        <v>23</v>
      </c>
      <c r="E540" s="2" t="s">
        <v>16</v>
      </c>
      <c r="F540" s="2" t="s">
        <v>28</v>
      </c>
      <c r="G540" s="2" t="s">
        <v>54</v>
      </c>
      <c r="H540" s="2" t="s">
        <v>55</v>
      </c>
      <c r="I540" s="2" t="s">
        <v>26</v>
      </c>
      <c r="J540" s="4">
        <v>1</v>
      </c>
      <c r="K540" s="5">
        <v>152.22</v>
      </c>
      <c r="L540" s="6">
        <v>0</v>
      </c>
      <c r="M540" s="5">
        <v>152.22</v>
      </c>
      <c r="P540" t="str">
        <f>TEXT(Tableau2[[#This Row],[Date]],"mmmm aaaa")</f>
        <v>novembre 2026</v>
      </c>
    </row>
    <row r="541" spans="1:16">
      <c r="A541" s="2" t="s">
        <v>628</v>
      </c>
      <c r="B541" s="3">
        <v>46247</v>
      </c>
      <c r="C541" s="2" t="s">
        <v>106</v>
      </c>
      <c r="D541" s="2" t="s">
        <v>23</v>
      </c>
      <c r="E541" s="2" t="s">
        <v>34</v>
      </c>
      <c r="F541" s="2" t="s">
        <v>17</v>
      </c>
      <c r="G541" s="2" t="s">
        <v>29</v>
      </c>
      <c r="H541" s="2" t="s">
        <v>99</v>
      </c>
      <c r="I541" s="2" t="s">
        <v>20</v>
      </c>
      <c r="J541" s="4">
        <v>3</v>
      </c>
      <c r="K541" s="5">
        <v>61.36</v>
      </c>
      <c r="L541" s="6">
        <v>0.2</v>
      </c>
      <c r="M541" s="5">
        <v>147.26</v>
      </c>
      <c r="P541" t="str">
        <f>TEXT(Tableau2[[#This Row],[Date]],"mmmm aaaa")</f>
        <v>août 2026</v>
      </c>
    </row>
    <row r="542" spans="1:16">
      <c r="A542" s="2" t="s">
        <v>629</v>
      </c>
      <c r="B542" s="3">
        <v>46343</v>
      </c>
      <c r="C542" s="2" t="s">
        <v>22</v>
      </c>
      <c r="D542" s="2" t="s">
        <v>23</v>
      </c>
      <c r="E542" s="2" t="s">
        <v>34</v>
      </c>
      <c r="F542" s="2" t="s">
        <v>17</v>
      </c>
      <c r="G542" s="2" t="s">
        <v>24</v>
      </c>
      <c r="H542" s="2" t="s">
        <v>25</v>
      </c>
      <c r="I542" s="2" t="s">
        <v>20</v>
      </c>
      <c r="J542" s="4">
        <v>1</v>
      </c>
      <c r="K542" s="5">
        <v>131.34</v>
      </c>
      <c r="L542" s="6">
        <v>0</v>
      </c>
      <c r="M542" s="5">
        <v>131.34</v>
      </c>
      <c r="P542" t="str">
        <f>TEXT(Tableau2[[#This Row],[Date]],"mmmm aaaa")</f>
        <v>novembre 2026</v>
      </c>
    </row>
    <row r="543" spans="1:16">
      <c r="A543" s="2" t="s">
        <v>630</v>
      </c>
      <c r="B543" s="3">
        <v>46066</v>
      </c>
      <c r="C543" s="2" t="s">
        <v>79</v>
      </c>
      <c r="D543" s="2" t="s">
        <v>33</v>
      </c>
      <c r="E543" s="2" t="s">
        <v>34</v>
      </c>
      <c r="F543" s="2" t="s">
        <v>28</v>
      </c>
      <c r="G543" s="2" t="s">
        <v>29</v>
      </c>
      <c r="H543" s="2" t="s">
        <v>44</v>
      </c>
      <c r="I543" s="2" t="s">
        <v>41</v>
      </c>
      <c r="J543" s="4">
        <v>1</v>
      </c>
      <c r="K543" s="5">
        <v>40.46</v>
      </c>
      <c r="L543" s="6">
        <v>0.05</v>
      </c>
      <c r="M543" s="5">
        <v>38.44</v>
      </c>
      <c r="P543" t="str">
        <f>TEXT(Tableau2[[#This Row],[Date]],"mmmm aaaa")</f>
        <v>février 2026</v>
      </c>
    </row>
    <row r="544" spans="1:16">
      <c r="A544" s="2" t="s">
        <v>631</v>
      </c>
      <c r="B544" s="3">
        <v>46333</v>
      </c>
      <c r="C544" s="2" t="s">
        <v>47</v>
      </c>
      <c r="D544" s="2" t="s">
        <v>15</v>
      </c>
      <c r="E544" s="2" t="s">
        <v>16</v>
      </c>
      <c r="F544" s="2" t="s">
        <v>28</v>
      </c>
      <c r="G544" s="2" t="s">
        <v>48</v>
      </c>
      <c r="H544" s="2" t="s">
        <v>84</v>
      </c>
      <c r="I544" s="2" t="s">
        <v>36</v>
      </c>
      <c r="J544" s="4">
        <v>6</v>
      </c>
      <c r="K544" s="5">
        <v>90.35</v>
      </c>
      <c r="L544" s="6">
        <v>0</v>
      </c>
      <c r="M544" s="5">
        <v>542.1</v>
      </c>
      <c r="P544" t="str">
        <f>TEXT(Tableau2[[#This Row],[Date]],"mmmm aaaa")</f>
        <v>novembre 2026</v>
      </c>
    </row>
    <row r="545" spans="1:16">
      <c r="A545" s="2" t="s">
        <v>632</v>
      </c>
      <c r="B545" s="3">
        <v>46266</v>
      </c>
      <c r="C545" s="2" t="s">
        <v>22</v>
      </c>
      <c r="D545" s="2" t="s">
        <v>23</v>
      </c>
      <c r="E545" s="2" t="s">
        <v>34</v>
      </c>
      <c r="F545" s="2" t="s">
        <v>28</v>
      </c>
      <c r="G545" s="2" t="s">
        <v>39</v>
      </c>
      <c r="H545" s="2" t="s">
        <v>95</v>
      </c>
      <c r="I545" s="2" t="s">
        <v>20</v>
      </c>
      <c r="J545" s="4">
        <v>4</v>
      </c>
      <c r="K545" s="5">
        <v>91.13</v>
      </c>
      <c r="L545" s="6">
        <v>0</v>
      </c>
      <c r="M545" s="5">
        <v>364.52</v>
      </c>
      <c r="P545" t="str">
        <f>TEXT(Tableau2[[#This Row],[Date]],"mmmm aaaa")</f>
        <v>septembre 2026</v>
      </c>
    </row>
    <row r="546" spans="1:16">
      <c r="A546" s="2" t="s">
        <v>633</v>
      </c>
      <c r="B546" s="3">
        <v>46286</v>
      </c>
      <c r="C546" s="2" t="s">
        <v>22</v>
      </c>
      <c r="D546" s="2" t="s">
        <v>23</v>
      </c>
      <c r="E546" s="2" t="s">
        <v>38</v>
      </c>
      <c r="F546" s="2" t="s">
        <v>28</v>
      </c>
      <c r="G546" s="2" t="s">
        <v>48</v>
      </c>
      <c r="H546" s="2" t="s">
        <v>84</v>
      </c>
      <c r="I546" s="2" t="s">
        <v>45</v>
      </c>
      <c r="J546" s="4">
        <v>5</v>
      </c>
      <c r="K546" s="5">
        <v>97.61</v>
      </c>
      <c r="L546" s="6">
        <v>0.05</v>
      </c>
      <c r="M546" s="5">
        <v>463.65</v>
      </c>
      <c r="P546" t="str">
        <f>TEXT(Tableau2[[#This Row],[Date]],"mmmm aaaa")</f>
        <v>septembre 2026</v>
      </c>
    </row>
    <row r="547" spans="1:16">
      <c r="A547" s="2" t="s">
        <v>634</v>
      </c>
      <c r="B547" s="3">
        <v>46082</v>
      </c>
      <c r="C547" s="2" t="s">
        <v>134</v>
      </c>
      <c r="D547" s="2" t="s">
        <v>15</v>
      </c>
      <c r="E547" s="2" t="s">
        <v>43</v>
      </c>
      <c r="F547" s="2" t="s">
        <v>17</v>
      </c>
      <c r="G547" s="2" t="s">
        <v>29</v>
      </c>
      <c r="H547" s="2" t="s">
        <v>44</v>
      </c>
      <c r="I547" s="2" t="s">
        <v>41</v>
      </c>
      <c r="J547" s="4">
        <v>3</v>
      </c>
      <c r="K547" s="5">
        <v>36.840000000000003</v>
      </c>
      <c r="L547" s="6">
        <v>0</v>
      </c>
      <c r="M547" s="5">
        <v>110.52</v>
      </c>
      <c r="P547" t="str">
        <f>TEXT(Tableau2[[#This Row],[Date]],"mmmm aaaa")</f>
        <v>mars 2026</v>
      </c>
    </row>
    <row r="548" spans="1:16">
      <c r="A548" s="2" t="s">
        <v>635</v>
      </c>
      <c r="B548" s="3">
        <v>46213</v>
      </c>
      <c r="C548" s="2" t="s">
        <v>106</v>
      </c>
      <c r="D548" s="2" t="s">
        <v>23</v>
      </c>
      <c r="E548" s="2" t="s">
        <v>16</v>
      </c>
      <c r="F548" s="2" t="s">
        <v>17</v>
      </c>
      <c r="G548" s="2" t="s">
        <v>24</v>
      </c>
      <c r="H548" s="2" t="s">
        <v>35</v>
      </c>
      <c r="I548" s="2" t="s">
        <v>20</v>
      </c>
      <c r="J548" s="4">
        <v>1</v>
      </c>
      <c r="K548" s="5">
        <v>165.58</v>
      </c>
      <c r="L548" s="6">
        <v>0</v>
      </c>
      <c r="M548" s="5">
        <v>165.58</v>
      </c>
      <c r="P548" t="str">
        <f>TEXT(Tableau2[[#This Row],[Date]],"mmmm aaaa")</f>
        <v>juillet 2026</v>
      </c>
    </row>
    <row r="549" spans="1:16">
      <c r="A549" s="2" t="s">
        <v>636</v>
      </c>
      <c r="B549" s="3">
        <v>46193</v>
      </c>
      <c r="C549" s="2" t="s">
        <v>14</v>
      </c>
      <c r="D549" s="2" t="s">
        <v>15</v>
      </c>
      <c r="E549" s="2" t="s">
        <v>34</v>
      </c>
      <c r="F549" s="2" t="s">
        <v>17</v>
      </c>
      <c r="G549" s="2" t="s">
        <v>24</v>
      </c>
      <c r="H549" s="2" t="s">
        <v>61</v>
      </c>
      <c r="I549" s="2" t="s">
        <v>36</v>
      </c>
      <c r="J549" s="4">
        <v>3</v>
      </c>
      <c r="K549" s="5">
        <v>251.3</v>
      </c>
      <c r="L549" s="6">
        <v>0.05</v>
      </c>
      <c r="M549" s="5">
        <v>716.21</v>
      </c>
      <c r="P549" t="str">
        <f>TEXT(Tableau2[[#This Row],[Date]],"mmmm aaaa")</f>
        <v>juin 2026</v>
      </c>
    </row>
    <row r="550" spans="1:16">
      <c r="A550" s="2" t="s">
        <v>637</v>
      </c>
      <c r="B550" s="3">
        <v>46310</v>
      </c>
      <c r="C550" s="2" t="s">
        <v>66</v>
      </c>
      <c r="D550" s="2" t="s">
        <v>23</v>
      </c>
      <c r="E550" s="2" t="s">
        <v>38</v>
      </c>
      <c r="F550" s="2" t="s">
        <v>28</v>
      </c>
      <c r="G550" s="2" t="s">
        <v>48</v>
      </c>
      <c r="H550" s="2" t="s">
        <v>84</v>
      </c>
      <c r="I550" s="2" t="s">
        <v>36</v>
      </c>
      <c r="J550" s="4">
        <v>2</v>
      </c>
      <c r="K550" s="5">
        <v>89.7</v>
      </c>
      <c r="L550" s="6">
        <v>0</v>
      </c>
      <c r="M550" s="5">
        <v>179.4</v>
      </c>
      <c r="P550" t="str">
        <f>TEXT(Tableau2[[#This Row],[Date]],"mmmm aaaa")</f>
        <v>octobre 2026</v>
      </c>
    </row>
    <row r="551" spans="1:16">
      <c r="A551" s="2" t="s">
        <v>638</v>
      </c>
      <c r="B551" s="3">
        <v>46296</v>
      </c>
      <c r="C551" s="2" t="s">
        <v>57</v>
      </c>
      <c r="D551" s="2" t="s">
        <v>15</v>
      </c>
      <c r="E551" s="2" t="s">
        <v>38</v>
      </c>
      <c r="F551" s="2" t="s">
        <v>17</v>
      </c>
      <c r="G551" s="2" t="s">
        <v>24</v>
      </c>
      <c r="H551" s="2" t="s">
        <v>35</v>
      </c>
      <c r="I551" s="2" t="s">
        <v>75</v>
      </c>
      <c r="J551" s="4">
        <v>3</v>
      </c>
      <c r="K551" s="5">
        <v>161.30000000000001</v>
      </c>
      <c r="L551" s="6">
        <v>0.2</v>
      </c>
      <c r="M551" s="5">
        <v>387.12</v>
      </c>
      <c r="P551" t="str">
        <f>TEXT(Tableau2[[#This Row],[Date]],"mmmm aaaa")</f>
        <v>octobre 2026</v>
      </c>
    </row>
    <row r="552" spans="1:16">
      <c r="A552" s="2" t="s">
        <v>639</v>
      </c>
      <c r="B552" s="3">
        <v>46142</v>
      </c>
      <c r="C552" s="2" t="s">
        <v>63</v>
      </c>
      <c r="D552" s="2" t="s">
        <v>33</v>
      </c>
      <c r="E552" s="2" t="s">
        <v>43</v>
      </c>
      <c r="F552" s="2" t="s">
        <v>17</v>
      </c>
      <c r="G552" s="2" t="s">
        <v>48</v>
      </c>
      <c r="H552" s="2" t="s">
        <v>88</v>
      </c>
      <c r="I552" s="2" t="s">
        <v>41</v>
      </c>
      <c r="J552" s="4">
        <v>9</v>
      </c>
      <c r="K552" s="5">
        <v>70.06</v>
      </c>
      <c r="L552" s="6">
        <v>0.15</v>
      </c>
      <c r="M552" s="5">
        <v>535.96</v>
      </c>
      <c r="P552" t="str">
        <f>TEXT(Tableau2[[#This Row],[Date]],"mmmm aaaa")</f>
        <v>avril 2026</v>
      </c>
    </row>
    <row r="553" spans="1:16">
      <c r="A553" s="2" t="s">
        <v>640</v>
      </c>
      <c r="B553" s="3">
        <v>46268</v>
      </c>
      <c r="C553" s="2" t="s">
        <v>63</v>
      </c>
      <c r="D553" s="2" t="s">
        <v>33</v>
      </c>
      <c r="E553" s="2" t="s">
        <v>16</v>
      </c>
      <c r="F553" s="2" t="s">
        <v>17</v>
      </c>
      <c r="G553" s="2" t="s">
        <v>48</v>
      </c>
      <c r="H553" s="2" t="s">
        <v>88</v>
      </c>
      <c r="I553" s="2" t="s">
        <v>41</v>
      </c>
      <c r="J553" s="4">
        <v>1</v>
      </c>
      <c r="K553" s="5">
        <v>81.08</v>
      </c>
      <c r="L553" s="6">
        <v>0.15</v>
      </c>
      <c r="M553" s="5">
        <v>68.92</v>
      </c>
      <c r="P553" t="str">
        <f>TEXT(Tableau2[[#This Row],[Date]],"mmmm aaaa")</f>
        <v>septembre 2026</v>
      </c>
    </row>
    <row r="554" spans="1:16">
      <c r="A554" s="2" t="s">
        <v>641</v>
      </c>
      <c r="B554" s="3">
        <v>46278</v>
      </c>
      <c r="C554" s="2" t="s">
        <v>52</v>
      </c>
      <c r="D554" s="2" t="s">
        <v>53</v>
      </c>
      <c r="E554" s="2" t="s">
        <v>34</v>
      </c>
      <c r="F554" s="2" t="s">
        <v>28</v>
      </c>
      <c r="G554" s="2" t="s">
        <v>39</v>
      </c>
      <c r="H554" s="2" t="s">
        <v>71</v>
      </c>
      <c r="I554" s="2" t="s">
        <v>45</v>
      </c>
      <c r="J554" s="4">
        <v>8</v>
      </c>
      <c r="K554" s="5">
        <v>122.7</v>
      </c>
      <c r="L554" s="6">
        <v>0.2</v>
      </c>
      <c r="M554" s="5">
        <v>785.28</v>
      </c>
      <c r="P554" t="str">
        <f>TEXT(Tableau2[[#This Row],[Date]],"mmmm aaaa")</f>
        <v>septembre 2026</v>
      </c>
    </row>
    <row r="555" spans="1:16">
      <c r="A555" s="2" t="s">
        <v>642</v>
      </c>
      <c r="B555" s="3">
        <v>46043</v>
      </c>
      <c r="C555" s="2" t="s">
        <v>60</v>
      </c>
      <c r="D555" s="2" t="s">
        <v>33</v>
      </c>
      <c r="E555" s="2" t="s">
        <v>34</v>
      </c>
      <c r="F555" s="2" t="s">
        <v>28</v>
      </c>
      <c r="G555" s="2" t="s">
        <v>18</v>
      </c>
      <c r="H555" s="2" t="s">
        <v>136</v>
      </c>
      <c r="I555" s="2" t="s">
        <v>75</v>
      </c>
      <c r="J555" s="4">
        <v>2</v>
      </c>
      <c r="K555" s="5">
        <v>34.47</v>
      </c>
      <c r="L555" s="6">
        <v>0</v>
      </c>
      <c r="M555" s="5">
        <v>68.94</v>
      </c>
      <c r="P555" t="str">
        <f>TEXT(Tableau2[[#This Row],[Date]],"mmmm aaaa")</f>
        <v>janvier 2026</v>
      </c>
    </row>
    <row r="556" spans="1:16">
      <c r="A556" s="2" t="s">
        <v>643</v>
      </c>
      <c r="B556" s="3">
        <v>46292</v>
      </c>
      <c r="C556" s="2" t="s">
        <v>14</v>
      </c>
      <c r="D556" s="2" t="s">
        <v>15</v>
      </c>
      <c r="E556" s="2" t="s">
        <v>16</v>
      </c>
      <c r="F556" s="2" t="s">
        <v>28</v>
      </c>
      <c r="G556" s="2" t="s">
        <v>48</v>
      </c>
      <c r="H556" s="2" t="s">
        <v>49</v>
      </c>
      <c r="I556" s="2" t="s">
        <v>26</v>
      </c>
      <c r="J556" s="4">
        <v>11</v>
      </c>
      <c r="K556" s="5">
        <v>53.84</v>
      </c>
      <c r="L556" s="6">
        <v>0.05</v>
      </c>
      <c r="M556" s="5">
        <v>562.63</v>
      </c>
      <c r="P556" t="str">
        <f>TEXT(Tableau2[[#This Row],[Date]],"mmmm aaaa")</f>
        <v>septembre 2026</v>
      </c>
    </row>
    <row r="557" spans="1:16">
      <c r="A557" s="2" t="s">
        <v>644</v>
      </c>
      <c r="B557" s="3">
        <v>46123</v>
      </c>
      <c r="C557" s="2" t="s">
        <v>94</v>
      </c>
      <c r="D557" s="2" t="s">
        <v>15</v>
      </c>
      <c r="E557" s="2" t="s">
        <v>34</v>
      </c>
      <c r="F557" s="2" t="s">
        <v>17</v>
      </c>
      <c r="G557" s="2" t="s">
        <v>39</v>
      </c>
      <c r="H557" s="2" t="s">
        <v>40</v>
      </c>
      <c r="I557" s="2" t="s">
        <v>45</v>
      </c>
      <c r="J557" s="4">
        <v>2</v>
      </c>
      <c r="K557" s="5">
        <v>142.12</v>
      </c>
      <c r="L557" s="6">
        <v>0</v>
      </c>
      <c r="M557" s="5">
        <v>284.24</v>
      </c>
      <c r="P557" t="str">
        <f>TEXT(Tableau2[[#This Row],[Date]],"mmmm aaaa")</f>
        <v>avril 2026</v>
      </c>
    </row>
    <row r="558" spans="1:16">
      <c r="A558" s="2" t="s">
        <v>645</v>
      </c>
      <c r="B558" s="3">
        <v>46292</v>
      </c>
      <c r="C558" s="2" t="s">
        <v>160</v>
      </c>
      <c r="D558" s="2" t="s">
        <v>33</v>
      </c>
      <c r="E558" s="2" t="s">
        <v>38</v>
      </c>
      <c r="F558" s="2" t="s">
        <v>28</v>
      </c>
      <c r="G558" s="2" t="s">
        <v>24</v>
      </c>
      <c r="H558" s="2" t="s">
        <v>35</v>
      </c>
      <c r="I558" s="2" t="s">
        <v>36</v>
      </c>
      <c r="J558" s="4">
        <v>8</v>
      </c>
      <c r="K558" s="5">
        <v>177.49</v>
      </c>
      <c r="L558" s="6">
        <v>0</v>
      </c>
      <c r="M558" s="5">
        <v>1419.92</v>
      </c>
      <c r="P558" t="str">
        <f>TEXT(Tableau2[[#This Row],[Date]],"mmmm aaaa")</f>
        <v>septembre 2026</v>
      </c>
    </row>
    <row r="559" spans="1:16">
      <c r="A559" s="2" t="s">
        <v>646</v>
      </c>
      <c r="B559" s="3">
        <v>46074</v>
      </c>
      <c r="C559" s="2" t="s">
        <v>116</v>
      </c>
      <c r="D559" s="2" t="s">
        <v>15</v>
      </c>
      <c r="E559" s="2" t="s">
        <v>34</v>
      </c>
      <c r="F559" s="2" t="s">
        <v>17</v>
      </c>
      <c r="G559" s="2" t="s">
        <v>29</v>
      </c>
      <c r="H559" s="2" t="s">
        <v>30</v>
      </c>
      <c r="I559" s="2" t="s">
        <v>41</v>
      </c>
      <c r="J559" s="4">
        <v>1</v>
      </c>
      <c r="K559" s="5">
        <v>24.13</v>
      </c>
      <c r="L559" s="6">
        <v>0</v>
      </c>
      <c r="M559" s="5">
        <v>24.13</v>
      </c>
      <c r="P559" t="str">
        <f>TEXT(Tableau2[[#This Row],[Date]],"mmmm aaaa")</f>
        <v>février 2026</v>
      </c>
    </row>
    <row r="560" spans="1:16">
      <c r="A560" s="2" t="s">
        <v>647</v>
      </c>
      <c r="B560" s="3">
        <v>46334</v>
      </c>
      <c r="C560" s="2" t="s">
        <v>47</v>
      </c>
      <c r="D560" s="2" t="s">
        <v>15</v>
      </c>
      <c r="E560" s="2" t="s">
        <v>43</v>
      </c>
      <c r="F560" s="2" t="s">
        <v>17</v>
      </c>
      <c r="G560" s="2" t="s">
        <v>18</v>
      </c>
      <c r="H560" s="2" t="s">
        <v>136</v>
      </c>
      <c r="I560" s="2" t="s">
        <v>75</v>
      </c>
      <c r="J560" s="4">
        <v>1</v>
      </c>
      <c r="K560" s="5">
        <v>29.72</v>
      </c>
      <c r="L560" s="6">
        <v>0</v>
      </c>
      <c r="M560" s="5">
        <v>29.72</v>
      </c>
      <c r="P560" t="str">
        <f>TEXT(Tableau2[[#This Row],[Date]],"mmmm aaaa")</f>
        <v>novembre 2026</v>
      </c>
    </row>
    <row r="561" spans="1:16">
      <c r="A561" s="2" t="s">
        <v>648</v>
      </c>
      <c r="B561" s="3">
        <v>46338</v>
      </c>
      <c r="C561" s="2" t="s">
        <v>52</v>
      </c>
      <c r="D561" s="2" t="s">
        <v>53</v>
      </c>
      <c r="E561" s="2" t="s">
        <v>16</v>
      </c>
      <c r="F561" s="2" t="s">
        <v>28</v>
      </c>
      <c r="G561" s="2" t="s">
        <v>54</v>
      </c>
      <c r="H561" s="2" t="s">
        <v>102</v>
      </c>
      <c r="I561" s="2" t="s">
        <v>58</v>
      </c>
      <c r="J561" s="4">
        <v>2</v>
      </c>
      <c r="K561" s="5">
        <v>229.37</v>
      </c>
      <c r="L561" s="6">
        <v>0</v>
      </c>
      <c r="M561" s="5">
        <v>458.74</v>
      </c>
      <c r="P561" t="str">
        <f>TEXT(Tableau2[[#This Row],[Date]],"mmmm aaaa")</f>
        <v>novembre 2026</v>
      </c>
    </row>
    <row r="562" spans="1:16">
      <c r="A562" s="2" t="s">
        <v>649</v>
      </c>
      <c r="B562" s="3">
        <v>46054</v>
      </c>
      <c r="C562" s="2" t="s">
        <v>22</v>
      </c>
      <c r="D562" s="2" t="s">
        <v>23</v>
      </c>
      <c r="E562" s="2" t="s">
        <v>16</v>
      </c>
      <c r="F562" s="2" t="s">
        <v>28</v>
      </c>
      <c r="G562" s="2" t="s">
        <v>54</v>
      </c>
      <c r="H562" s="2" t="s">
        <v>64</v>
      </c>
      <c r="I562" s="2" t="s">
        <v>26</v>
      </c>
      <c r="J562" s="4">
        <v>2</v>
      </c>
      <c r="K562" s="5">
        <v>94.02</v>
      </c>
      <c r="L562" s="6">
        <v>0.05</v>
      </c>
      <c r="M562" s="5">
        <v>178.64</v>
      </c>
      <c r="P562" t="str">
        <f>TEXT(Tableau2[[#This Row],[Date]],"mmmm aaaa")</f>
        <v>février 2026</v>
      </c>
    </row>
    <row r="563" spans="1:16">
      <c r="A563" s="2" t="s">
        <v>650</v>
      </c>
      <c r="B563" s="3">
        <v>46298</v>
      </c>
      <c r="C563" s="2" t="s">
        <v>14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41</v>
      </c>
      <c r="J563" s="4">
        <v>6</v>
      </c>
      <c r="K563" s="5">
        <v>52.68</v>
      </c>
      <c r="L563" s="6">
        <v>0.05</v>
      </c>
      <c r="M563" s="5">
        <v>300.27999999999997</v>
      </c>
      <c r="P563" t="str">
        <f>TEXT(Tableau2[[#This Row],[Date]],"mmmm aaaa")</f>
        <v>octobre 2026</v>
      </c>
    </row>
    <row r="564" spans="1:16">
      <c r="A564" s="2" t="s">
        <v>651</v>
      </c>
      <c r="B564" s="3">
        <v>46036</v>
      </c>
      <c r="C564" s="2" t="s">
        <v>90</v>
      </c>
      <c r="D564" s="2" t="s">
        <v>53</v>
      </c>
      <c r="E564" s="2" t="s">
        <v>16</v>
      </c>
      <c r="F564" s="2" t="s">
        <v>28</v>
      </c>
      <c r="G564" s="2" t="s">
        <v>54</v>
      </c>
      <c r="H564" s="2" t="s">
        <v>64</v>
      </c>
      <c r="I564" s="2" t="s">
        <v>45</v>
      </c>
      <c r="J564" s="4">
        <v>1</v>
      </c>
      <c r="K564" s="5">
        <v>91.22</v>
      </c>
      <c r="L564" s="6">
        <v>0</v>
      </c>
      <c r="M564" s="5">
        <v>91.22</v>
      </c>
      <c r="P564" t="str">
        <f>TEXT(Tableau2[[#This Row],[Date]],"mmmm aaaa")</f>
        <v>janvier 2026</v>
      </c>
    </row>
    <row r="565" spans="1:16">
      <c r="A565" s="2" t="s">
        <v>652</v>
      </c>
      <c r="B565" s="3">
        <v>46363</v>
      </c>
      <c r="C565" s="2" t="s">
        <v>86</v>
      </c>
      <c r="D565" s="2" t="s">
        <v>53</v>
      </c>
      <c r="E565" s="2" t="s">
        <v>34</v>
      </c>
      <c r="F565" s="2" t="s">
        <v>17</v>
      </c>
      <c r="G565" s="2" t="s">
        <v>48</v>
      </c>
      <c r="H565" s="2" t="s">
        <v>49</v>
      </c>
      <c r="I565" s="2" t="s">
        <v>41</v>
      </c>
      <c r="J565" s="4">
        <v>1</v>
      </c>
      <c r="K565" s="5">
        <v>57.32</v>
      </c>
      <c r="L565" s="6">
        <v>0</v>
      </c>
      <c r="M565" s="5">
        <v>57.32</v>
      </c>
      <c r="P565" t="str">
        <f>TEXT(Tableau2[[#This Row],[Date]],"mmmm aaaa")</f>
        <v>décembre 2026</v>
      </c>
    </row>
    <row r="566" spans="1:16">
      <c r="A566" s="2" t="s">
        <v>653</v>
      </c>
      <c r="B566" s="3">
        <v>46062</v>
      </c>
      <c r="C566" s="2" t="s">
        <v>14</v>
      </c>
      <c r="D566" s="2" t="s">
        <v>15</v>
      </c>
      <c r="E566" s="2" t="s">
        <v>16</v>
      </c>
      <c r="F566" s="2" t="s">
        <v>28</v>
      </c>
      <c r="G566" s="2" t="s">
        <v>54</v>
      </c>
      <c r="H566" s="2" t="s">
        <v>102</v>
      </c>
      <c r="I566" s="2" t="s">
        <v>50</v>
      </c>
      <c r="J566" s="4">
        <v>1</v>
      </c>
      <c r="K566" s="5">
        <v>217.08</v>
      </c>
      <c r="L566" s="6">
        <v>0</v>
      </c>
      <c r="M566" s="5">
        <v>217.08</v>
      </c>
      <c r="P566" t="str">
        <f>TEXT(Tableau2[[#This Row],[Date]],"mmmm aaaa")</f>
        <v>février 2026</v>
      </c>
    </row>
    <row r="567" spans="1:16">
      <c r="A567" s="2" t="s">
        <v>654</v>
      </c>
      <c r="B567" s="3">
        <v>46184</v>
      </c>
      <c r="C567" s="2" t="s">
        <v>22</v>
      </c>
      <c r="D567" s="2" t="s">
        <v>23</v>
      </c>
      <c r="E567" s="2" t="s">
        <v>34</v>
      </c>
      <c r="F567" s="2" t="s">
        <v>17</v>
      </c>
      <c r="G567" s="2" t="s">
        <v>54</v>
      </c>
      <c r="H567" s="2" t="s">
        <v>102</v>
      </c>
      <c r="I567" s="2" t="s">
        <v>20</v>
      </c>
      <c r="J567" s="4">
        <v>1</v>
      </c>
      <c r="K567" s="5">
        <v>211.93</v>
      </c>
      <c r="L567" s="6">
        <v>0</v>
      </c>
      <c r="M567" s="5">
        <v>211.93</v>
      </c>
      <c r="P567" t="str">
        <f>TEXT(Tableau2[[#This Row],[Date]],"mmmm aaaa")</f>
        <v>juin 2026</v>
      </c>
    </row>
    <row r="568" spans="1:16">
      <c r="A568" s="2" t="s">
        <v>655</v>
      </c>
      <c r="B568" s="3">
        <v>46293</v>
      </c>
      <c r="C568" s="2" t="s">
        <v>66</v>
      </c>
      <c r="D568" s="2" t="s">
        <v>23</v>
      </c>
      <c r="E568" s="2" t="s">
        <v>16</v>
      </c>
      <c r="F568" s="2" t="s">
        <v>28</v>
      </c>
      <c r="G568" s="2" t="s">
        <v>39</v>
      </c>
      <c r="H568" s="2" t="s">
        <v>71</v>
      </c>
      <c r="I568" s="2" t="s">
        <v>36</v>
      </c>
      <c r="J568" s="4">
        <v>2</v>
      </c>
      <c r="K568" s="5">
        <v>113.63</v>
      </c>
      <c r="L568" s="6">
        <v>0</v>
      </c>
      <c r="M568" s="5">
        <v>227.26</v>
      </c>
      <c r="P568" t="str">
        <f>TEXT(Tableau2[[#This Row],[Date]],"mmmm aaaa")</f>
        <v>septembre 2026</v>
      </c>
    </row>
    <row r="569" spans="1:16">
      <c r="A569" s="2" t="s">
        <v>656</v>
      </c>
      <c r="B569" s="3">
        <v>46298</v>
      </c>
      <c r="C569" s="2" t="s">
        <v>94</v>
      </c>
      <c r="D569" s="2" t="s">
        <v>15</v>
      </c>
      <c r="E569" s="2" t="s">
        <v>38</v>
      </c>
      <c r="F569" s="2" t="s">
        <v>28</v>
      </c>
      <c r="G569" s="2" t="s">
        <v>29</v>
      </c>
      <c r="H569" s="2" t="s">
        <v>30</v>
      </c>
      <c r="I569" s="2" t="s">
        <v>45</v>
      </c>
      <c r="J569" s="4">
        <v>10</v>
      </c>
      <c r="K569" s="5">
        <v>24.41</v>
      </c>
      <c r="L569" s="6">
        <v>0</v>
      </c>
      <c r="M569" s="5">
        <v>244.1</v>
      </c>
      <c r="P569" t="str">
        <f>TEXT(Tableau2[[#This Row],[Date]],"mmmm aaaa")</f>
        <v>octobre 2026</v>
      </c>
    </row>
    <row r="570" spans="1:16">
      <c r="A570" s="2" t="s">
        <v>657</v>
      </c>
      <c r="B570" s="3">
        <v>46231</v>
      </c>
      <c r="C570" s="2" t="s">
        <v>90</v>
      </c>
      <c r="D570" s="2" t="s">
        <v>53</v>
      </c>
      <c r="E570" s="2" t="s">
        <v>34</v>
      </c>
      <c r="F570" s="2" t="s">
        <v>17</v>
      </c>
      <c r="G570" s="2" t="s">
        <v>54</v>
      </c>
      <c r="H570" s="2" t="s">
        <v>102</v>
      </c>
      <c r="I570" s="2" t="s">
        <v>26</v>
      </c>
      <c r="J570" s="4">
        <v>1</v>
      </c>
      <c r="K570" s="5">
        <v>209.56</v>
      </c>
      <c r="L570" s="6">
        <v>0</v>
      </c>
      <c r="M570" s="5">
        <v>209.56</v>
      </c>
      <c r="P570" t="str">
        <f>TEXT(Tableau2[[#This Row],[Date]],"mmmm aaaa")</f>
        <v>juillet 2026</v>
      </c>
    </row>
    <row r="571" spans="1:16">
      <c r="A571" s="2" t="s">
        <v>658</v>
      </c>
      <c r="B571" s="3">
        <v>46116</v>
      </c>
      <c r="C571" s="2" t="s">
        <v>164</v>
      </c>
      <c r="D571" s="2" t="s">
        <v>53</v>
      </c>
      <c r="E571" s="2" t="s">
        <v>16</v>
      </c>
      <c r="F571" s="2" t="s">
        <v>28</v>
      </c>
      <c r="G571" s="2" t="s">
        <v>24</v>
      </c>
      <c r="H571" s="2" t="s">
        <v>61</v>
      </c>
      <c r="I571" s="2" t="s">
        <v>26</v>
      </c>
      <c r="J571" s="4">
        <v>2</v>
      </c>
      <c r="K571" s="5">
        <v>233.94</v>
      </c>
      <c r="L571" s="6">
        <v>0.1</v>
      </c>
      <c r="M571" s="5">
        <v>421.09</v>
      </c>
      <c r="P571" t="str">
        <f>TEXT(Tableau2[[#This Row],[Date]],"mmmm aaaa")</f>
        <v>avril 2026</v>
      </c>
    </row>
    <row r="572" spans="1:16">
      <c r="A572" s="2" t="s">
        <v>659</v>
      </c>
      <c r="B572" s="3">
        <v>46110</v>
      </c>
      <c r="C572" s="2" t="s">
        <v>169</v>
      </c>
      <c r="D572" s="2" t="s">
        <v>33</v>
      </c>
      <c r="E572" s="2" t="s">
        <v>16</v>
      </c>
      <c r="F572" s="2" t="s">
        <v>17</v>
      </c>
      <c r="G572" s="2" t="s">
        <v>18</v>
      </c>
      <c r="H572" s="2" t="s">
        <v>143</v>
      </c>
      <c r="I572" s="2" t="s">
        <v>75</v>
      </c>
      <c r="J572" s="4">
        <v>4</v>
      </c>
      <c r="K572" s="5">
        <v>65.86</v>
      </c>
      <c r="L572" s="6">
        <v>0.2</v>
      </c>
      <c r="M572" s="5">
        <v>210.75</v>
      </c>
      <c r="P572" t="str">
        <f>TEXT(Tableau2[[#This Row],[Date]],"mmmm aaaa")</f>
        <v>mars 2026</v>
      </c>
    </row>
    <row r="573" spans="1:16">
      <c r="A573" s="2" t="s">
        <v>660</v>
      </c>
      <c r="B573" s="3">
        <v>46248</v>
      </c>
      <c r="C573" s="2" t="s">
        <v>130</v>
      </c>
      <c r="D573" s="2" t="s">
        <v>53</v>
      </c>
      <c r="E573" s="2" t="s">
        <v>34</v>
      </c>
      <c r="F573" s="2" t="s">
        <v>28</v>
      </c>
      <c r="G573" s="2" t="s">
        <v>18</v>
      </c>
      <c r="H573" s="2" t="s">
        <v>143</v>
      </c>
      <c r="I573" s="2" t="s">
        <v>45</v>
      </c>
      <c r="J573" s="4">
        <v>4</v>
      </c>
      <c r="K573" s="5">
        <v>64.8</v>
      </c>
      <c r="L573" s="6">
        <v>0</v>
      </c>
      <c r="M573" s="5">
        <v>259.2</v>
      </c>
      <c r="P573" t="str">
        <f>TEXT(Tableau2[[#This Row],[Date]],"mmmm aaaa")</f>
        <v>août 2026</v>
      </c>
    </row>
    <row r="574" spans="1:16">
      <c r="A574" s="2" t="s">
        <v>661</v>
      </c>
      <c r="B574" s="3">
        <v>46038</v>
      </c>
      <c r="C574" s="2" t="s">
        <v>178</v>
      </c>
      <c r="D574" s="2" t="s">
        <v>15</v>
      </c>
      <c r="E574" s="2" t="s">
        <v>34</v>
      </c>
      <c r="F574" s="2" t="s">
        <v>17</v>
      </c>
      <c r="G574" s="2" t="s">
        <v>24</v>
      </c>
      <c r="H574" s="2" t="s">
        <v>82</v>
      </c>
      <c r="I574" s="2" t="s">
        <v>41</v>
      </c>
      <c r="J574" s="4">
        <v>3</v>
      </c>
      <c r="K574" s="5">
        <v>295.58999999999997</v>
      </c>
      <c r="L574" s="6">
        <v>0</v>
      </c>
      <c r="M574" s="5">
        <v>886.77</v>
      </c>
      <c r="P574" t="str">
        <f>TEXT(Tableau2[[#This Row],[Date]],"mmmm aaaa")</f>
        <v>janvier 2026</v>
      </c>
    </row>
    <row r="575" spans="1:16">
      <c r="A575" s="2" t="s">
        <v>662</v>
      </c>
      <c r="B575" s="3">
        <v>46209</v>
      </c>
      <c r="C575" s="2" t="s">
        <v>92</v>
      </c>
      <c r="D575" s="2" t="s">
        <v>53</v>
      </c>
      <c r="E575" s="2" t="s">
        <v>34</v>
      </c>
      <c r="F575" s="2" t="s">
        <v>28</v>
      </c>
      <c r="G575" s="2" t="s">
        <v>54</v>
      </c>
      <c r="H575" s="2" t="s">
        <v>55</v>
      </c>
      <c r="I575" s="2" t="s">
        <v>58</v>
      </c>
      <c r="J575" s="4">
        <v>1</v>
      </c>
      <c r="K575" s="5">
        <v>150.16999999999999</v>
      </c>
      <c r="L575" s="6">
        <v>0.3</v>
      </c>
      <c r="M575" s="5">
        <v>105.12</v>
      </c>
      <c r="P575" t="str">
        <f>TEXT(Tableau2[[#This Row],[Date]],"mmmm aaaa")</f>
        <v>juillet 2026</v>
      </c>
    </row>
    <row r="576" spans="1:16">
      <c r="A576" s="2" t="s">
        <v>663</v>
      </c>
      <c r="B576" s="3">
        <v>46297</v>
      </c>
      <c r="C576" s="2" t="s">
        <v>164</v>
      </c>
      <c r="D576" s="2" t="s">
        <v>53</v>
      </c>
      <c r="E576" s="2" t="s">
        <v>34</v>
      </c>
      <c r="F576" s="2" t="s">
        <v>17</v>
      </c>
      <c r="G576" s="2" t="s">
        <v>24</v>
      </c>
      <c r="H576" s="2" t="s">
        <v>25</v>
      </c>
      <c r="I576" s="2" t="s">
        <v>58</v>
      </c>
      <c r="J576" s="4">
        <v>5</v>
      </c>
      <c r="K576" s="5">
        <v>129.53</v>
      </c>
      <c r="L576" s="6">
        <v>0.15</v>
      </c>
      <c r="M576" s="5">
        <v>550.5</v>
      </c>
      <c r="P576" t="str">
        <f>TEXT(Tableau2[[#This Row],[Date]],"mmmm aaaa")</f>
        <v>octobre 2026</v>
      </c>
    </row>
    <row r="577" spans="1:16">
      <c r="A577" s="2" t="s">
        <v>664</v>
      </c>
      <c r="B577" s="3">
        <v>46315</v>
      </c>
      <c r="C577" s="2" t="s">
        <v>160</v>
      </c>
      <c r="D577" s="2" t="s">
        <v>33</v>
      </c>
      <c r="E577" s="2" t="s">
        <v>34</v>
      </c>
      <c r="F577" s="2" t="s">
        <v>28</v>
      </c>
      <c r="G577" s="2" t="s">
        <v>24</v>
      </c>
      <c r="H577" s="2" t="s">
        <v>61</v>
      </c>
      <c r="I577" s="2" t="s">
        <v>41</v>
      </c>
      <c r="J577" s="4">
        <v>10</v>
      </c>
      <c r="K577" s="5">
        <v>220.1</v>
      </c>
      <c r="L577" s="6">
        <v>0.15</v>
      </c>
      <c r="M577" s="5">
        <v>1870.85</v>
      </c>
      <c r="P577" t="str">
        <f>TEXT(Tableau2[[#This Row],[Date]],"mmmm aaaa")</f>
        <v>octobre 2026</v>
      </c>
    </row>
    <row r="578" spans="1:16">
      <c r="A578" s="2" t="s">
        <v>665</v>
      </c>
      <c r="B578" s="3">
        <v>46217</v>
      </c>
      <c r="C578" s="2" t="s">
        <v>66</v>
      </c>
      <c r="D578" s="2" t="s">
        <v>23</v>
      </c>
      <c r="E578" s="2" t="s">
        <v>16</v>
      </c>
      <c r="F578" s="2" t="s">
        <v>17</v>
      </c>
      <c r="G578" s="2" t="s">
        <v>18</v>
      </c>
      <c r="H578" s="2" t="s">
        <v>158</v>
      </c>
      <c r="I578" s="2" t="s">
        <v>36</v>
      </c>
      <c r="J578" s="4">
        <v>1</v>
      </c>
      <c r="K578" s="5">
        <v>47.32</v>
      </c>
      <c r="L578" s="6">
        <v>0</v>
      </c>
      <c r="M578" s="5">
        <v>47.32</v>
      </c>
      <c r="P578" t="str">
        <f>TEXT(Tableau2[[#This Row],[Date]],"mmmm aaaa")</f>
        <v>juillet 2026</v>
      </c>
    </row>
    <row r="579" spans="1:16">
      <c r="A579" s="2" t="s">
        <v>666</v>
      </c>
      <c r="B579" s="3">
        <v>46140</v>
      </c>
      <c r="C579" s="2" t="s">
        <v>116</v>
      </c>
      <c r="D579" s="2" t="s">
        <v>15</v>
      </c>
      <c r="E579" s="2" t="s">
        <v>38</v>
      </c>
      <c r="F579" s="2" t="s">
        <v>17</v>
      </c>
      <c r="G579" s="2" t="s">
        <v>24</v>
      </c>
      <c r="H579" s="2" t="s">
        <v>25</v>
      </c>
      <c r="I579" s="2" t="s">
        <v>20</v>
      </c>
      <c r="J579" s="4">
        <v>1</v>
      </c>
      <c r="K579" s="5">
        <v>127.74</v>
      </c>
      <c r="L579" s="6">
        <v>0</v>
      </c>
      <c r="M579" s="5">
        <v>127.74</v>
      </c>
      <c r="P579" t="str">
        <f>TEXT(Tableau2[[#This Row],[Date]],"mmmm aaaa")</f>
        <v>avril 2026</v>
      </c>
    </row>
    <row r="580" spans="1:16">
      <c r="A580" s="2" t="s">
        <v>667</v>
      </c>
      <c r="B580" s="3">
        <v>46244</v>
      </c>
      <c r="C580" s="2" t="s">
        <v>130</v>
      </c>
      <c r="D580" s="2" t="s">
        <v>53</v>
      </c>
      <c r="E580" s="2" t="s">
        <v>16</v>
      </c>
      <c r="F580" s="2" t="s">
        <v>28</v>
      </c>
      <c r="G580" s="2" t="s">
        <v>18</v>
      </c>
      <c r="H580" s="2" t="s">
        <v>143</v>
      </c>
      <c r="I580" s="2" t="s">
        <v>36</v>
      </c>
      <c r="J580" s="4">
        <v>3</v>
      </c>
      <c r="K580" s="5">
        <v>66.349999999999994</v>
      </c>
      <c r="L580" s="6">
        <v>0.2</v>
      </c>
      <c r="M580" s="5">
        <v>159.24</v>
      </c>
      <c r="P580" t="str">
        <f>TEXT(Tableau2[[#This Row],[Date]],"mmmm aaaa")</f>
        <v>août 2026</v>
      </c>
    </row>
    <row r="581" spans="1:16">
      <c r="A581" s="2" t="s">
        <v>668</v>
      </c>
      <c r="B581" s="3">
        <v>46285</v>
      </c>
      <c r="C581" s="2" t="s">
        <v>106</v>
      </c>
      <c r="D581" s="2" t="s">
        <v>23</v>
      </c>
      <c r="E581" s="2" t="s">
        <v>38</v>
      </c>
      <c r="F581" s="2" t="s">
        <v>17</v>
      </c>
      <c r="G581" s="2" t="s">
        <v>24</v>
      </c>
      <c r="H581" s="2" t="s">
        <v>35</v>
      </c>
      <c r="I581" s="2" t="s">
        <v>26</v>
      </c>
      <c r="J581" s="4">
        <v>1</v>
      </c>
      <c r="K581" s="5">
        <v>163.86</v>
      </c>
      <c r="L581" s="6">
        <v>0</v>
      </c>
      <c r="M581" s="5">
        <v>163.86</v>
      </c>
      <c r="P581" t="str">
        <f>TEXT(Tableau2[[#This Row],[Date]],"mmmm aaaa")</f>
        <v>septembre 2026</v>
      </c>
    </row>
    <row r="582" spans="1:16">
      <c r="A582" s="2" t="s">
        <v>669</v>
      </c>
      <c r="B582" s="3">
        <v>46364</v>
      </c>
      <c r="C582" s="2" t="s">
        <v>130</v>
      </c>
      <c r="D582" s="2" t="s">
        <v>53</v>
      </c>
      <c r="E582" s="2" t="s">
        <v>43</v>
      </c>
      <c r="F582" s="2" t="s">
        <v>17</v>
      </c>
      <c r="G582" s="2" t="s">
        <v>54</v>
      </c>
      <c r="H582" s="2" t="s">
        <v>64</v>
      </c>
      <c r="I582" s="2" t="s">
        <v>41</v>
      </c>
      <c r="J582" s="4">
        <v>1</v>
      </c>
      <c r="K582" s="5">
        <v>86.54</v>
      </c>
      <c r="L582" s="6">
        <v>0.1</v>
      </c>
      <c r="M582" s="5">
        <v>77.89</v>
      </c>
      <c r="P582" t="str">
        <f>TEXT(Tableau2[[#This Row],[Date]],"mmmm aaaa")</f>
        <v>décembre 2026</v>
      </c>
    </row>
    <row r="583" spans="1:16">
      <c r="A583" s="2" t="s">
        <v>670</v>
      </c>
      <c r="B583" s="3">
        <v>46349</v>
      </c>
      <c r="C583" s="2" t="s">
        <v>63</v>
      </c>
      <c r="D583" s="2" t="s">
        <v>33</v>
      </c>
      <c r="E583" s="2" t="s">
        <v>43</v>
      </c>
      <c r="F583" s="2" t="s">
        <v>17</v>
      </c>
      <c r="G583" s="2" t="s">
        <v>18</v>
      </c>
      <c r="H583" s="2" t="s">
        <v>158</v>
      </c>
      <c r="I583" s="2" t="s">
        <v>50</v>
      </c>
      <c r="J583" s="4">
        <v>8</v>
      </c>
      <c r="K583" s="5">
        <v>44.2</v>
      </c>
      <c r="L583" s="6">
        <v>0</v>
      </c>
      <c r="M583" s="5">
        <v>353.6</v>
      </c>
      <c r="P583" t="str">
        <f>TEXT(Tableau2[[#This Row],[Date]],"mmmm aaaa")</f>
        <v>novembre 2026</v>
      </c>
    </row>
    <row r="584" spans="1:16">
      <c r="A584" s="2" t="s">
        <v>671</v>
      </c>
      <c r="B584" s="3">
        <v>46333</v>
      </c>
      <c r="C584" s="2" t="s">
        <v>22</v>
      </c>
      <c r="D584" s="2" t="s">
        <v>23</v>
      </c>
      <c r="E584" s="2" t="s">
        <v>38</v>
      </c>
      <c r="F584" s="2" t="s">
        <v>17</v>
      </c>
      <c r="G584" s="2" t="s">
        <v>48</v>
      </c>
      <c r="H584" s="2" t="s">
        <v>84</v>
      </c>
      <c r="I584" s="2" t="s">
        <v>58</v>
      </c>
      <c r="J584" s="4">
        <v>2</v>
      </c>
      <c r="K584" s="5">
        <v>93.03</v>
      </c>
      <c r="L584" s="6">
        <v>0</v>
      </c>
      <c r="M584" s="5">
        <v>186.06</v>
      </c>
      <c r="P584" t="str">
        <f>TEXT(Tableau2[[#This Row],[Date]],"mmmm aaaa")</f>
        <v>novembre 2026</v>
      </c>
    </row>
    <row r="585" spans="1:16">
      <c r="A585" s="2" t="s">
        <v>672</v>
      </c>
      <c r="B585" s="3">
        <v>46339</v>
      </c>
      <c r="C585" s="2" t="s">
        <v>14</v>
      </c>
      <c r="D585" s="2" t="s">
        <v>15</v>
      </c>
      <c r="E585" s="2" t="s">
        <v>16</v>
      </c>
      <c r="F585" s="2" t="s">
        <v>17</v>
      </c>
      <c r="G585" s="2" t="s">
        <v>24</v>
      </c>
      <c r="H585" s="2" t="s">
        <v>82</v>
      </c>
      <c r="I585" s="2" t="s">
        <v>36</v>
      </c>
      <c r="J585" s="4">
        <v>4</v>
      </c>
      <c r="K585" s="5">
        <v>280.67</v>
      </c>
      <c r="L585" s="6">
        <v>0.1</v>
      </c>
      <c r="M585" s="5">
        <v>1010.41</v>
      </c>
      <c r="P585" t="str">
        <f>TEXT(Tableau2[[#This Row],[Date]],"mmmm aaaa")</f>
        <v>novembre 2026</v>
      </c>
    </row>
    <row r="586" spans="1:16">
      <c r="A586" s="2" t="s">
        <v>673</v>
      </c>
      <c r="B586" s="3">
        <v>46286</v>
      </c>
      <c r="C586" s="2" t="s">
        <v>178</v>
      </c>
      <c r="D586" s="2" t="s">
        <v>15</v>
      </c>
      <c r="E586" s="2" t="s">
        <v>34</v>
      </c>
      <c r="F586" s="2" t="s">
        <v>28</v>
      </c>
      <c r="G586" s="2" t="s">
        <v>18</v>
      </c>
      <c r="H586" s="2" t="s">
        <v>143</v>
      </c>
      <c r="I586" s="2" t="s">
        <v>26</v>
      </c>
      <c r="J586" s="4">
        <v>1</v>
      </c>
      <c r="K586" s="5">
        <v>68.83</v>
      </c>
      <c r="L586" s="6">
        <v>0</v>
      </c>
      <c r="M586" s="5">
        <v>68.83</v>
      </c>
      <c r="P586" t="str">
        <f>TEXT(Tableau2[[#This Row],[Date]],"mmmm aaaa")</f>
        <v>septembre 2026</v>
      </c>
    </row>
    <row r="587" spans="1:16">
      <c r="A587" s="2" t="s">
        <v>674</v>
      </c>
      <c r="B587" s="3">
        <v>46342</v>
      </c>
      <c r="C587" s="2" t="s">
        <v>134</v>
      </c>
      <c r="D587" s="2" t="s">
        <v>15</v>
      </c>
      <c r="E587" s="2" t="s">
        <v>43</v>
      </c>
      <c r="F587" s="2" t="s">
        <v>17</v>
      </c>
      <c r="G587" s="2" t="s">
        <v>39</v>
      </c>
      <c r="H587" s="2" t="s">
        <v>95</v>
      </c>
      <c r="I587" s="2" t="s">
        <v>45</v>
      </c>
      <c r="J587" s="4">
        <v>5</v>
      </c>
      <c r="K587" s="5">
        <v>97.13</v>
      </c>
      <c r="L587" s="6">
        <v>0.15</v>
      </c>
      <c r="M587" s="5">
        <v>412.8</v>
      </c>
      <c r="P587" t="str">
        <f>TEXT(Tableau2[[#This Row],[Date]],"mmmm aaaa")</f>
        <v>novembre 2026</v>
      </c>
    </row>
    <row r="588" spans="1:16">
      <c r="A588" s="2" t="s">
        <v>675</v>
      </c>
      <c r="B588" s="3">
        <v>46246</v>
      </c>
      <c r="C588" s="2" t="s">
        <v>134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143</v>
      </c>
      <c r="I588" s="2" t="s">
        <v>75</v>
      </c>
      <c r="J588" s="4">
        <v>2</v>
      </c>
      <c r="K588" s="5">
        <v>66.290000000000006</v>
      </c>
      <c r="L588" s="6">
        <v>0.15</v>
      </c>
      <c r="M588" s="5">
        <v>112.69</v>
      </c>
      <c r="P588" t="str">
        <f>TEXT(Tableau2[[#This Row],[Date]],"mmmm aaaa")</f>
        <v>août 2026</v>
      </c>
    </row>
    <row r="589" spans="1:16">
      <c r="A589" s="2" t="s">
        <v>676</v>
      </c>
      <c r="B589" s="3">
        <v>46197</v>
      </c>
      <c r="C589" s="2" t="s">
        <v>22</v>
      </c>
      <c r="D589" s="2" t="s">
        <v>23</v>
      </c>
      <c r="E589" s="2" t="s">
        <v>16</v>
      </c>
      <c r="F589" s="2" t="s">
        <v>28</v>
      </c>
      <c r="G589" s="2" t="s">
        <v>18</v>
      </c>
      <c r="H589" s="2" t="s">
        <v>19</v>
      </c>
      <c r="I589" s="2" t="s">
        <v>45</v>
      </c>
      <c r="J589" s="4">
        <v>4</v>
      </c>
      <c r="K589" s="5">
        <v>55.82</v>
      </c>
      <c r="L589" s="6">
        <v>0.3</v>
      </c>
      <c r="M589" s="5">
        <v>156.30000000000001</v>
      </c>
      <c r="P589" t="str">
        <f>TEXT(Tableau2[[#This Row],[Date]],"mmmm aaaa")</f>
        <v>juin 2026</v>
      </c>
    </row>
    <row r="590" spans="1:16">
      <c r="A590" s="2" t="s">
        <v>677</v>
      </c>
      <c r="B590" s="3">
        <v>46028</v>
      </c>
      <c r="C590" s="2" t="s">
        <v>14</v>
      </c>
      <c r="D590" s="2" t="s">
        <v>15</v>
      </c>
      <c r="E590" s="2" t="s">
        <v>16</v>
      </c>
      <c r="F590" s="2" t="s">
        <v>28</v>
      </c>
      <c r="G590" s="2" t="s">
        <v>18</v>
      </c>
      <c r="H590" s="2" t="s">
        <v>143</v>
      </c>
      <c r="I590" s="2" t="s">
        <v>50</v>
      </c>
      <c r="J590" s="4">
        <v>11</v>
      </c>
      <c r="K590" s="5">
        <v>64.77</v>
      </c>
      <c r="L590" s="6">
        <v>0.2</v>
      </c>
      <c r="M590" s="5">
        <v>569.98</v>
      </c>
      <c r="P590" t="str">
        <f>TEXT(Tableau2[[#This Row],[Date]],"mmmm aaaa")</f>
        <v>janvier 2026</v>
      </c>
    </row>
    <row r="591" spans="1:16">
      <c r="A591" s="2" t="s">
        <v>678</v>
      </c>
      <c r="B591" s="3">
        <v>46205</v>
      </c>
      <c r="C591" s="2" t="s">
        <v>119</v>
      </c>
      <c r="D591" s="2" t="s">
        <v>15</v>
      </c>
      <c r="E591" s="2" t="s">
        <v>34</v>
      </c>
      <c r="F591" s="2" t="s">
        <v>28</v>
      </c>
      <c r="G591" s="2" t="s">
        <v>24</v>
      </c>
      <c r="H591" s="2" t="s">
        <v>35</v>
      </c>
      <c r="I591" s="2" t="s">
        <v>50</v>
      </c>
      <c r="J591" s="4">
        <v>1</v>
      </c>
      <c r="K591" s="5">
        <v>181.36</v>
      </c>
      <c r="L591" s="6">
        <v>0</v>
      </c>
      <c r="M591" s="5">
        <v>181.36</v>
      </c>
      <c r="P591" t="str">
        <f>TEXT(Tableau2[[#This Row],[Date]],"mmmm aaaa")</f>
        <v>juillet 2026</v>
      </c>
    </row>
    <row r="592" spans="1:16">
      <c r="A592" s="2" t="s">
        <v>679</v>
      </c>
      <c r="B592" s="3">
        <v>46186</v>
      </c>
      <c r="C592" s="2" t="s">
        <v>101</v>
      </c>
      <c r="D592" s="2" t="s">
        <v>33</v>
      </c>
      <c r="E592" s="2" t="s">
        <v>16</v>
      </c>
      <c r="F592" s="2" t="s">
        <v>28</v>
      </c>
      <c r="G592" s="2" t="s">
        <v>18</v>
      </c>
      <c r="H592" s="2" t="s">
        <v>158</v>
      </c>
      <c r="I592" s="2" t="s">
        <v>26</v>
      </c>
      <c r="J592" s="4">
        <v>1</v>
      </c>
      <c r="K592" s="5">
        <v>48.71</v>
      </c>
      <c r="L592" s="6">
        <v>0</v>
      </c>
      <c r="M592" s="5">
        <v>48.71</v>
      </c>
      <c r="P592" t="str">
        <f>TEXT(Tableau2[[#This Row],[Date]],"mmmm aaaa")</f>
        <v>juin 2026</v>
      </c>
    </row>
    <row r="593" spans="1:16">
      <c r="A593" s="2" t="s">
        <v>680</v>
      </c>
      <c r="B593" s="3">
        <v>46242</v>
      </c>
      <c r="C593" s="2" t="s">
        <v>169</v>
      </c>
      <c r="D593" s="2" t="s">
        <v>33</v>
      </c>
      <c r="E593" s="2" t="s">
        <v>16</v>
      </c>
      <c r="F593" s="2" t="s">
        <v>17</v>
      </c>
      <c r="G593" s="2" t="s">
        <v>24</v>
      </c>
      <c r="H593" s="2" t="s">
        <v>82</v>
      </c>
      <c r="I593" s="2" t="s">
        <v>36</v>
      </c>
      <c r="J593" s="4">
        <v>4</v>
      </c>
      <c r="K593" s="5">
        <v>299.58999999999997</v>
      </c>
      <c r="L593" s="6">
        <v>0</v>
      </c>
      <c r="M593" s="5">
        <v>1198.3599999999999</v>
      </c>
      <c r="P593" t="str">
        <f>TEXT(Tableau2[[#This Row],[Date]],"mmmm aaaa")</f>
        <v>août 2026</v>
      </c>
    </row>
    <row r="594" spans="1:16">
      <c r="A594" s="2" t="s">
        <v>681</v>
      </c>
      <c r="B594" s="3">
        <v>46259</v>
      </c>
      <c r="C594" s="2" t="s">
        <v>116</v>
      </c>
      <c r="D594" s="2" t="s">
        <v>15</v>
      </c>
      <c r="E594" s="2" t="s">
        <v>16</v>
      </c>
      <c r="F594" s="2" t="s">
        <v>17</v>
      </c>
      <c r="G594" s="2" t="s">
        <v>29</v>
      </c>
      <c r="H594" s="2" t="s">
        <v>140</v>
      </c>
      <c r="I594" s="2" t="s">
        <v>36</v>
      </c>
      <c r="J594" s="4">
        <v>1</v>
      </c>
      <c r="K594" s="5">
        <v>46.77</v>
      </c>
      <c r="L594" s="6">
        <v>0</v>
      </c>
      <c r="M594" s="5">
        <v>46.77</v>
      </c>
      <c r="P594" t="str">
        <f>TEXT(Tableau2[[#This Row],[Date]],"mmmm aaaa")</f>
        <v>août 2026</v>
      </c>
    </row>
    <row r="595" spans="1:16">
      <c r="A595" s="2" t="s">
        <v>682</v>
      </c>
      <c r="B595" s="3">
        <v>46068</v>
      </c>
      <c r="C595" s="2" t="s">
        <v>106</v>
      </c>
      <c r="D595" s="2" t="s">
        <v>23</v>
      </c>
      <c r="E595" s="2" t="s">
        <v>16</v>
      </c>
      <c r="F595" s="2" t="s">
        <v>17</v>
      </c>
      <c r="G595" s="2" t="s">
        <v>24</v>
      </c>
      <c r="H595" s="2" t="s">
        <v>25</v>
      </c>
      <c r="I595" s="2" t="s">
        <v>20</v>
      </c>
      <c r="J595" s="4">
        <v>1</v>
      </c>
      <c r="K595" s="5">
        <v>136.63999999999999</v>
      </c>
      <c r="L595" s="6">
        <v>0.1</v>
      </c>
      <c r="M595" s="5">
        <v>122.98</v>
      </c>
      <c r="P595" t="str">
        <f>TEXT(Tableau2[[#This Row],[Date]],"mmmm aaaa")</f>
        <v>février 2026</v>
      </c>
    </row>
    <row r="596" spans="1:16">
      <c r="A596" s="2" t="s">
        <v>683</v>
      </c>
      <c r="B596" s="3">
        <v>46083</v>
      </c>
      <c r="C596" s="2" t="s">
        <v>47</v>
      </c>
      <c r="D596" s="2" t="s">
        <v>15</v>
      </c>
      <c r="E596" s="2" t="s">
        <v>34</v>
      </c>
      <c r="F596" s="2" t="s">
        <v>28</v>
      </c>
      <c r="G596" s="2" t="s">
        <v>18</v>
      </c>
      <c r="H596" s="2" t="s">
        <v>158</v>
      </c>
      <c r="I596" s="2" t="s">
        <v>26</v>
      </c>
      <c r="J596" s="4">
        <v>4</v>
      </c>
      <c r="K596" s="5">
        <v>49.66</v>
      </c>
      <c r="L596" s="6">
        <v>0</v>
      </c>
      <c r="M596" s="5">
        <v>198.64</v>
      </c>
      <c r="P596" t="str">
        <f>TEXT(Tableau2[[#This Row],[Date]],"mmmm aaaa")</f>
        <v>mars 2026</v>
      </c>
    </row>
    <row r="597" spans="1:16">
      <c r="A597" s="2" t="s">
        <v>684</v>
      </c>
      <c r="B597" s="3">
        <v>46309</v>
      </c>
      <c r="C597" s="2" t="s">
        <v>130</v>
      </c>
      <c r="D597" s="2" t="s">
        <v>53</v>
      </c>
      <c r="E597" s="2" t="s">
        <v>16</v>
      </c>
      <c r="F597" s="2" t="s">
        <v>17</v>
      </c>
      <c r="G597" s="2" t="s">
        <v>48</v>
      </c>
      <c r="H597" s="2" t="s">
        <v>49</v>
      </c>
      <c r="I597" s="2" t="s">
        <v>41</v>
      </c>
      <c r="J597" s="4">
        <v>14</v>
      </c>
      <c r="K597" s="5">
        <v>54.33</v>
      </c>
      <c r="L597" s="6">
        <v>0.1</v>
      </c>
      <c r="M597" s="5">
        <v>684.56</v>
      </c>
      <c r="P597" t="str">
        <f>TEXT(Tableau2[[#This Row],[Date]],"mmmm aaaa")</f>
        <v>octobre 2026</v>
      </c>
    </row>
    <row r="598" spans="1:16">
      <c r="A598" s="2" t="s">
        <v>685</v>
      </c>
      <c r="B598" s="3">
        <v>46097</v>
      </c>
      <c r="C598" s="2" t="s">
        <v>32</v>
      </c>
      <c r="D598" s="2" t="s">
        <v>33</v>
      </c>
      <c r="E598" s="2" t="s">
        <v>38</v>
      </c>
      <c r="F598" s="2" t="s">
        <v>17</v>
      </c>
      <c r="G598" s="2" t="s">
        <v>24</v>
      </c>
      <c r="H598" s="2" t="s">
        <v>35</v>
      </c>
      <c r="I598" s="2" t="s">
        <v>36</v>
      </c>
      <c r="J598" s="4">
        <v>3</v>
      </c>
      <c r="K598" s="5">
        <v>161.44999999999999</v>
      </c>
      <c r="L598" s="6">
        <v>0</v>
      </c>
      <c r="M598" s="5">
        <v>484.35</v>
      </c>
      <c r="P598" t="str">
        <f>TEXT(Tableau2[[#This Row],[Date]],"mmmm aaaa")</f>
        <v>mars 2026</v>
      </c>
    </row>
    <row r="599" spans="1:16">
      <c r="A599" s="2" t="s">
        <v>686</v>
      </c>
      <c r="B599" s="3">
        <v>46228</v>
      </c>
      <c r="C599" s="2" t="s">
        <v>116</v>
      </c>
      <c r="D599" s="2" t="s">
        <v>15</v>
      </c>
      <c r="E599" s="2" t="s">
        <v>34</v>
      </c>
      <c r="F599" s="2" t="s">
        <v>17</v>
      </c>
      <c r="G599" s="2" t="s">
        <v>54</v>
      </c>
      <c r="H599" s="2" t="s">
        <v>55</v>
      </c>
      <c r="I599" s="2" t="s">
        <v>41</v>
      </c>
      <c r="J599" s="4">
        <v>1</v>
      </c>
      <c r="K599" s="5">
        <v>154.13999999999999</v>
      </c>
      <c r="L599" s="6">
        <v>0</v>
      </c>
      <c r="M599" s="5">
        <v>154.13999999999999</v>
      </c>
      <c r="P599" t="str">
        <f>TEXT(Tableau2[[#This Row],[Date]],"mmmm aaaa")</f>
        <v>juillet 2026</v>
      </c>
    </row>
    <row r="600" spans="1:16">
      <c r="A600" s="2" t="s">
        <v>687</v>
      </c>
      <c r="B600" s="3">
        <v>46051</v>
      </c>
      <c r="C600" s="2" t="s">
        <v>130</v>
      </c>
      <c r="D600" s="2" t="s">
        <v>53</v>
      </c>
      <c r="E600" s="2" t="s">
        <v>38</v>
      </c>
      <c r="F600" s="2" t="s">
        <v>17</v>
      </c>
      <c r="G600" s="2" t="s">
        <v>39</v>
      </c>
      <c r="H600" s="2" t="s">
        <v>71</v>
      </c>
      <c r="I600" s="2" t="s">
        <v>45</v>
      </c>
      <c r="J600" s="4">
        <v>4</v>
      </c>
      <c r="K600" s="5">
        <v>126.54</v>
      </c>
      <c r="L600" s="6">
        <v>0.05</v>
      </c>
      <c r="M600" s="5">
        <v>480.85</v>
      </c>
      <c r="P600" t="str">
        <f>TEXT(Tableau2[[#This Row],[Date]],"mmmm aaaa")</f>
        <v>janvier 2026</v>
      </c>
    </row>
    <row r="601" spans="1:16">
      <c r="A601" s="2" t="s">
        <v>688</v>
      </c>
      <c r="B601" s="3">
        <v>46023</v>
      </c>
      <c r="C601" s="2" t="s">
        <v>106</v>
      </c>
      <c r="D601" s="2" t="s">
        <v>23</v>
      </c>
      <c r="E601" s="2" t="s">
        <v>16</v>
      </c>
      <c r="F601" s="2" t="s">
        <v>28</v>
      </c>
      <c r="G601" s="2" t="s">
        <v>18</v>
      </c>
      <c r="H601" s="2" t="s">
        <v>19</v>
      </c>
      <c r="I601" s="2" t="s">
        <v>26</v>
      </c>
      <c r="J601" s="4">
        <v>1</v>
      </c>
      <c r="K601" s="5">
        <v>52.32</v>
      </c>
      <c r="L601" s="6">
        <v>0.15</v>
      </c>
      <c r="M601" s="5">
        <v>44.47</v>
      </c>
      <c r="P601" t="str">
        <f>TEXT(Tableau2[[#This Row],[Date]],"mmmm aaaa")</f>
        <v>janvier 2026</v>
      </c>
    </row>
    <row r="602" spans="1:16">
      <c r="A602" s="2" t="s">
        <v>689</v>
      </c>
      <c r="B602" s="3">
        <v>46177</v>
      </c>
      <c r="C602" s="2" t="s">
        <v>57</v>
      </c>
      <c r="D602" s="2" t="s">
        <v>15</v>
      </c>
      <c r="E602" s="2" t="s">
        <v>34</v>
      </c>
      <c r="F602" s="2" t="s">
        <v>28</v>
      </c>
      <c r="G602" s="2" t="s">
        <v>29</v>
      </c>
      <c r="H602" s="2" t="s">
        <v>30</v>
      </c>
      <c r="I602" s="2" t="s">
        <v>20</v>
      </c>
      <c r="J602" s="4">
        <v>2</v>
      </c>
      <c r="K602" s="5">
        <v>27.42</v>
      </c>
      <c r="L602" s="6">
        <v>0</v>
      </c>
      <c r="M602" s="5">
        <v>54.84</v>
      </c>
      <c r="P602" t="str">
        <f>TEXT(Tableau2[[#This Row],[Date]],"mmmm aaaa")</f>
        <v>juin 2026</v>
      </c>
    </row>
    <row r="603" spans="1:16">
      <c r="A603" s="2" t="s">
        <v>690</v>
      </c>
      <c r="B603" s="3">
        <v>46081</v>
      </c>
      <c r="C603" s="2" t="s">
        <v>52</v>
      </c>
      <c r="D603" s="2" t="s">
        <v>53</v>
      </c>
      <c r="E603" s="2" t="s">
        <v>16</v>
      </c>
      <c r="F603" s="2" t="s">
        <v>17</v>
      </c>
      <c r="G603" s="2" t="s">
        <v>24</v>
      </c>
      <c r="H603" s="2" t="s">
        <v>35</v>
      </c>
      <c r="I603" s="2" t="s">
        <v>26</v>
      </c>
      <c r="J603" s="4">
        <v>1</v>
      </c>
      <c r="K603" s="5">
        <v>164.63</v>
      </c>
      <c r="L603" s="6">
        <v>0</v>
      </c>
      <c r="M603" s="5">
        <v>164.63</v>
      </c>
      <c r="P603" t="str">
        <f>TEXT(Tableau2[[#This Row],[Date]],"mmmm aaaa")</f>
        <v>février 2026</v>
      </c>
    </row>
    <row r="604" spans="1:16">
      <c r="A604" s="2" t="s">
        <v>691</v>
      </c>
      <c r="B604" s="3">
        <v>46118</v>
      </c>
      <c r="C604" s="2" t="s">
        <v>14</v>
      </c>
      <c r="D604" s="2" t="s">
        <v>15</v>
      </c>
      <c r="E604" s="2" t="s">
        <v>34</v>
      </c>
      <c r="F604" s="2" t="s">
        <v>17</v>
      </c>
      <c r="G604" s="2" t="s">
        <v>39</v>
      </c>
      <c r="H604" s="2" t="s">
        <v>95</v>
      </c>
      <c r="I604" s="2" t="s">
        <v>58</v>
      </c>
      <c r="J604" s="4">
        <v>2</v>
      </c>
      <c r="K604" s="5">
        <v>96.56</v>
      </c>
      <c r="L604" s="6">
        <v>0.05</v>
      </c>
      <c r="M604" s="5">
        <v>183.46</v>
      </c>
      <c r="P604" t="str">
        <f>TEXT(Tableau2[[#This Row],[Date]],"mmmm aaaa")</f>
        <v>avril 2026</v>
      </c>
    </row>
    <row r="605" spans="1:16">
      <c r="A605" s="2" t="s">
        <v>692</v>
      </c>
      <c r="B605" s="3">
        <v>46301</v>
      </c>
      <c r="C605" s="2" t="s">
        <v>171</v>
      </c>
      <c r="D605" s="2" t="s">
        <v>33</v>
      </c>
      <c r="E605" s="2" t="s">
        <v>34</v>
      </c>
      <c r="F605" s="2" t="s">
        <v>28</v>
      </c>
      <c r="G605" s="2" t="s">
        <v>24</v>
      </c>
      <c r="H605" s="2" t="s">
        <v>35</v>
      </c>
      <c r="I605" s="2" t="s">
        <v>58</v>
      </c>
      <c r="J605" s="4">
        <v>4</v>
      </c>
      <c r="K605" s="5">
        <v>156.34</v>
      </c>
      <c r="L605" s="6">
        <v>0</v>
      </c>
      <c r="M605" s="5">
        <v>625.36</v>
      </c>
      <c r="P605" t="str">
        <f>TEXT(Tableau2[[#This Row],[Date]],"mmmm aaaa")</f>
        <v>octobre 2026</v>
      </c>
    </row>
    <row r="606" spans="1:16">
      <c r="A606" s="2" t="s">
        <v>693</v>
      </c>
      <c r="B606" s="3">
        <v>46288</v>
      </c>
      <c r="C606" s="2" t="s">
        <v>63</v>
      </c>
      <c r="D606" s="2" t="s">
        <v>33</v>
      </c>
      <c r="E606" s="2" t="s">
        <v>43</v>
      </c>
      <c r="F606" s="2" t="s">
        <v>17</v>
      </c>
      <c r="G606" s="2" t="s">
        <v>54</v>
      </c>
      <c r="H606" s="2" t="s">
        <v>55</v>
      </c>
      <c r="I606" s="2" t="s">
        <v>50</v>
      </c>
      <c r="J606" s="4">
        <v>6</v>
      </c>
      <c r="K606" s="5">
        <v>154.85</v>
      </c>
      <c r="L606" s="6">
        <v>0.2</v>
      </c>
      <c r="M606" s="5">
        <v>743.28</v>
      </c>
      <c r="P606" t="str">
        <f>TEXT(Tableau2[[#This Row],[Date]],"mmmm aaaa")</f>
        <v>septembre 2026</v>
      </c>
    </row>
    <row r="607" spans="1:16">
      <c r="A607" s="2" t="s">
        <v>694</v>
      </c>
      <c r="B607" s="3">
        <v>46107</v>
      </c>
      <c r="C607" s="2" t="s">
        <v>22</v>
      </c>
      <c r="D607" s="2" t="s">
        <v>23</v>
      </c>
      <c r="E607" s="2" t="s">
        <v>16</v>
      </c>
      <c r="F607" s="2" t="s">
        <v>28</v>
      </c>
      <c r="G607" s="2" t="s">
        <v>18</v>
      </c>
      <c r="H607" s="2" t="s">
        <v>19</v>
      </c>
      <c r="I607" s="2" t="s">
        <v>58</v>
      </c>
      <c r="J607" s="4">
        <v>6</v>
      </c>
      <c r="K607" s="5">
        <v>57.6</v>
      </c>
      <c r="L607" s="6">
        <v>0.15</v>
      </c>
      <c r="M607" s="5">
        <v>293.76</v>
      </c>
      <c r="P607" t="str">
        <f>TEXT(Tableau2[[#This Row],[Date]],"mmmm aaaa")</f>
        <v>mars 2026</v>
      </c>
    </row>
    <row r="608" spans="1:16">
      <c r="A608" s="2" t="s">
        <v>695</v>
      </c>
      <c r="B608" s="3">
        <v>46301</v>
      </c>
      <c r="C608" s="2" t="s">
        <v>14</v>
      </c>
      <c r="D608" s="2" t="s">
        <v>15</v>
      </c>
      <c r="E608" s="2" t="s">
        <v>43</v>
      </c>
      <c r="F608" s="2" t="s">
        <v>17</v>
      </c>
      <c r="G608" s="2" t="s">
        <v>39</v>
      </c>
      <c r="H608" s="2" t="s">
        <v>40</v>
      </c>
      <c r="I608" s="2" t="s">
        <v>26</v>
      </c>
      <c r="J608" s="4">
        <v>1</v>
      </c>
      <c r="K608" s="5">
        <v>141.4</v>
      </c>
      <c r="L608" s="6">
        <v>0</v>
      </c>
      <c r="M608" s="5">
        <v>141.4</v>
      </c>
      <c r="P608" t="str">
        <f>TEXT(Tableau2[[#This Row],[Date]],"mmmm aaaa")</f>
        <v>octobre 2026</v>
      </c>
    </row>
    <row r="609" spans="1:16">
      <c r="A609" s="2" t="s">
        <v>696</v>
      </c>
      <c r="B609" s="3">
        <v>46163</v>
      </c>
      <c r="C609" s="2" t="s">
        <v>79</v>
      </c>
      <c r="D609" s="2" t="s">
        <v>33</v>
      </c>
      <c r="E609" s="2" t="s">
        <v>16</v>
      </c>
      <c r="F609" s="2" t="s">
        <v>17</v>
      </c>
      <c r="G609" s="2" t="s">
        <v>18</v>
      </c>
      <c r="H609" s="2" t="s">
        <v>136</v>
      </c>
      <c r="I609" s="2" t="s">
        <v>36</v>
      </c>
      <c r="J609" s="4">
        <v>8</v>
      </c>
      <c r="K609" s="5">
        <v>33.33</v>
      </c>
      <c r="L609" s="6">
        <v>0.1</v>
      </c>
      <c r="M609" s="5">
        <v>239.98</v>
      </c>
      <c r="P609" t="str">
        <f>TEXT(Tableau2[[#This Row],[Date]],"mmmm aaaa")</f>
        <v>mai 2026</v>
      </c>
    </row>
    <row r="610" spans="1:16">
      <c r="A610" s="2" t="s">
        <v>697</v>
      </c>
      <c r="B610" s="3">
        <v>46382</v>
      </c>
      <c r="C610" s="2" t="s">
        <v>14</v>
      </c>
      <c r="D610" s="2" t="s">
        <v>15</v>
      </c>
      <c r="E610" s="2" t="s">
        <v>16</v>
      </c>
      <c r="F610" s="2" t="s">
        <v>17</v>
      </c>
      <c r="G610" s="2" t="s">
        <v>48</v>
      </c>
      <c r="H610" s="2" t="s">
        <v>49</v>
      </c>
      <c r="I610" s="2" t="s">
        <v>50</v>
      </c>
      <c r="J610" s="4">
        <v>13</v>
      </c>
      <c r="K610" s="5">
        <v>56.99</v>
      </c>
      <c r="L610" s="6">
        <v>0</v>
      </c>
      <c r="M610" s="5">
        <v>740.87</v>
      </c>
      <c r="P610" t="str">
        <f>TEXT(Tableau2[[#This Row],[Date]],"mmmm aaaa")</f>
        <v>décembre 2026</v>
      </c>
    </row>
    <row r="611" spans="1:16">
      <c r="A611" s="2" t="s">
        <v>698</v>
      </c>
      <c r="B611" s="3">
        <v>46158</v>
      </c>
      <c r="C611" s="2" t="s">
        <v>32</v>
      </c>
      <c r="D611" s="2" t="s">
        <v>33</v>
      </c>
      <c r="E611" s="2" t="s">
        <v>16</v>
      </c>
      <c r="F611" s="2" t="s">
        <v>17</v>
      </c>
      <c r="G611" s="2" t="s">
        <v>18</v>
      </c>
      <c r="H611" s="2" t="s">
        <v>136</v>
      </c>
      <c r="I611" s="2" t="s">
        <v>45</v>
      </c>
      <c r="J611" s="4">
        <v>8</v>
      </c>
      <c r="K611" s="5">
        <v>32.270000000000003</v>
      </c>
      <c r="L611" s="6">
        <v>0.05</v>
      </c>
      <c r="M611" s="5">
        <v>245.25</v>
      </c>
      <c r="P611" t="str">
        <f>TEXT(Tableau2[[#This Row],[Date]],"mmmm aaaa")</f>
        <v>mai 2026</v>
      </c>
    </row>
    <row r="612" spans="1:16">
      <c r="A612" s="2" t="s">
        <v>699</v>
      </c>
      <c r="B612" s="3">
        <v>46103</v>
      </c>
      <c r="C612" s="2" t="s">
        <v>47</v>
      </c>
      <c r="D612" s="2" t="s">
        <v>15</v>
      </c>
      <c r="E612" s="2" t="s">
        <v>16</v>
      </c>
      <c r="F612" s="2" t="s">
        <v>28</v>
      </c>
      <c r="G612" s="2" t="s">
        <v>18</v>
      </c>
      <c r="H612" s="2" t="s">
        <v>19</v>
      </c>
      <c r="I612" s="2" t="s">
        <v>58</v>
      </c>
      <c r="J612" s="4">
        <v>6</v>
      </c>
      <c r="K612" s="5">
        <v>55.59</v>
      </c>
      <c r="L612" s="6">
        <v>0</v>
      </c>
      <c r="M612" s="5">
        <v>333.54</v>
      </c>
      <c r="P612" t="str">
        <f>TEXT(Tableau2[[#This Row],[Date]],"mmmm aaaa")</f>
        <v>mars 2026</v>
      </c>
    </row>
    <row r="613" spans="1:16">
      <c r="A613" s="2" t="s">
        <v>700</v>
      </c>
      <c r="B613" s="3">
        <v>46055</v>
      </c>
      <c r="C613" s="2" t="s">
        <v>130</v>
      </c>
      <c r="D613" s="2" t="s">
        <v>53</v>
      </c>
      <c r="E613" s="2" t="s">
        <v>38</v>
      </c>
      <c r="F613" s="2" t="s">
        <v>28</v>
      </c>
      <c r="G613" s="2" t="s">
        <v>18</v>
      </c>
      <c r="H613" s="2" t="s">
        <v>158</v>
      </c>
      <c r="I613" s="2" t="s">
        <v>36</v>
      </c>
      <c r="J613" s="4">
        <v>1</v>
      </c>
      <c r="K613" s="5">
        <v>47.08</v>
      </c>
      <c r="L613" s="6">
        <v>0.05</v>
      </c>
      <c r="M613" s="5">
        <v>44.73</v>
      </c>
      <c r="P613" t="str">
        <f>TEXT(Tableau2[[#This Row],[Date]],"mmmm aaaa")</f>
        <v>février 2026</v>
      </c>
    </row>
    <row r="614" spans="1:16">
      <c r="A614" s="2" t="s">
        <v>701</v>
      </c>
      <c r="B614" s="3">
        <v>46351</v>
      </c>
      <c r="C614" s="2" t="s">
        <v>106</v>
      </c>
      <c r="D614" s="2" t="s">
        <v>23</v>
      </c>
      <c r="E614" s="2" t="s">
        <v>34</v>
      </c>
      <c r="F614" s="2" t="s">
        <v>28</v>
      </c>
      <c r="G614" s="2" t="s">
        <v>24</v>
      </c>
      <c r="H614" s="2" t="s">
        <v>25</v>
      </c>
      <c r="I614" s="2" t="s">
        <v>50</v>
      </c>
      <c r="J614" s="4">
        <v>2</v>
      </c>
      <c r="K614" s="5">
        <v>133.28</v>
      </c>
      <c r="L614" s="6">
        <v>0</v>
      </c>
      <c r="M614" s="5">
        <v>266.56</v>
      </c>
      <c r="P614" t="str">
        <f>TEXT(Tableau2[[#This Row],[Date]],"mmmm aaaa")</f>
        <v>novembre 2026</v>
      </c>
    </row>
    <row r="615" spans="1:16">
      <c r="A615" s="2" t="s">
        <v>702</v>
      </c>
      <c r="B615" s="3">
        <v>46040</v>
      </c>
      <c r="C615" s="2" t="s">
        <v>32</v>
      </c>
      <c r="D615" s="2" t="s">
        <v>33</v>
      </c>
      <c r="E615" s="2" t="s">
        <v>16</v>
      </c>
      <c r="F615" s="2" t="s">
        <v>17</v>
      </c>
      <c r="G615" s="2" t="s">
        <v>39</v>
      </c>
      <c r="H615" s="2" t="s">
        <v>95</v>
      </c>
      <c r="I615" s="2" t="s">
        <v>41</v>
      </c>
      <c r="J615" s="4">
        <v>2</v>
      </c>
      <c r="K615" s="5">
        <v>90.25</v>
      </c>
      <c r="L615" s="6">
        <v>0</v>
      </c>
      <c r="M615" s="5">
        <v>180.5</v>
      </c>
      <c r="P615" t="str">
        <f>TEXT(Tableau2[[#This Row],[Date]],"mmmm aaaa")</f>
        <v>janvier 2026</v>
      </c>
    </row>
    <row r="616" spans="1:16">
      <c r="A616" s="2" t="s">
        <v>703</v>
      </c>
      <c r="B616" s="3">
        <v>46323</v>
      </c>
      <c r="C616" s="2" t="s">
        <v>119</v>
      </c>
      <c r="D616" s="2" t="s">
        <v>15</v>
      </c>
      <c r="E616" s="2" t="s">
        <v>16</v>
      </c>
      <c r="F616" s="2" t="s">
        <v>28</v>
      </c>
      <c r="G616" s="2" t="s">
        <v>48</v>
      </c>
      <c r="H616" s="2" t="s">
        <v>88</v>
      </c>
      <c r="I616" s="2" t="s">
        <v>26</v>
      </c>
      <c r="J616" s="4">
        <v>5</v>
      </c>
      <c r="K616" s="5">
        <v>80.38</v>
      </c>
      <c r="L616" s="6">
        <v>0</v>
      </c>
      <c r="M616" s="5">
        <v>401.9</v>
      </c>
      <c r="P616" t="str">
        <f>TEXT(Tableau2[[#This Row],[Date]],"mmmm aaaa")</f>
        <v>octobre 2026</v>
      </c>
    </row>
    <row r="617" spans="1:16">
      <c r="A617" s="2" t="s">
        <v>704</v>
      </c>
      <c r="B617" s="3">
        <v>46305</v>
      </c>
      <c r="C617" s="2" t="s">
        <v>22</v>
      </c>
      <c r="D617" s="2" t="s">
        <v>23</v>
      </c>
      <c r="E617" s="2" t="s">
        <v>34</v>
      </c>
      <c r="F617" s="2" t="s">
        <v>28</v>
      </c>
      <c r="G617" s="2" t="s">
        <v>39</v>
      </c>
      <c r="H617" s="2" t="s">
        <v>71</v>
      </c>
      <c r="I617" s="2" t="s">
        <v>20</v>
      </c>
      <c r="J617" s="4">
        <v>5</v>
      </c>
      <c r="K617" s="5">
        <v>112.85</v>
      </c>
      <c r="L617" s="6">
        <v>0.1</v>
      </c>
      <c r="M617" s="5">
        <v>507.82</v>
      </c>
      <c r="P617" t="str">
        <f>TEXT(Tableau2[[#This Row],[Date]],"mmmm aaaa")</f>
        <v>octobre 2026</v>
      </c>
    </row>
    <row r="618" spans="1:16">
      <c r="A618" s="2" t="s">
        <v>705</v>
      </c>
      <c r="B618" s="3">
        <v>46327</v>
      </c>
      <c r="C618" s="2" t="s">
        <v>14</v>
      </c>
      <c r="D618" s="2" t="s">
        <v>15</v>
      </c>
      <c r="E618" s="2" t="s">
        <v>34</v>
      </c>
      <c r="F618" s="2" t="s">
        <v>28</v>
      </c>
      <c r="G618" s="2" t="s">
        <v>24</v>
      </c>
      <c r="H618" s="2" t="s">
        <v>82</v>
      </c>
      <c r="I618" s="2" t="s">
        <v>75</v>
      </c>
      <c r="J618" s="4">
        <v>4</v>
      </c>
      <c r="K618" s="5">
        <v>282.51</v>
      </c>
      <c r="L618" s="6">
        <v>0.1</v>
      </c>
      <c r="M618" s="5">
        <v>1017.04</v>
      </c>
      <c r="P618" t="str">
        <f>TEXT(Tableau2[[#This Row],[Date]],"mmmm aaaa")</f>
        <v>novembre 2026</v>
      </c>
    </row>
    <row r="619" spans="1:16">
      <c r="A619" s="2" t="s">
        <v>706</v>
      </c>
      <c r="B619" s="3">
        <v>46353</v>
      </c>
      <c r="C619" s="2" t="s">
        <v>57</v>
      </c>
      <c r="D619" s="2" t="s">
        <v>15</v>
      </c>
      <c r="E619" s="2" t="s">
        <v>43</v>
      </c>
      <c r="F619" s="2" t="s">
        <v>28</v>
      </c>
      <c r="G619" s="2" t="s">
        <v>39</v>
      </c>
      <c r="H619" s="2" t="s">
        <v>95</v>
      </c>
      <c r="I619" s="2" t="s">
        <v>50</v>
      </c>
      <c r="J619" s="4">
        <v>5</v>
      </c>
      <c r="K619" s="5">
        <v>100.34</v>
      </c>
      <c r="L619" s="6">
        <v>0</v>
      </c>
      <c r="M619" s="5">
        <v>501.7</v>
      </c>
      <c r="P619" t="str">
        <f>TEXT(Tableau2[[#This Row],[Date]],"mmmm aaaa")</f>
        <v>novembre 2026</v>
      </c>
    </row>
    <row r="620" spans="1:16">
      <c r="A620" s="2" t="s">
        <v>707</v>
      </c>
      <c r="B620" s="3">
        <v>46200</v>
      </c>
      <c r="C620" s="2" t="s">
        <v>22</v>
      </c>
      <c r="D620" s="2" t="s">
        <v>23</v>
      </c>
      <c r="E620" s="2" t="s">
        <v>16</v>
      </c>
      <c r="F620" s="2" t="s">
        <v>17</v>
      </c>
      <c r="G620" s="2" t="s">
        <v>18</v>
      </c>
      <c r="H620" s="2" t="s">
        <v>19</v>
      </c>
      <c r="I620" s="2" t="s">
        <v>41</v>
      </c>
      <c r="J620" s="4">
        <v>1</v>
      </c>
      <c r="K620" s="5">
        <v>54.27</v>
      </c>
      <c r="L620" s="6">
        <v>0</v>
      </c>
      <c r="M620" s="5">
        <v>54.27</v>
      </c>
      <c r="P620" t="str">
        <f>TEXT(Tableau2[[#This Row],[Date]],"mmmm aaaa")</f>
        <v>juin 2026</v>
      </c>
    </row>
    <row r="621" spans="1:16">
      <c r="A621" s="2" t="s">
        <v>708</v>
      </c>
      <c r="B621" s="3">
        <v>46223</v>
      </c>
      <c r="C621" s="2" t="s">
        <v>79</v>
      </c>
      <c r="D621" s="2" t="s">
        <v>33</v>
      </c>
      <c r="E621" s="2" t="s">
        <v>16</v>
      </c>
      <c r="F621" s="2" t="s">
        <v>17</v>
      </c>
      <c r="G621" s="2" t="s">
        <v>48</v>
      </c>
      <c r="H621" s="2" t="s">
        <v>88</v>
      </c>
      <c r="I621" s="2" t="s">
        <v>20</v>
      </c>
      <c r="J621" s="4">
        <v>1</v>
      </c>
      <c r="K621" s="5">
        <v>79.61</v>
      </c>
      <c r="L621" s="6">
        <v>0</v>
      </c>
      <c r="M621" s="5">
        <v>79.61</v>
      </c>
      <c r="P621" t="str">
        <f>TEXT(Tableau2[[#This Row],[Date]],"mmmm aaaa")</f>
        <v>juillet 2026</v>
      </c>
    </row>
    <row r="622" spans="1:16">
      <c r="A622" s="2" t="s">
        <v>709</v>
      </c>
      <c r="B622" s="3">
        <v>46094</v>
      </c>
      <c r="C622" s="2" t="s">
        <v>47</v>
      </c>
      <c r="D622" s="2" t="s">
        <v>15</v>
      </c>
      <c r="E622" s="2" t="s">
        <v>34</v>
      </c>
      <c r="F622" s="2" t="s">
        <v>17</v>
      </c>
      <c r="G622" s="2" t="s">
        <v>18</v>
      </c>
      <c r="H622" s="2" t="s">
        <v>19</v>
      </c>
      <c r="I622" s="2" t="s">
        <v>36</v>
      </c>
      <c r="J622" s="4">
        <v>1</v>
      </c>
      <c r="K622" s="5">
        <v>54.9</v>
      </c>
      <c r="L622" s="6">
        <v>0</v>
      </c>
      <c r="M622" s="5">
        <v>54.9</v>
      </c>
      <c r="P622" t="str">
        <f>TEXT(Tableau2[[#This Row],[Date]],"mmmm aaaa")</f>
        <v>mars 2026</v>
      </c>
    </row>
    <row r="623" spans="1:16">
      <c r="A623" s="2" t="s">
        <v>710</v>
      </c>
      <c r="B623" s="3">
        <v>46360</v>
      </c>
      <c r="C623" s="2" t="s">
        <v>66</v>
      </c>
      <c r="D623" s="2" t="s">
        <v>23</v>
      </c>
      <c r="E623" s="2" t="s">
        <v>16</v>
      </c>
      <c r="F623" s="2" t="s">
        <v>28</v>
      </c>
      <c r="G623" s="2" t="s">
        <v>48</v>
      </c>
      <c r="H623" s="2" t="s">
        <v>49</v>
      </c>
      <c r="I623" s="2" t="s">
        <v>26</v>
      </c>
      <c r="J623" s="4">
        <v>1</v>
      </c>
      <c r="K623" s="5">
        <v>60.14</v>
      </c>
      <c r="L623" s="6">
        <v>0</v>
      </c>
      <c r="M623" s="5">
        <v>60.14</v>
      </c>
      <c r="P623" t="str">
        <f>TEXT(Tableau2[[#This Row],[Date]],"mmmm aaaa")</f>
        <v>décembre 2026</v>
      </c>
    </row>
    <row r="624" spans="1:16">
      <c r="A624" s="2" t="s">
        <v>711</v>
      </c>
      <c r="B624" s="3">
        <v>46317</v>
      </c>
      <c r="C624" s="2" t="s">
        <v>92</v>
      </c>
      <c r="D624" s="2" t="s">
        <v>53</v>
      </c>
      <c r="E624" s="2" t="s">
        <v>43</v>
      </c>
      <c r="F624" s="2" t="s">
        <v>28</v>
      </c>
      <c r="G624" s="2" t="s">
        <v>18</v>
      </c>
      <c r="H624" s="2" t="s">
        <v>136</v>
      </c>
      <c r="I624" s="2" t="s">
        <v>50</v>
      </c>
      <c r="J624" s="4">
        <v>1</v>
      </c>
      <c r="K624" s="5">
        <v>32.33</v>
      </c>
      <c r="L624" s="6">
        <v>0.2</v>
      </c>
      <c r="M624" s="5">
        <v>25.86</v>
      </c>
      <c r="P624" t="str">
        <f>TEXT(Tableau2[[#This Row],[Date]],"mmmm aaaa")</f>
        <v>octobre 2026</v>
      </c>
    </row>
    <row r="625" spans="1:16">
      <c r="A625" s="2" t="s">
        <v>712</v>
      </c>
      <c r="B625" s="3">
        <v>46123</v>
      </c>
      <c r="C625" s="2" t="s">
        <v>171</v>
      </c>
      <c r="D625" s="2" t="s">
        <v>33</v>
      </c>
      <c r="E625" s="2" t="s">
        <v>16</v>
      </c>
      <c r="F625" s="2" t="s">
        <v>17</v>
      </c>
      <c r="G625" s="2" t="s">
        <v>54</v>
      </c>
      <c r="H625" s="2" t="s">
        <v>64</v>
      </c>
      <c r="I625" s="2" t="s">
        <v>26</v>
      </c>
      <c r="J625" s="4">
        <v>1</v>
      </c>
      <c r="K625" s="5">
        <v>86.34</v>
      </c>
      <c r="L625" s="6">
        <v>0</v>
      </c>
      <c r="M625" s="5">
        <v>86.34</v>
      </c>
      <c r="P625" t="str">
        <f>TEXT(Tableau2[[#This Row],[Date]],"mmmm aaaa")</f>
        <v>avril 2026</v>
      </c>
    </row>
    <row r="626" spans="1:16">
      <c r="A626" s="2" t="s">
        <v>713</v>
      </c>
      <c r="B626" s="3">
        <v>46328</v>
      </c>
      <c r="C626" s="2" t="s">
        <v>125</v>
      </c>
      <c r="D626" s="2" t="s">
        <v>23</v>
      </c>
      <c r="E626" s="2" t="s">
        <v>43</v>
      </c>
      <c r="F626" s="2" t="s">
        <v>17</v>
      </c>
      <c r="G626" s="2" t="s">
        <v>24</v>
      </c>
      <c r="H626" s="2" t="s">
        <v>61</v>
      </c>
      <c r="I626" s="2" t="s">
        <v>26</v>
      </c>
      <c r="J626" s="4">
        <v>8</v>
      </c>
      <c r="K626" s="5">
        <v>229.89</v>
      </c>
      <c r="L626" s="6">
        <v>0</v>
      </c>
      <c r="M626" s="5">
        <v>1839.12</v>
      </c>
      <c r="P626" t="str">
        <f>TEXT(Tableau2[[#This Row],[Date]],"mmmm aaaa")</f>
        <v>novembre 2026</v>
      </c>
    </row>
    <row r="627" spans="1:16">
      <c r="A627" s="2" t="s">
        <v>714</v>
      </c>
      <c r="B627" s="3">
        <v>46274</v>
      </c>
      <c r="C627" s="2" t="s">
        <v>63</v>
      </c>
      <c r="D627" s="2" t="s">
        <v>33</v>
      </c>
      <c r="E627" s="2" t="s">
        <v>16</v>
      </c>
      <c r="F627" s="2" t="s">
        <v>28</v>
      </c>
      <c r="G627" s="2" t="s">
        <v>29</v>
      </c>
      <c r="H627" s="2" t="s">
        <v>140</v>
      </c>
      <c r="I627" s="2" t="s">
        <v>58</v>
      </c>
      <c r="J627" s="4">
        <v>8</v>
      </c>
      <c r="K627" s="5">
        <v>45.12</v>
      </c>
      <c r="L627" s="6">
        <v>0.3</v>
      </c>
      <c r="M627" s="5">
        <v>252.67</v>
      </c>
      <c r="P627" t="str">
        <f>TEXT(Tableau2[[#This Row],[Date]],"mmmm aaaa")</f>
        <v>septembre 2026</v>
      </c>
    </row>
    <row r="628" spans="1:16">
      <c r="A628" s="2" t="s">
        <v>715</v>
      </c>
      <c r="B628" s="3">
        <v>46164</v>
      </c>
      <c r="C628" s="2" t="s">
        <v>60</v>
      </c>
      <c r="D628" s="2" t="s">
        <v>33</v>
      </c>
      <c r="E628" s="2" t="s">
        <v>34</v>
      </c>
      <c r="F628" s="2" t="s">
        <v>17</v>
      </c>
      <c r="G628" s="2" t="s">
        <v>48</v>
      </c>
      <c r="H628" s="2" t="s">
        <v>49</v>
      </c>
      <c r="I628" s="2" t="s">
        <v>41</v>
      </c>
      <c r="J628" s="4">
        <v>2</v>
      </c>
      <c r="K628" s="5">
        <v>58.95</v>
      </c>
      <c r="L628" s="6">
        <v>0.05</v>
      </c>
      <c r="M628" s="5">
        <v>112</v>
      </c>
      <c r="P628" t="str">
        <f>TEXT(Tableau2[[#This Row],[Date]],"mmmm aaaa")</f>
        <v>mai 2026</v>
      </c>
    </row>
    <row r="629" spans="1:16">
      <c r="A629" s="2" t="s">
        <v>716</v>
      </c>
      <c r="B629" s="3">
        <v>46299</v>
      </c>
      <c r="C629" s="2" t="s">
        <v>106</v>
      </c>
      <c r="D629" s="2" t="s">
        <v>23</v>
      </c>
      <c r="E629" s="2" t="s">
        <v>16</v>
      </c>
      <c r="F629" s="2" t="s">
        <v>17</v>
      </c>
      <c r="G629" s="2" t="s">
        <v>39</v>
      </c>
      <c r="H629" s="2" t="s">
        <v>40</v>
      </c>
      <c r="I629" s="2" t="s">
        <v>75</v>
      </c>
      <c r="J629" s="4">
        <v>2</v>
      </c>
      <c r="K629" s="5">
        <v>129.47999999999999</v>
      </c>
      <c r="L629" s="6">
        <v>0.05</v>
      </c>
      <c r="M629" s="5">
        <v>246.01</v>
      </c>
      <c r="P629" t="str">
        <f>TEXT(Tableau2[[#This Row],[Date]],"mmmm aaaa")</f>
        <v>octobre 2026</v>
      </c>
    </row>
    <row r="630" spans="1:16">
      <c r="A630" s="2" t="s">
        <v>717</v>
      </c>
      <c r="B630" s="3">
        <v>46146</v>
      </c>
      <c r="C630" s="2" t="s">
        <v>160</v>
      </c>
      <c r="D630" s="2" t="s">
        <v>33</v>
      </c>
      <c r="E630" s="2" t="s">
        <v>16</v>
      </c>
      <c r="F630" s="2" t="s">
        <v>17</v>
      </c>
      <c r="G630" s="2" t="s">
        <v>48</v>
      </c>
      <c r="H630" s="2" t="s">
        <v>88</v>
      </c>
      <c r="I630" s="2" t="s">
        <v>20</v>
      </c>
      <c r="J630" s="4">
        <v>2</v>
      </c>
      <c r="K630" s="5">
        <v>74.650000000000006</v>
      </c>
      <c r="L630" s="6">
        <v>0</v>
      </c>
      <c r="M630" s="5">
        <v>149.30000000000001</v>
      </c>
      <c r="P630" t="str">
        <f>TEXT(Tableau2[[#This Row],[Date]],"mmmm aaaa")</f>
        <v>mai 2026</v>
      </c>
    </row>
    <row r="631" spans="1:16">
      <c r="A631" s="2" t="s">
        <v>718</v>
      </c>
      <c r="B631" s="3">
        <v>46063</v>
      </c>
      <c r="C631" s="2" t="s">
        <v>57</v>
      </c>
      <c r="D631" s="2" t="s">
        <v>15</v>
      </c>
      <c r="E631" s="2" t="s">
        <v>43</v>
      </c>
      <c r="F631" s="2" t="s">
        <v>17</v>
      </c>
      <c r="G631" s="2" t="s">
        <v>29</v>
      </c>
      <c r="H631" s="2" t="s">
        <v>99</v>
      </c>
      <c r="I631" s="2" t="s">
        <v>20</v>
      </c>
      <c r="J631" s="4">
        <v>3</v>
      </c>
      <c r="K631" s="5">
        <v>57.14</v>
      </c>
      <c r="L631" s="6">
        <v>0</v>
      </c>
      <c r="M631" s="5">
        <v>171.42</v>
      </c>
      <c r="P631" t="str">
        <f>TEXT(Tableau2[[#This Row],[Date]],"mmmm aaaa")</f>
        <v>février 2026</v>
      </c>
    </row>
    <row r="632" spans="1:16">
      <c r="A632" s="2" t="s">
        <v>719</v>
      </c>
      <c r="B632" s="3">
        <v>46317</v>
      </c>
      <c r="C632" s="2" t="s">
        <v>94</v>
      </c>
      <c r="D632" s="2" t="s">
        <v>15</v>
      </c>
      <c r="E632" s="2" t="s">
        <v>16</v>
      </c>
      <c r="F632" s="2" t="s">
        <v>17</v>
      </c>
      <c r="G632" s="2" t="s">
        <v>24</v>
      </c>
      <c r="H632" s="2" t="s">
        <v>35</v>
      </c>
      <c r="I632" s="2" t="s">
        <v>36</v>
      </c>
      <c r="J632" s="4">
        <v>5</v>
      </c>
      <c r="K632" s="5">
        <v>180.91</v>
      </c>
      <c r="L632" s="6">
        <v>0</v>
      </c>
      <c r="M632" s="5">
        <v>904.55</v>
      </c>
      <c r="P632" t="str">
        <f>TEXT(Tableau2[[#This Row],[Date]],"mmmm aaaa")</f>
        <v>octobre 2026</v>
      </c>
    </row>
    <row r="633" spans="1:16">
      <c r="A633" s="2" t="s">
        <v>720</v>
      </c>
      <c r="B633" s="3">
        <v>46108</v>
      </c>
      <c r="C633" s="2" t="s">
        <v>116</v>
      </c>
      <c r="D633" s="2" t="s">
        <v>15</v>
      </c>
      <c r="E633" s="2" t="s">
        <v>16</v>
      </c>
      <c r="F633" s="2" t="s">
        <v>28</v>
      </c>
      <c r="G633" s="2" t="s">
        <v>39</v>
      </c>
      <c r="H633" s="2" t="s">
        <v>95</v>
      </c>
      <c r="I633" s="2" t="s">
        <v>26</v>
      </c>
      <c r="J633" s="4">
        <v>4</v>
      </c>
      <c r="K633" s="5">
        <v>90.48</v>
      </c>
      <c r="L633" s="6">
        <v>0</v>
      </c>
      <c r="M633" s="5">
        <v>361.92</v>
      </c>
      <c r="P633" t="str">
        <f>TEXT(Tableau2[[#This Row],[Date]],"mmmm aaaa")</f>
        <v>mars 2026</v>
      </c>
    </row>
    <row r="634" spans="1:16">
      <c r="A634" s="2" t="s">
        <v>721</v>
      </c>
      <c r="B634" s="3">
        <v>46060</v>
      </c>
      <c r="C634" s="2" t="s">
        <v>63</v>
      </c>
      <c r="D634" s="2" t="s">
        <v>33</v>
      </c>
      <c r="E634" s="2" t="s">
        <v>16</v>
      </c>
      <c r="F634" s="2" t="s">
        <v>28</v>
      </c>
      <c r="G634" s="2" t="s">
        <v>24</v>
      </c>
      <c r="H634" s="2" t="s">
        <v>35</v>
      </c>
      <c r="I634" s="2" t="s">
        <v>26</v>
      </c>
      <c r="J634" s="4">
        <v>1</v>
      </c>
      <c r="K634" s="5">
        <v>164.34</v>
      </c>
      <c r="L634" s="6">
        <v>0</v>
      </c>
      <c r="M634" s="5">
        <v>164.34</v>
      </c>
      <c r="P634" t="str">
        <f>TEXT(Tableau2[[#This Row],[Date]],"mmmm aaaa")</f>
        <v>février 2026</v>
      </c>
    </row>
    <row r="635" spans="1:16">
      <c r="A635" s="2" t="s">
        <v>722</v>
      </c>
      <c r="B635" s="3">
        <v>46340</v>
      </c>
      <c r="C635" s="2" t="s">
        <v>156</v>
      </c>
      <c r="D635" s="2" t="s">
        <v>15</v>
      </c>
      <c r="E635" s="2" t="s">
        <v>38</v>
      </c>
      <c r="F635" s="2" t="s">
        <v>17</v>
      </c>
      <c r="G635" s="2" t="s">
        <v>18</v>
      </c>
      <c r="H635" s="2" t="s">
        <v>143</v>
      </c>
      <c r="I635" s="2" t="s">
        <v>36</v>
      </c>
      <c r="J635" s="4">
        <v>1</v>
      </c>
      <c r="K635" s="5">
        <v>65.52</v>
      </c>
      <c r="L635" s="6">
        <v>0</v>
      </c>
      <c r="M635" s="5">
        <v>65.52</v>
      </c>
      <c r="P635" t="str">
        <f>TEXT(Tableau2[[#This Row],[Date]],"mmmm aaaa")</f>
        <v>novembre 2026</v>
      </c>
    </row>
    <row r="636" spans="1:16">
      <c r="A636" s="2" t="s">
        <v>723</v>
      </c>
      <c r="B636" s="3">
        <v>46072</v>
      </c>
      <c r="C636" s="2" t="s">
        <v>79</v>
      </c>
      <c r="D636" s="2" t="s">
        <v>33</v>
      </c>
      <c r="E636" s="2" t="s">
        <v>34</v>
      </c>
      <c r="F636" s="2" t="s">
        <v>28</v>
      </c>
      <c r="G636" s="2" t="s">
        <v>29</v>
      </c>
      <c r="H636" s="2" t="s">
        <v>30</v>
      </c>
      <c r="I636" s="2" t="s">
        <v>36</v>
      </c>
      <c r="J636" s="4">
        <v>2</v>
      </c>
      <c r="K636" s="5">
        <v>27.22</v>
      </c>
      <c r="L636" s="6">
        <v>0.05</v>
      </c>
      <c r="M636" s="5">
        <v>51.72</v>
      </c>
      <c r="P636" t="str">
        <f>TEXT(Tableau2[[#This Row],[Date]],"mmmm aaaa")</f>
        <v>février 2026</v>
      </c>
    </row>
    <row r="637" spans="1:16">
      <c r="A637" s="2" t="s">
        <v>724</v>
      </c>
      <c r="B637" s="3">
        <v>46108</v>
      </c>
      <c r="C637" s="2" t="s">
        <v>63</v>
      </c>
      <c r="D637" s="2" t="s">
        <v>33</v>
      </c>
      <c r="E637" s="2" t="s">
        <v>16</v>
      </c>
      <c r="F637" s="2" t="s">
        <v>17</v>
      </c>
      <c r="G637" s="2" t="s">
        <v>39</v>
      </c>
      <c r="H637" s="2" t="s">
        <v>95</v>
      </c>
      <c r="I637" s="2" t="s">
        <v>50</v>
      </c>
      <c r="J637" s="4">
        <v>4</v>
      </c>
      <c r="K637" s="5">
        <v>95.87</v>
      </c>
      <c r="L637" s="6">
        <v>0.05</v>
      </c>
      <c r="M637" s="5">
        <v>364.31</v>
      </c>
      <c r="P637" t="str">
        <f>TEXT(Tableau2[[#This Row],[Date]],"mmmm aaaa")</f>
        <v>mars 2026</v>
      </c>
    </row>
    <row r="638" spans="1:16">
      <c r="A638" s="2" t="s">
        <v>725</v>
      </c>
      <c r="B638" s="3">
        <v>46124</v>
      </c>
      <c r="C638" s="2" t="s">
        <v>101</v>
      </c>
      <c r="D638" s="2" t="s">
        <v>33</v>
      </c>
      <c r="E638" s="2" t="s">
        <v>16</v>
      </c>
      <c r="F638" s="2" t="s">
        <v>17</v>
      </c>
      <c r="G638" s="2" t="s">
        <v>48</v>
      </c>
      <c r="H638" s="2" t="s">
        <v>77</v>
      </c>
      <c r="I638" s="2" t="s">
        <v>45</v>
      </c>
      <c r="J638" s="4">
        <v>3</v>
      </c>
      <c r="K638" s="5">
        <v>78.84</v>
      </c>
      <c r="L638" s="6">
        <v>0.05</v>
      </c>
      <c r="M638" s="5">
        <v>224.69</v>
      </c>
      <c r="P638" t="str">
        <f>TEXT(Tableau2[[#This Row],[Date]],"mmmm aaaa")</f>
        <v>avril 2026</v>
      </c>
    </row>
    <row r="639" spans="1:16">
      <c r="A639" s="2" t="s">
        <v>726</v>
      </c>
      <c r="B639" s="3">
        <v>46255</v>
      </c>
      <c r="C639" s="2" t="s">
        <v>106</v>
      </c>
      <c r="D639" s="2" t="s">
        <v>23</v>
      </c>
      <c r="E639" s="2" t="s">
        <v>38</v>
      </c>
      <c r="F639" s="2" t="s">
        <v>28</v>
      </c>
      <c r="G639" s="2" t="s">
        <v>54</v>
      </c>
      <c r="H639" s="2" t="s">
        <v>55</v>
      </c>
      <c r="I639" s="2" t="s">
        <v>58</v>
      </c>
      <c r="J639" s="4">
        <v>2</v>
      </c>
      <c r="K639" s="5">
        <v>153.47999999999999</v>
      </c>
      <c r="L639" s="6">
        <v>0</v>
      </c>
      <c r="M639" s="5">
        <v>306.95999999999998</v>
      </c>
      <c r="P639" t="str">
        <f>TEXT(Tableau2[[#This Row],[Date]],"mmmm aaaa")</f>
        <v>août 2026</v>
      </c>
    </row>
    <row r="640" spans="1:16">
      <c r="A640" s="2" t="s">
        <v>727</v>
      </c>
      <c r="B640" s="3">
        <v>46089</v>
      </c>
      <c r="C640" s="2" t="s">
        <v>60</v>
      </c>
      <c r="D640" s="2" t="s">
        <v>33</v>
      </c>
      <c r="E640" s="2" t="s">
        <v>34</v>
      </c>
      <c r="F640" s="2" t="s">
        <v>28</v>
      </c>
      <c r="G640" s="2" t="s">
        <v>18</v>
      </c>
      <c r="H640" s="2" t="s">
        <v>136</v>
      </c>
      <c r="I640" s="2" t="s">
        <v>75</v>
      </c>
      <c r="J640" s="4">
        <v>3</v>
      </c>
      <c r="K640" s="5">
        <v>33</v>
      </c>
      <c r="L640" s="6">
        <v>0.3</v>
      </c>
      <c r="M640" s="5">
        <v>69.3</v>
      </c>
      <c r="P640" t="str">
        <f>TEXT(Tableau2[[#This Row],[Date]],"mmmm aaaa")</f>
        <v>mars 2026</v>
      </c>
    </row>
    <row r="641" spans="1:16">
      <c r="A641" s="2" t="s">
        <v>728</v>
      </c>
      <c r="B641" s="3">
        <v>46367</v>
      </c>
      <c r="C641" s="2" t="s">
        <v>160</v>
      </c>
      <c r="D641" s="2" t="s">
        <v>33</v>
      </c>
      <c r="E641" s="2" t="s">
        <v>38</v>
      </c>
      <c r="F641" s="2" t="s">
        <v>28</v>
      </c>
      <c r="G641" s="2" t="s">
        <v>24</v>
      </c>
      <c r="H641" s="2" t="s">
        <v>25</v>
      </c>
      <c r="I641" s="2" t="s">
        <v>58</v>
      </c>
      <c r="J641" s="4">
        <v>2</v>
      </c>
      <c r="K641" s="5">
        <v>139.01</v>
      </c>
      <c r="L641" s="6">
        <v>0</v>
      </c>
      <c r="M641" s="5">
        <v>278.02</v>
      </c>
      <c r="P641" t="str">
        <f>TEXT(Tableau2[[#This Row],[Date]],"mmmm aaaa")</f>
        <v>décembre 2026</v>
      </c>
    </row>
    <row r="642" spans="1:16">
      <c r="A642" s="2" t="s">
        <v>729</v>
      </c>
      <c r="B642" s="3">
        <v>46088</v>
      </c>
      <c r="C642" s="2" t="s">
        <v>441</v>
      </c>
      <c r="D642" s="2" t="s">
        <v>23</v>
      </c>
      <c r="E642" s="2" t="s">
        <v>38</v>
      </c>
      <c r="F642" s="2" t="s">
        <v>28</v>
      </c>
      <c r="G642" s="2" t="s">
        <v>54</v>
      </c>
      <c r="H642" s="2" t="s">
        <v>55</v>
      </c>
      <c r="I642" s="2" t="s">
        <v>58</v>
      </c>
      <c r="J642" s="4">
        <v>5</v>
      </c>
      <c r="K642" s="5">
        <v>149.12</v>
      </c>
      <c r="L642" s="6">
        <v>0</v>
      </c>
      <c r="M642" s="5">
        <v>745.6</v>
      </c>
      <c r="P642" t="str">
        <f>TEXT(Tableau2[[#This Row],[Date]],"mmmm aaaa")</f>
        <v>mars 2026</v>
      </c>
    </row>
    <row r="643" spans="1:16">
      <c r="A643" s="2" t="s">
        <v>730</v>
      </c>
      <c r="B643" s="3">
        <v>46075</v>
      </c>
      <c r="C643" s="2" t="s">
        <v>66</v>
      </c>
      <c r="D643" s="2" t="s">
        <v>23</v>
      </c>
      <c r="E643" s="2" t="s">
        <v>16</v>
      </c>
      <c r="F643" s="2" t="s">
        <v>28</v>
      </c>
      <c r="G643" s="2" t="s">
        <v>54</v>
      </c>
      <c r="H643" s="2" t="s">
        <v>55</v>
      </c>
      <c r="I643" s="2" t="s">
        <v>58</v>
      </c>
      <c r="J643" s="4">
        <v>1</v>
      </c>
      <c r="K643" s="5">
        <v>158.91</v>
      </c>
      <c r="L643" s="6">
        <v>0</v>
      </c>
      <c r="M643" s="5">
        <v>158.91</v>
      </c>
      <c r="P643" t="str">
        <f>TEXT(Tableau2[[#This Row],[Date]],"mmmm aaaa")</f>
        <v>février 2026</v>
      </c>
    </row>
    <row r="644" spans="1:16">
      <c r="A644" s="2" t="s">
        <v>731</v>
      </c>
      <c r="B644" s="3">
        <v>46098</v>
      </c>
      <c r="C644" s="2" t="s">
        <v>169</v>
      </c>
      <c r="D644" s="2" t="s">
        <v>33</v>
      </c>
      <c r="E644" s="2" t="s">
        <v>16</v>
      </c>
      <c r="F644" s="2" t="s">
        <v>17</v>
      </c>
      <c r="G644" s="2" t="s">
        <v>24</v>
      </c>
      <c r="H644" s="2" t="s">
        <v>25</v>
      </c>
      <c r="I644" s="2" t="s">
        <v>26</v>
      </c>
      <c r="J644" s="4">
        <v>10</v>
      </c>
      <c r="K644" s="5">
        <v>131.87</v>
      </c>
      <c r="L644" s="6">
        <v>0.05</v>
      </c>
      <c r="M644" s="5">
        <v>1252.76</v>
      </c>
      <c r="P644" t="str">
        <f>TEXT(Tableau2[[#This Row],[Date]],"mmmm aaaa")</f>
        <v>mars 2026</v>
      </c>
    </row>
    <row r="645" spans="1:16">
      <c r="A645" s="2" t="s">
        <v>732</v>
      </c>
      <c r="B645" s="3">
        <v>46298</v>
      </c>
      <c r="C645" s="2" t="s">
        <v>90</v>
      </c>
      <c r="D645" s="2" t="s">
        <v>53</v>
      </c>
      <c r="E645" s="2" t="s">
        <v>34</v>
      </c>
      <c r="F645" s="2" t="s">
        <v>28</v>
      </c>
      <c r="G645" s="2" t="s">
        <v>48</v>
      </c>
      <c r="H645" s="2" t="s">
        <v>84</v>
      </c>
      <c r="I645" s="2" t="s">
        <v>75</v>
      </c>
      <c r="J645" s="4">
        <v>3</v>
      </c>
      <c r="K645" s="5">
        <v>84.87</v>
      </c>
      <c r="L645" s="6">
        <v>0.15</v>
      </c>
      <c r="M645" s="5">
        <v>216.42</v>
      </c>
      <c r="P645" t="str">
        <f>TEXT(Tableau2[[#This Row],[Date]],"mmmm aaaa")</f>
        <v>octobre 2026</v>
      </c>
    </row>
    <row r="646" spans="1:16">
      <c r="A646" s="2" t="s">
        <v>733</v>
      </c>
      <c r="B646" s="3">
        <v>46046</v>
      </c>
      <c r="C646" s="2" t="s">
        <v>160</v>
      </c>
      <c r="D646" s="2" t="s">
        <v>33</v>
      </c>
      <c r="E646" s="2" t="s">
        <v>43</v>
      </c>
      <c r="F646" s="2" t="s">
        <v>28</v>
      </c>
      <c r="G646" s="2" t="s">
        <v>48</v>
      </c>
      <c r="H646" s="2" t="s">
        <v>77</v>
      </c>
      <c r="I646" s="2" t="s">
        <v>45</v>
      </c>
      <c r="J646" s="4">
        <v>1</v>
      </c>
      <c r="K646" s="5">
        <v>77.569999999999993</v>
      </c>
      <c r="L646" s="6">
        <v>0.05</v>
      </c>
      <c r="M646" s="5">
        <v>73.69</v>
      </c>
      <c r="P646" t="str">
        <f>TEXT(Tableau2[[#This Row],[Date]],"mmmm aaaa")</f>
        <v>janvier 2026</v>
      </c>
    </row>
    <row r="647" spans="1:16">
      <c r="A647" s="2" t="s">
        <v>734</v>
      </c>
      <c r="B647" s="3">
        <v>46368</v>
      </c>
      <c r="C647" s="2" t="s">
        <v>57</v>
      </c>
      <c r="D647" s="2" t="s">
        <v>15</v>
      </c>
      <c r="E647" s="2" t="s">
        <v>16</v>
      </c>
      <c r="F647" s="2" t="s">
        <v>17</v>
      </c>
      <c r="G647" s="2" t="s">
        <v>24</v>
      </c>
      <c r="H647" s="2" t="s">
        <v>35</v>
      </c>
      <c r="I647" s="2" t="s">
        <v>75</v>
      </c>
      <c r="J647" s="4">
        <v>1</v>
      </c>
      <c r="K647" s="5">
        <v>162.72</v>
      </c>
      <c r="L647" s="6">
        <v>0.2</v>
      </c>
      <c r="M647" s="5">
        <v>130.18</v>
      </c>
      <c r="P647" t="str">
        <f>TEXT(Tableau2[[#This Row],[Date]],"mmmm aaaa")</f>
        <v>décembre 2026</v>
      </c>
    </row>
    <row r="648" spans="1:16">
      <c r="A648" s="2" t="s">
        <v>735</v>
      </c>
      <c r="B648" s="3">
        <v>46291</v>
      </c>
      <c r="C648" s="2" t="s">
        <v>90</v>
      </c>
      <c r="D648" s="2" t="s">
        <v>53</v>
      </c>
      <c r="E648" s="2" t="s">
        <v>16</v>
      </c>
      <c r="F648" s="2" t="s">
        <v>17</v>
      </c>
      <c r="G648" s="2" t="s">
        <v>29</v>
      </c>
      <c r="H648" s="2" t="s">
        <v>140</v>
      </c>
      <c r="I648" s="2" t="s">
        <v>20</v>
      </c>
      <c r="J648" s="4">
        <v>15</v>
      </c>
      <c r="K648" s="5">
        <v>47.66</v>
      </c>
      <c r="L648" s="6">
        <v>0.15</v>
      </c>
      <c r="M648" s="5">
        <v>607.66</v>
      </c>
      <c r="P648" t="str">
        <f>TEXT(Tableau2[[#This Row],[Date]],"mmmm aaaa")</f>
        <v>septembre 2026</v>
      </c>
    </row>
    <row r="649" spans="1:16">
      <c r="A649" s="2" t="s">
        <v>736</v>
      </c>
      <c r="B649" s="3">
        <v>46305</v>
      </c>
      <c r="C649" s="2" t="s">
        <v>63</v>
      </c>
      <c r="D649" s="2" t="s">
        <v>33</v>
      </c>
      <c r="E649" s="2" t="s">
        <v>34</v>
      </c>
      <c r="F649" s="2" t="s">
        <v>17</v>
      </c>
      <c r="G649" s="2" t="s">
        <v>29</v>
      </c>
      <c r="H649" s="2" t="s">
        <v>44</v>
      </c>
      <c r="I649" s="2" t="s">
        <v>36</v>
      </c>
      <c r="J649" s="4">
        <v>1</v>
      </c>
      <c r="K649" s="5">
        <v>38.9</v>
      </c>
      <c r="L649" s="6">
        <v>0.05</v>
      </c>
      <c r="M649" s="5">
        <v>36.950000000000003</v>
      </c>
      <c r="P649" t="str">
        <f>TEXT(Tableau2[[#This Row],[Date]],"mmmm aaaa")</f>
        <v>octobre 2026</v>
      </c>
    </row>
    <row r="650" spans="1:16">
      <c r="A650" s="2" t="s">
        <v>737</v>
      </c>
      <c r="B650" s="3">
        <v>46209</v>
      </c>
      <c r="C650" s="2" t="s">
        <v>63</v>
      </c>
      <c r="D650" s="2" t="s">
        <v>33</v>
      </c>
      <c r="E650" s="2" t="s">
        <v>34</v>
      </c>
      <c r="F650" s="2" t="s">
        <v>17</v>
      </c>
      <c r="G650" s="2" t="s">
        <v>39</v>
      </c>
      <c r="H650" s="2" t="s">
        <v>71</v>
      </c>
      <c r="I650" s="2" t="s">
        <v>75</v>
      </c>
      <c r="J650" s="4">
        <v>2</v>
      </c>
      <c r="K650" s="5">
        <v>110.78</v>
      </c>
      <c r="L650" s="6">
        <v>0</v>
      </c>
      <c r="M650" s="5">
        <v>221.56</v>
      </c>
      <c r="P650" t="str">
        <f>TEXT(Tableau2[[#This Row],[Date]],"mmmm aaaa")</f>
        <v>juillet 2026</v>
      </c>
    </row>
    <row r="651" spans="1:16">
      <c r="A651" s="2" t="s">
        <v>738</v>
      </c>
      <c r="B651" s="3">
        <v>46159</v>
      </c>
      <c r="C651" s="2" t="s">
        <v>134</v>
      </c>
      <c r="D651" s="2" t="s">
        <v>15</v>
      </c>
      <c r="E651" s="2" t="s">
        <v>34</v>
      </c>
      <c r="F651" s="2" t="s">
        <v>17</v>
      </c>
      <c r="G651" s="2" t="s">
        <v>29</v>
      </c>
      <c r="H651" s="2" t="s">
        <v>99</v>
      </c>
      <c r="I651" s="2" t="s">
        <v>41</v>
      </c>
      <c r="J651" s="4">
        <v>1</v>
      </c>
      <c r="K651" s="5">
        <v>63.95</v>
      </c>
      <c r="L651" s="6">
        <v>0</v>
      </c>
      <c r="M651" s="5">
        <v>63.95</v>
      </c>
      <c r="P651" t="str">
        <f>TEXT(Tableau2[[#This Row],[Date]],"mmmm aaaa")</f>
        <v>mai 2026</v>
      </c>
    </row>
    <row r="652" spans="1:16">
      <c r="A652" s="2" t="s">
        <v>739</v>
      </c>
      <c r="B652" s="3">
        <v>46384</v>
      </c>
      <c r="C652" s="2" t="s">
        <v>441</v>
      </c>
      <c r="D652" s="2" t="s">
        <v>23</v>
      </c>
      <c r="E652" s="2" t="s">
        <v>34</v>
      </c>
      <c r="F652" s="2" t="s">
        <v>28</v>
      </c>
      <c r="G652" s="2" t="s">
        <v>54</v>
      </c>
      <c r="H652" s="2" t="s">
        <v>102</v>
      </c>
      <c r="I652" s="2" t="s">
        <v>41</v>
      </c>
      <c r="J652" s="4">
        <v>2</v>
      </c>
      <c r="K652" s="5">
        <v>212.06</v>
      </c>
      <c r="L652" s="6">
        <v>0</v>
      </c>
      <c r="M652" s="5">
        <v>424.12</v>
      </c>
      <c r="P652" t="str">
        <f>TEXT(Tableau2[[#This Row],[Date]],"mmmm aaaa")</f>
        <v>décembre 2026</v>
      </c>
    </row>
    <row r="653" spans="1:16">
      <c r="A653" s="2" t="s">
        <v>740</v>
      </c>
      <c r="B653" s="3">
        <v>46324</v>
      </c>
      <c r="C653" s="2" t="s">
        <v>14</v>
      </c>
      <c r="D653" s="2" t="s">
        <v>15</v>
      </c>
      <c r="E653" s="2" t="s">
        <v>34</v>
      </c>
      <c r="F653" s="2" t="s">
        <v>17</v>
      </c>
      <c r="G653" s="2" t="s">
        <v>24</v>
      </c>
      <c r="H653" s="2" t="s">
        <v>82</v>
      </c>
      <c r="I653" s="2" t="s">
        <v>75</v>
      </c>
      <c r="J653" s="4">
        <v>4</v>
      </c>
      <c r="K653" s="5">
        <v>288.10000000000002</v>
      </c>
      <c r="L653" s="6">
        <v>0</v>
      </c>
      <c r="M653" s="5">
        <v>1152.4000000000001</v>
      </c>
      <c r="P653" t="str">
        <f>TEXT(Tableau2[[#This Row],[Date]],"mmmm aaaa")</f>
        <v>octobre 2026</v>
      </c>
    </row>
    <row r="654" spans="1:16">
      <c r="A654" s="2" t="s">
        <v>741</v>
      </c>
      <c r="B654" s="3">
        <v>46242</v>
      </c>
      <c r="C654" s="2" t="s">
        <v>79</v>
      </c>
      <c r="D654" s="2" t="s">
        <v>33</v>
      </c>
      <c r="E654" s="2" t="s">
        <v>16</v>
      </c>
      <c r="F654" s="2" t="s">
        <v>17</v>
      </c>
      <c r="G654" s="2" t="s">
        <v>48</v>
      </c>
      <c r="H654" s="2" t="s">
        <v>84</v>
      </c>
      <c r="I654" s="2" t="s">
        <v>36</v>
      </c>
      <c r="J654" s="4">
        <v>2</v>
      </c>
      <c r="K654" s="5">
        <v>92.51</v>
      </c>
      <c r="L654" s="6">
        <v>0</v>
      </c>
      <c r="M654" s="5">
        <v>185.02</v>
      </c>
      <c r="P654" t="str">
        <f>TEXT(Tableau2[[#This Row],[Date]],"mmmm aaaa")</f>
        <v>août 2026</v>
      </c>
    </row>
    <row r="655" spans="1:16">
      <c r="A655" s="2" t="s">
        <v>742</v>
      </c>
      <c r="B655" s="3">
        <v>46296</v>
      </c>
      <c r="C655" s="2" t="s">
        <v>63</v>
      </c>
      <c r="D655" s="2" t="s">
        <v>33</v>
      </c>
      <c r="E655" s="2" t="s">
        <v>34</v>
      </c>
      <c r="F655" s="2" t="s">
        <v>17</v>
      </c>
      <c r="G655" s="2" t="s">
        <v>24</v>
      </c>
      <c r="H655" s="2" t="s">
        <v>35</v>
      </c>
      <c r="I655" s="2" t="s">
        <v>45</v>
      </c>
      <c r="J655" s="4">
        <v>5</v>
      </c>
      <c r="K655" s="5">
        <v>180.46</v>
      </c>
      <c r="L655" s="6">
        <v>0</v>
      </c>
      <c r="M655" s="5">
        <v>902.3</v>
      </c>
      <c r="P655" t="str">
        <f>TEXT(Tableau2[[#This Row],[Date]],"mmmm aaaa")</f>
        <v>octobre 2026</v>
      </c>
    </row>
    <row r="656" spans="1:16">
      <c r="A656" s="2" t="s">
        <v>743</v>
      </c>
      <c r="B656" s="3">
        <v>46168</v>
      </c>
      <c r="C656" s="2" t="s">
        <v>79</v>
      </c>
      <c r="D656" s="2" t="s">
        <v>33</v>
      </c>
      <c r="E656" s="2" t="s">
        <v>34</v>
      </c>
      <c r="F656" s="2" t="s">
        <v>17</v>
      </c>
      <c r="G656" s="2" t="s">
        <v>48</v>
      </c>
      <c r="H656" s="2" t="s">
        <v>88</v>
      </c>
      <c r="I656" s="2" t="s">
        <v>26</v>
      </c>
      <c r="J656" s="4">
        <v>5</v>
      </c>
      <c r="K656" s="5">
        <v>77.44</v>
      </c>
      <c r="L656" s="6">
        <v>0</v>
      </c>
      <c r="M656" s="5">
        <v>387.2</v>
      </c>
      <c r="P656" t="str">
        <f>TEXT(Tableau2[[#This Row],[Date]],"mmmm aaaa")</f>
        <v>mai 2026</v>
      </c>
    </row>
    <row r="657" spans="1:16">
      <c r="A657" s="2" t="s">
        <v>744</v>
      </c>
      <c r="B657" s="3">
        <v>46036</v>
      </c>
      <c r="C657" s="2" t="s">
        <v>130</v>
      </c>
      <c r="D657" s="2" t="s">
        <v>53</v>
      </c>
      <c r="E657" s="2" t="s">
        <v>16</v>
      </c>
      <c r="F657" s="2" t="s">
        <v>28</v>
      </c>
      <c r="G657" s="2" t="s">
        <v>48</v>
      </c>
      <c r="H657" s="2" t="s">
        <v>84</v>
      </c>
      <c r="I657" s="2" t="s">
        <v>45</v>
      </c>
      <c r="J657" s="4">
        <v>1</v>
      </c>
      <c r="K657" s="5">
        <v>97.49</v>
      </c>
      <c r="L657" s="6">
        <v>0</v>
      </c>
      <c r="M657" s="5">
        <v>97.49</v>
      </c>
      <c r="P657" t="str">
        <f>TEXT(Tableau2[[#This Row],[Date]],"mmmm aaaa")</f>
        <v>janvier 2026</v>
      </c>
    </row>
    <row r="658" spans="1:16">
      <c r="A658" s="2" t="s">
        <v>745</v>
      </c>
      <c r="B658" s="3">
        <v>46049</v>
      </c>
      <c r="C658" s="2" t="s">
        <v>66</v>
      </c>
      <c r="D658" s="2" t="s">
        <v>23</v>
      </c>
      <c r="E658" s="2" t="s">
        <v>34</v>
      </c>
      <c r="F658" s="2" t="s">
        <v>17</v>
      </c>
      <c r="G658" s="2" t="s">
        <v>54</v>
      </c>
      <c r="H658" s="2" t="s">
        <v>55</v>
      </c>
      <c r="I658" s="2" t="s">
        <v>20</v>
      </c>
      <c r="J658" s="4">
        <v>1</v>
      </c>
      <c r="K658" s="5">
        <v>159.24</v>
      </c>
      <c r="L658" s="6">
        <v>0.2</v>
      </c>
      <c r="M658" s="5">
        <v>127.39</v>
      </c>
      <c r="P658" t="str">
        <f>TEXT(Tableau2[[#This Row],[Date]],"mmmm aaaa")</f>
        <v>janvier 2026</v>
      </c>
    </row>
    <row r="659" spans="1:16">
      <c r="A659" s="2" t="s">
        <v>746</v>
      </c>
      <c r="B659" s="3">
        <v>46082</v>
      </c>
      <c r="C659" s="2" t="s">
        <v>94</v>
      </c>
      <c r="D659" s="2" t="s">
        <v>15</v>
      </c>
      <c r="E659" s="2" t="s">
        <v>16</v>
      </c>
      <c r="F659" s="2" t="s">
        <v>17</v>
      </c>
      <c r="G659" s="2" t="s">
        <v>54</v>
      </c>
      <c r="H659" s="2" t="s">
        <v>55</v>
      </c>
      <c r="I659" s="2" t="s">
        <v>41</v>
      </c>
      <c r="J659" s="4">
        <v>6</v>
      </c>
      <c r="K659" s="5">
        <v>150.69999999999999</v>
      </c>
      <c r="L659" s="6">
        <v>0</v>
      </c>
      <c r="M659" s="5">
        <v>904.2</v>
      </c>
      <c r="P659" t="str">
        <f>TEXT(Tableau2[[#This Row],[Date]],"mmmm aaaa")</f>
        <v>mars 2026</v>
      </c>
    </row>
    <row r="660" spans="1:16">
      <c r="A660" s="2" t="s">
        <v>747</v>
      </c>
      <c r="B660" s="3">
        <v>46285</v>
      </c>
      <c r="C660" s="2" t="s">
        <v>79</v>
      </c>
      <c r="D660" s="2" t="s">
        <v>33</v>
      </c>
      <c r="E660" s="2" t="s">
        <v>16</v>
      </c>
      <c r="F660" s="2" t="s">
        <v>17</v>
      </c>
      <c r="G660" s="2" t="s">
        <v>29</v>
      </c>
      <c r="H660" s="2" t="s">
        <v>30</v>
      </c>
      <c r="I660" s="2" t="s">
        <v>41</v>
      </c>
      <c r="J660" s="4">
        <v>1</v>
      </c>
      <c r="K660" s="5">
        <v>27.47</v>
      </c>
      <c r="L660" s="6">
        <v>0</v>
      </c>
      <c r="M660" s="5">
        <v>27.47</v>
      </c>
      <c r="P660" t="str">
        <f>TEXT(Tableau2[[#This Row],[Date]],"mmmm aaaa")</f>
        <v>septembre 2026</v>
      </c>
    </row>
    <row r="661" spans="1:16">
      <c r="A661" s="2" t="s">
        <v>748</v>
      </c>
      <c r="B661" s="3">
        <v>46165</v>
      </c>
      <c r="C661" s="2" t="s">
        <v>116</v>
      </c>
      <c r="D661" s="2" t="s">
        <v>15</v>
      </c>
      <c r="E661" s="2" t="s">
        <v>38</v>
      </c>
      <c r="F661" s="2" t="s">
        <v>17</v>
      </c>
      <c r="G661" s="2" t="s">
        <v>24</v>
      </c>
      <c r="H661" s="2" t="s">
        <v>35</v>
      </c>
      <c r="I661" s="2" t="s">
        <v>45</v>
      </c>
      <c r="J661" s="4">
        <v>8</v>
      </c>
      <c r="K661" s="5">
        <v>156.81</v>
      </c>
      <c r="L661" s="6">
        <v>0</v>
      </c>
      <c r="M661" s="5">
        <v>1254.48</v>
      </c>
      <c r="P661" t="str">
        <f>TEXT(Tableau2[[#This Row],[Date]],"mmmm aaaa")</f>
        <v>mai 2026</v>
      </c>
    </row>
    <row r="662" spans="1:16">
      <c r="A662" s="2" t="s">
        <v>749</v>
      </c>
      <c r="B662" s="3">
        <v>46280</v>
      </c>
      <c r="C662" s="2" t="s">
        <v>57</v>
      </c>
      <c r="D662" s="2" t="s">
        <v>15</v>
      </c>
      <c r="E662" s="2" t="s">
        <v>16</v>
      </c>
      <c r="F662" s="2" t="s">
        <v>17</v>
      </c>
      <c r="G662" s="2" t="s">
        <v>18</v>
      </c>
      <c r="H662" s="2" t="s">
        <v>136</v>
      </c>
      <c r="I662" s="2" t="s">
        <v>36</v>
      </c>
      <c r="J662" s="4">
        <v>4</v>
      </c>
      <c r="K662" s="5">
        <v>30.14</v>
      </c>
      <c r="L662" s="6">
        <v>0.05</v>
      </c>
      <c r="M662" s="5">
        <v>114.53</v>
      </c>
      <c r="P662" t="str">
        <f>TEXT(Tableau2[[#This Row],[Date]],"mmmm aaaa")</f>
        <v>septembre 2026</v>
      </c>
    </row>
    <row r="663" spans="1:16">
      <c r="A663" s="2" t="s">
        <v>750</v>
      </c>
      <c r="B663" s="3">
        <v>46047</v>
      </c>
      <c r="C663" s="2" t="s">
        <v>164</v>
      </c>
      <c r="D663" s="2" t="s">
        <v>53</v>
      </c>
      <c r="E663" s="2" t="s">
        <v>16</v>
      </c>
      <c r="F663" s="2" t="s">
        <v>28</v>
      </c>
      <c r="G663" s="2" t="s">
        <v>18</v>
      </c>
      <c r="H663" s="2" t="s">
        <v>143</v>
      </c>
      <c r="I663" s="2" t="s">
        <v>26</v>
      </c>
      <c r="J663" s="4">
        <v>1</v>
      </c>
      <c r="K663" s="5">
        <v>72.48</v>
      </c>
      <c r="L663" s="6">
        <v>0</v>
      </c>
      <c r="M663" s="5">
        <v>72.48</v>
      </c>
      <c r="P663" t="str">
        <f>TEXT(Tableau2[[#This Row],[Date]],"mmmm aaaa")</f>
        <v>janvier 2026</v>
      </c>
    </row>
    <row r="664" spans="1:16">
      <c r="A664" s="2" t="s">
        <v>751</v>
      </c>
      <c r="B664" s="3">
        <v>46169</v>
      </c>
      <c r="C664" s="2" t="s">
        <v>57</v>
      </c>
      <c r="D664" s="2" t="s">
        <v>15</v>
      </c>
      <c r="E664" s="2" t="s">
        <v>16</v>
      </c>
      <c r="F664" s="2" t="s">
        <v>17</v>
      </c>
      <c r="G664" s="2" t="s">
        <v>29</v>
      </c>
      <c r="H664" s="2" t="s">
        <v>44</v>
      </c>
      <c r="I664" s="2" t="s">
        <v>26</v>
      </c>
      <c r="J664" s="4">
        <v>2</v>
      </c>
      <c r="K664" s="5">
        <v>35.58</v>
      </c>
      <c r="L664" s="6">
        <v>0.3</v>
      </c>
      <c r="M664" s="5">
        <v>49.81</v>
      </c>
      <c r="P664" t="str">
        <f>TEXT(Tableau2[[#This Row],[Date]],"mmmm aaaa")</f>
        <v>mai 2026</v>
      </c>
    </row>
    <row r="665" spans="1:16">
      <c r="A665" s="2" t="s">
        <v>752</v>
      </c>
      <c r="B665" s="3">
        <v>46382</v>
      </c>
      <c r="C665" s="2" t="s">
        <v>90</v>
      </c>
      <c r="D665" s="2" t="s">
        <v>53</v>
      </c>
      <c r="E665" s="2" t="s">
        <v>16</v>
      </c>
      <c r="F665" s="2" t="s">
        <v>28</v>
      </c>
      <c r="G665" s="2" t="s">
        <v>54</v>
      </c>
      <c r="H665" s="2" t="s">
        <v>102</v>
      </c>
      <c r="I665" s="2" t="s">
        <v>75</v>
      </c>
      <c r="J665" s="4">
        <v>1</v>
      </c>
      <c r="K665" s="5">
        <v>231.32</v>
      </c>
      <c r="L665" s="6">
        <v>0</v>
      </c>
      <c r="M665" s="5">
        <v>231.32</v>
      </c>
      <c r="P665" t="str">
        <f>TEXT(Tableau2[[#This Row],[Date]],"mmmm aaaa")</f>
        <v>décembre 2026</v>
      </c>
    </row>
    <row r="666" spans="1:16">
      <c r="A666" s="2" t="s">
        <v>753</v>
      </c>
      <c r="B666" s="3">
        <v>46237</v>
      </c>
      <c r="C666" s="2" t="s">
        <v>22</v>
      </c>
      <c r="D666" s="2" t="s">
        <v>23</v>
      </c>
      <c r="E666" s="2" t="s">
        <v>38</v>
      </c>
      <c r="F666" s="2" t="s">
        <v>28</v>
      </c>
      <c r="G666" s="2" t="s">
        <v>39</v>
      </c>
      <c r="H666" s="2" t="s">
        <v>71</v>
      </c>
      <c r="I666" s="2" t="s">
        <v>26</v>
      </c>
      <c r="J666" s="4">
        <v>2</v>
      </c>
      <c r="K666" s="5">
        <v>118.59</v>
      </c>
      <c r="L666" s="6">
        <v>0.1</v>
      </c>
      <c r="M666" s="5">
        <v>213.46</v>
      </c>
      <c r="P666" t="str">
        <f>TEXT(Tableau2[[#This Row],[Date]],"mmmm aaaa")</f>
        <v>août 2026</v>
      </c>
    </row>
    <row r="667" spans="1:16">
      <c r="A667" s="2" t="s">
        <v>754</v>
      </c>
      <c r="B667" s="3">
        <v>46343</v>
      </c>
      <c r="C667" s="2" t="s">
        <v>169</v>
      </c>
      <c r="D667" s="2" t="s">
        <v>33</v>
      </c>
      <c r="E667" s="2" t="s">
        <v>16</v>
      </c>
      <c r="F667" s="2" t="s">
        <v>28</v>
      </c>
      <c r="G667" s="2" t="s">
        <v>48</v>
      </c>
      <c r="H667" s="2" t="s">
        <v>49</v>
      </c>
      <c r="I667" s="2" t="s">
        <v>36</v>
      </c>
      <c r="J667" s="4">
        <v>18</v>
      </c>
      <c r="K667" s="5">
        <v>54.8</v>
      </c>
      <c r="L667" s="6">
        <v>0.05</v>
      </c>
      <c r="M667" s="5">
        <v>937.08</v>
      </c>
      <c r="P667" t="str">
        <f>TEXT(Tableau2[[#This Row],[Date]],"mmmm aaaa")</f>
        <v>novembre 2026</v>
      </c>
    </row>
    <row r="668" spans="1:16">
      <c r="A668" s="2" t="s">
        <v>755</v>
      </c>
      <c r="B668" s="3">
        <v>46037</v>
      </c>
      <c r="C668" s="2" t="s">
        <v>169</v>
      </c>
      <c r="D668" s="2" t="s">
        <v>33</v>
      </c>
      <c r="E668" s="2" t="s">
        <v>38</v>
      </c>
      <c r="F668" s="2" t="s">
        <v>17</v>
      </c>
      <c r="G668" s="2" t="s">
        <v>18</v>
      </c>
      <c r="H668" s="2" t="s">
        <v>19</v>
      </c>
      <c r="I668" s="2" t="s">
        <v>50</v>
      </c>
      <c r="J668" s="4">
        <v>1</v>
      </c>
      <c r="K668" s="5">
        <v>54.12</v>
      </c>
      <c r="L668" s="6">
        <v>0</v>
      </c>
      <c r="M668" s="5">
        <v>54.12</v>
      </c>
      <c r="P668" t="str">
        <f>TEXT(Tableau2[[#This Row],[Date]],"mmmm aaaa")</f>
        <v>janvier 2026</v>
      </c>
    </row>
    <row r="669" spans="1:16">
      <c r="A669" s="2" t="s">
        <v>756</v>
      </c>
      <c r="B669" s="3">
        <v>46295</v>
      </c>
      <c r="C669" s="2" t="s">
        <v>14</v>
      </c>
      <c r="D669" s="2" t="s">
        <v>15</v>
      </c>
      <c r="E669" s="2" t="s">
        <v>34</v>
      </c>
      <c r="F669" s="2" t="s">
        <v>28</v>
      </c>
      <c r="G669" s="2" t="s">
        <v>54</v>
      </c>
      <c r="H669" s="2" t="s">
        <v>55</v>
      </c>
      <c r="I669" s="2" t="s">
        <v>41</v>
      </c>
      <c r="J669" s="4">
        <v>2</v>
      </c>
      <c r="K669" s="5">
        <v>161.71</v>
      </c>
      <c r="L669" s="6">
        <v>0</v>
      </c>
      <c r="M669" s="5">
        <v>323.42</v>
      </c>
      <c r="P669" t="str">
        <f>TEXT(Tableau2[[#This Row],[Date]],"mmmm aaaa")</f>
        <v>septembre 2026</v>
      </c>
    </row>
    <row r="670" spans="1:16">
      <c r="A670" s="2" t="s">
        <v>757</v>
      </c>
      <c r="B670" s="3">
        <v>46225</v>
      </c>
      <c r="C670" s="2" t="s">
        <v>63</v>
      </c>
      <c r="D670" s="2" t="s">
        <v>33</v>
      </c>
      <c r="E670" s="2" t="s">
        <v>43</v>
      </c>
      <c r="F670" s="2" t="s">
        <v>17</v>
      </c>
      <c r="G670" s="2" t="s">
        <v>29</v>
      </c>
      <c r="H670" s="2" t="s">
        <v>30</v>
      </c>
      <c r="I670" s="2" t="s">
        <v>45</v>
      </c>
      <c r="J670" s="4">
        <v>12</v>
      </c>
      <c r="K670" s="5">
        <v>26.31</v>
      </c>
      <c r="L670" s="6">
        <v>0</v>
      </c>
      <c r="M670" s="5">
        <v>315.72000000000003</v>
      </c>
      <c r="P670" t="str">
        <f>TEXT(Tableau2[[#This Row],[Date]],"mmmm aaaa")</f>
        <v>juillet 2026</v>
      </c>
    </row>
    <row r="671" spans="1:16">
      <c r="A671" s="2" t="s">
        <v>758</v>
      </c>
      <c r="B671" s="3">
        <v>46138</v>
      </c>
      <c r="C671" s="2" t="s">
        <v>130</v>
      </c>
      <c r="D671" s="2" t="s">
        <v>53</v>
      </c>
      <c r="E671" s="2" t="s">
        <v>38</v>
      </c>
      <c r="F671" s="2" t="s">
        <v>28</v>
      </c>
      <c r="G671" s="2" t="s">
        <v>39</v>
      </c>
      <c r="H671" s="2" t="s">
        <v>40</v>
      </c>
      <c r="I671" s="2" t="s">
        <v>75</v>
      </c>
      <c r="J671" s="4">
        <v>1</v>
      </c>
      <c r="K671" s="5">
        <v>128.76</v>
      </c>
      <c r="L671" s="6">
        <v>0.1</v>
      </c>
      <c r="M671" s="5">
        <v>115.88</v>
      </c>
      <c r="P671" t="str">
        <f>TEXT(Tableau2[[#This Row],[Date]],"mmmm aaaa")</f>
        <v>avril 2026</v>
      </c>
    </row>
    <row r="672" spans="1:16">
      <c r="A672" s="2" t="s">
        <v>759</v>
      </c>
      <c r="B672" s="3">
        <v>46196</v>
      </c>
      <c r="C672" s="2" t="s">
        <v>106</v>
      </c>
      <c r="D672" s="2" t="s">
        <v>23</v>
      </c>
      <c r="E672" s="2" t="s">
        <v>16</v>
      </c>
      <c r="F672" s="2" t="s">
        <v>17</v>
      </c>
      <c r="G672" s="2" t="s">
        <v>24</v>
      </c>
      <c r="H672" s="2" t="s">
        <v>61</v>
      </c>
      <c r="I672" s="2" t="s">
        <v>26</v>
      </c>
      <c r="J672" s="4">
        <v>2</v>
      </c>
      <c r="K672" s="5">
        <v>223.56</v>
      </c>
      <c r="L672" s="6">
        <v>0</v>
      </c>
      <c r="M672" s="5">
        <v>447.12</v>
      </c>
      <c r="P672" t="str">
        <f>TEXT(Tableau2[[#This Row],[Date]],"mmmm aaaa")</f>
        <v>juin 2026</v>
      </c>
    </row>
    <row r="673" spans="1:16">
      <c r="A673" s="2" t="s">
        <v>760</v>
      </c>
      <c r="B673" s="3">
        <v>46228</v>
      </c>
      <c r="C673" s="2" t="s">
        <v>86</v>
      </c>
      <c r="D673" s="2" t="s">
        <v>53</v>
      </c>
      <c r="E673" s="2" t="s">
        <v>16</v>
      </c>
      <c r="F673" s="2" t="s">
        <v>17</v>
      </c>
      <c r="G673" s="2" t="s">
        <v>18</v>
      </c>
      <c r="H673" s="2" t="s">
        <v>158</v>
      </c>
      <c r="I673" s="2" t="s">
        <v>45</v>
      </c>
      <c r="J673" s="4">
        <v>1</v>
      </c>
      <c r="K673" s="5">
        <v>46.12</v>
      </c>
      <c r="L673" s="6">
        <v>0.15</v>
      </c>
      <c r="M673" s="5">
        <v>39.200000000000003</v>
      </c>
      <c r="P673" t="str">
        <f>TEXT(Tableau2[[#This Row],[Date]],"mmmm aaaa")</f>
        <v>juillet 2026</v>
      </c>
    </row>
    <row r="674" spans="1:16">
      <c r="A674" s="2" t="s">
        <v>761</v>
      </c>
      <c r="B674" s="3">
        <v>46380</v>
      </c>
      <c r="C674" s="2" t="s">
        <v>57</v>
      </c>
      <c r="D674" s="2" t="s">
        <v>15</v>
      </c>
      <c r="E674" s="2" t="s">
        <v>38</v>
      </c>
      <c r="F674" s="2" t="s">
        <v>17</v>
      </c>
      <c r="G674" s="2" t="s">
        <v>18</v>
      </c>
      <c r="H674" s="2" t="s">
        <v>158</v>
      </c>
      <c r="I674" s="2" t="s">
        <v>75</v>
      </c>
      <c r="J674" s="4">
        <v>5</v>
      </c>
      <c r="K674" s="5">
        <v>48.3</v>
      </c>
      <c r="L674" s="6">
        <v>0.05</v>
      </c>
      <c r="M674" s="5">
        <v>229.42</v>
      </c>
      <c r="P674" t="str">
        <f>TEXT(Tableau2[[#This Row],[Date]],"mmmm aaaa")</f>
        <v>décembre 2026</v>
      </c>
    </row>
    <row r="675" spans="1:16">
      <c r="A675" s="2" t="s">
        <v>762</v>
      </c>
      <c r="B675" s="3">
        <v>46386</v>
      </c>
      <c r="C675" s="2" t="s">
        <v>151</v>
      </c>
      <c r="D675" s="2" t="s">
        <v>15</v>
      </c>
      <c r="E675" s="2" t="s">
        <v>34</v>
      </c>
      <c r="F675" s="2" t="s">
        <v>17</v>
      </c>
      <c r="G675" s="2" t="s">
        <v>18</v>
      </c>
      <c r="H675" s="2" t="s">
        <v>143</v>
      </c>
      <c r="I675" s="2" t="s">
        <v>36</v>
      </c>
      <c r="J675" s="4">
        <v>5</v>
      </c>
      <c r="K675" s="5">
        <v>70.97</v>
      </c>
      <c r="L675" s="6">
        <v>0.05</v>
      </c>
      <c r="M675" s="5">
        <v>337.11</v>
      </c>
      <c r="P675" t="str">
        <f>TEXT(Tableau2[[#This Row],[Date]],"mmmm aaaa")</f>
        <v>décembre 2026</v>
      </c>
    </row>
    <row r="676" spans="1:16">
      <c r="A676" s="2" t="s">
        <v>763</v>
      </c>
      <c r="B676" s="3">
        <v>46061</v>
      </c>
      <c r="C676" s="2" t="s">
        <v>60</v>
      </c>
      <c r="D676" s="2" t="s">
        <v>33</v>
      </c>
      <c r="E676" s="2" t="s">
        <v>34</v>
      </c>
      <c r="F676" s="2" t="s">
        <v>17</v>
      </c>
      <c r="G676" s="2" t="s">
        <v>29</v>
      </c>
      <c r="H676" s="2" t="s">
        <v>99</v>
      </c>
      <c r="I676" s="2" t="s">
        <v>58</v>
      </c>
      <c r="J676" s="4">
        <v>2</v>
      </c>
      <c r="K676" s="5">
        <v>59.47</v>
      </c>
      <c r="L676" s="6">
        <v>0</v>
      </c>
      <c r="M676" s="5">
        <v>118.94</v>
      </c>
      <c r="P676" t="str">
        <f>TEXT(Tableau2[[#This Row],[Date]],"mmmm aaaa")</f>
        <v>février 2026</v>
      </c>
    </row>
    <row r="677" spans="1:16">
      <c r="A677" s="2" t="s">
        <v>764</v>
      </c>
      <c r="B677" s="3">
        <v>46310</v>
      </c>
      <c r="C677" s="2" t="s">
        <v>63</v>
      </c>
      <c r="D677" s="2" t="s">
        <v>33</v>
      </c>
      <c r="E677" s="2" t="s">
        <v>34</v>
      </c>
      <c r="F677" s="2" t="s">
        <v>17</v>
      </c>
      <c r="G677" s="2" t="s">
        <v>54</v>
      </c>
      <c r="H677" s="2" t="s">
        <v>102</v>
      </c>
      <c r="I677" s="2" t="s">
        <v>36</v>
      </c>
      <c r="J677" s="4">
        <v>4</v>
      </c>
      <c r="K677" s="5">
        <v>204.54</v>
      </c>
      <c r="L677" s="6">
        <v>0</v>
      </c>
      <c r="M677" s="5">
        <v>818.16</v>
      </c>
      <c r="P677" t="str">
        <f>TEXT(Tableau2[[#This Row],[Date]],"mmmm aaaa")</f>
        <v>octobre 2026</v>
      </c>
    </row>
    <row r="678" spans="1:16">
      <c r="A678" s="2" t="s">
        <v>765</v>
      </c>
      <c r="B678" s="3">
        <v>46197</v>
      </c>
      <c r="C678" s="2" t="s">
        <v>130</v>
      </c>
      <c r="D678" s="2" t="s">
        <v>53</v>
      </c>
      <c r="E678" s="2" t="s">
        <v>34</v>
      </c>
      <c r="F678" s="2" t="s">
        <v>17</v>
      </c>
      <c r="G678" s="2" t="s">
        <v>24</v>
      </c>
      <c r="H678" s="2" t="s">
        <v>35</v>
      </c>
      <c r="I678" s="2" t="s">
        <v>26</v>
      </c>
      <c r="J678" s="4">
        <v>3</v>
      </c>
      <c r="K678" s="5">
        <v>159.54</v>
      </c>
      <c r="L678" s="6">
        <v>0</v>
      </c>
      <c r="M678" s="5">
        <v>478.62</v>
      </c>
      <c r="P678" t="str">
        <f>TEXT(Tableau2[[#This Row],[Date]],"mmmm aaaa")</f>
        <v>juin 2026</v>
      </c>
    </row>
    <row r="679" spans="1:16">
      <c r="A679" s="2" t="s">
        <v>766</v>
      </c>
      <c r="B679" s="3">
        <v>46089</v>
      </c>
      <c r="C679" s="2" t="s">
        <v>441</v>
      </c>
      <c r="D679" s="2" t="s">
        <v>23</v>
      </c>
      <c r="E679" s="2" t="s">
        <v>16</v>
      </c>
      <c r="F679" s="2" t="s">
        <v>17</v>
      </c>
      <c r="G679" s="2" t="s">
        <v>24</v>
      </c>
      <c r="H679" s="2" t="s">
        <v>35</v>
      </c>
      <c r="I679" s="2" t="s">
        <v>45</v>
      </c>
      <c r="J679" s="4">
        <v>2</v>
      </c>
      <c r="K679" s="5">
        <v>170.88</v>
      </c>
      <c r="L679" s="6">
        <v>0.15</v>
      </c>
      <c r="M679" s="5">
        <v>290.5</v>
      </c>
      <c r="P679" t="str">
        <f>TEXT(Tableau2[[#This Row],[Date]],"mmmm aaaa")</f>
        <v>mars 2026</v>
      </c>
    </row>
    <row r="680" spans="1:16">
      <c r="A680" s="2" t="s">
        <v>767</v>
      </c>
      <c r="B680" s="3">
        <v>46351</v>
      </c>
      <c r="C680" s="2" t="s">
        <v>86</v>
      </c>
      <c r="D680" s="2" t="s">
        <v>53</v>
      </c>
      <c r="E680" s="2" t="s">
        <v>16</v>
      </c>
      <c r="F680" s="2" t="s">
        <v>17</v>
      </c>
      <c r="G680" s="2" t="s">
        <v>18</v>
      </c>
      <c r="H680" s="2" t="s">
        <v>143</v>
      </c>
      <c r="I680" s="2" t="s">
        <v>41</v>
      </c>
      <c r="J680" s="4">
        <v>13</v>
      </c>
      <c r="K680" s="5">
        <v>70.94</v>
      </c>
      <c r="L680" s="6">
        <v>0</v>
      </c>
      <c r="M680" s="5">
        <v>922.22</v>
      </c>
      <c r="P680" t="str">
        <f>TEXT(Tableau2[[#This Row],[Date]],"mmmm aaaa")</f>
        <v>novembre 2026</v>
      </c>
    </row>
    <row r="681" spans="1:16">
      <c r="A681" s="2" t="s">
        <v>768</v>
      </c>
      <c r="B681" s="3">
        <v>46063</v>
      </c>
      <c r="C681" s="2" t="s">
        <v>52</v>
      </c>
      <c r="D681" s="2" t="s">
        <v>53</v>
      </c>
      <c r="E681" s="2" t="s">
        <v>43</v>
      </c>
      <c r="F681" s="2" t="s">
        <v>28</v>
      </c>
      <c r="G681" s="2" t="s">
        <v>48</v>
      </c>
      <c r="H681" s="2" t="s">
        <v>49</v>
      </c>
      <c r="I681" s="2" t="s">
        <v>41</v>
      </c>
      <c r="J681" s="4">
        <v>1</v>
      </c>
      <c r="K681" s="5">
        <v>54.1</v>
      </c>
      <c r="L681" s="6">
        <v>0</v>
      </c>
      <c r="M681" s="5">
        <v>54.1</v>
      </c>
      <c r="P681" t="str">
        <f>TEXT(Tableau2[[#This Row],[Date]],"mmmm aaaa")</f>
        <v>février 2026</v>
      </c>
    </row>
    <row r="682" spans="1:16">
      <c r="A682" s="2" t="s">
        <v>769</v>
      </c>
      <c r="B682" s="3">
        <v>46296</v>
      </c>
      <c r="C682" s="2" t="s">
        <v>63</v>
      </c>
      <c r="D682" s="2" t="s">
        <v>33</v>
      </c>
      <c r="E682" s="2" t="s">
        <v>34</v>
      </c>
      <c r="F682" s="2" t="s">
        <v>28</v>
      </c>
      <c r="G682" s="2" t="s">
        <v>39</v>
      </c>
      <c r="H682" s="2" t="s">
        <v>71</v>
      </c>
      <c r="I682" s="2" t="s">
        <v>26</v>
      </c>
      <c r="J682" s="4">
        <v>5</v>
      </c>
      <c r="K682" s="5">
        <v>118.76</v>
      </c>
      <c r="L682" s="6">
        <v>0.05</v>
      </c>
      <c r="M682" s="5">
        <v>564.11</v>
      </c>
      <c r="P682" t="str">
        <f>TEXT(Tableau2[[#This Row],[Date]],"mmmm aaaa")</f>
        <v>octobre 2026</v>
      </c>
    </row>
    <row r="683" spans="1:16">
      <c r="A683" s="2" t="s">
        <v>770</v>
      </c>
      <c r="B683" s="3">
        <v>46056</v>
      </c>
      <c r="C683" s="2" t="s">
        <v>441</v>
      </c>
      <c r="D683" s="2" t="s">
        <v>23</v>
      </c>
      <c r="E683" s="2" t="s">
        <v>43</v>
      </c>
      <c r="F683" s="2" t="s">
        <v>17</v>
      </c>
      <c r="G683" s="2" t="s">
        <v>39</v>
      </c>
      <c r="H683" s="2" t="s">
        <v>71</v>
      </c>
      <c r="I683" s="2" t="s">
        <v>20</v>
      </c>
      <c r="J683" s="4">
        <v>1</v>
      </c>
      <c r="K683" s="5">
        <v>109.46</v>
      </c>
      <c r="L683" s="6">
        <v>0.2</v>
      </c>
      <c r="M683" s="5">
        <v>87.57</v>
      </c>
      <c r="P683" t="str">
        <f>TEXT(Tableau2[[#This Row],[Date]],"mmmm aaaa")</f>
        <v>février 2026</v>
      </c>
    </row>
    <row r="684" spans="1:16">
      <c r="A684" s="2" t="s">
        <v>771</v>
      </c>
      <c r="B684" s="3">
        <v>46111</v>
      </c>
      <c r="C684" s="2" t="s">
        <v>66</v>
      </c>
      <c r="D684" s="2" t="s">
        <v>23</v>
      </c>
      <c r="E684" s="2" t="s">
        <v>43</v>
      </c>
      <c r="F684" s="2" t="s">
        <v>28</v>
      </c>
      <c r="G684" s="2" t="s">
        <v>54</v>
      </c>
      <c r="H684" s="2" t="s">
        <v>102</v>
      </c>
      <c r="I684" s="2" t="s">
        <v>26</v>
      </c>
      <c r="J684" s="4">
        <v>3</v>
      </c>
      <c r="K684" s="5">
        <v>216.84</v>
      </c>
      <c r="L684" s="6">
        <v>0.05</v>
      </c>
      <c r="M684" s="5">
        <v>617.99</v>
      </c>
      <c r="P684" t="str">
        <f>TEXT(Tableau2[[#This Row],[Date]],"mmmm aaaa")</f>
        <v>mars 2026</v>
      </c>
    </row>
    <row r="685" spans="1:16">
      <c r="A685" s="2" t="s">
        <v>772</v>
      </c>
      <c r="B685" s="3">
        <v>46348</v>
      </c>
      <c r="C685" s="2" t="s">
        <v>47</v>
      </c>
      <c r="D685" s="2" t="s">
        <v>15</v>
      </c>
      <c r="E685" s="2" t="s">
        <v>43</v>
      </c>
      <c r="F685" s="2" t="s">
        <v>17</v>
      </c>
      <c r="G685" s="2" t="s">
        <v>54</v>
      </c>
      <c r="H685" s="2" t="s">
        <v>64</v>
      </c>
      <c r="I685" s="2" t="s">
        <v>41</v>
      </c>
      <c r="J685" s="4">
        <v>1</v>
      </c>
      <c r="K685" s="5">
        <v>84.95</v>
      </c>
      <c r="L685" s="6">
        <v>0</v>
      </c>
      <c r="M685" s="5">
        <v>84.95</v>
      </c>
      <c r="P685" t="str">
        <f>TEXT(Tableau2[[#This Row],[Date]],"mmmm aaaa")</f>
        <v>novembre 2026</v>
      </c>
    </row>
    <row r="686" spans="1:16">
      <c r="A686" s="2" t="s">
        <v>773</v>
      </c>
      <c r="B686" s="3">
        <v>46310</v>
      </c>
      <c r="C686" s="2" t="s">
        <v>156</v>
      </c>
      <c r="D686" s="2" t="s">
        <v>15</v>
      </c>
      <c r="E686" s="2" t="s">
        <v>34</v>
      </c>
      <c r="F686" s="2" t="s">
        <v>17</v>
      </c>
      <c r="G686" s="2" t="s">
        <v>24</v>
      </c>
      <c r="H686" s="2" t="s">
        <v>61</v>
      </c>
      <c r="I686" s="2" t="s">
        <v>20</v>
      </c>
      <c r="J686" s="4">
        <v>1</v>
      </c>
      <c r="K686" s="5">
        <v>225.14</v>
      </c>
      <c r="L686" s="6">
        <v>0</v>
      </c>
      <c r="M686" s="5">
        <v>225.14</v>
      </c>
      <c r="P686" t="str">
        <f>TEXT(Tableau2[[#This Row],[Date]],"mmmm aaaa")</f>
        <v>octobre 2026</v>
      </c>
    </row>
    <row r="687" spans="1:16">
      <c r="A687" s="2" t="s">
        <v>774</v>
      </c>
      <c r="B687" s="3">
        <v>46190</v>
      </c>
      <c r="C687" s="2" t="s">
        <v>14</v>
      </c>
      <c r="D687" s="2" t="s">
        <v>15</v>
      </c>
      <c r="E687" s="2" t="s">
        <v>34</v>
      </c>
      <c r="F687" s="2" t="s">
        <v>28</v>
      </c>
      <c r="G687" s="2" t="s">
        <v>54</v>
      </c>
      <c r="H687" s="2" t="s">
        <v>102</v>
      </c>
      <c r="I687" s="2" t="s">
        <v>20</v>
      </c>
      <c r="J687" s="4">
        <v>2</v>
      </c>
      <c r="K687" s="5">
        <v>211.64</v>
      </c>
      <c r="L687" s="6">
        <v>0</v>
      </c>
      <c r="M687" s="5">
        <v>423.28</v>
      </c>
      <c r="P687" t="str">
        <f>TEXT(Tableau2[[#This Row],[Date]],"mmmm aaaa")</f>
        <v>juin 2026</v>
      </c>
    </row>
    <row r="688" spans="1:16">
      <c r="A688" s="2" t="s">
        <v>775</v>
      </c>
      <c r="B688" s="3">
        <v>46041</v>
      </c>
      <c r="C688" s="2" t="s">
        <v>52</v>
      </c>
      <c r="D688" s="2" t="s">
        <v>53</v>
      </c>
      <c r="E688" s="2" t="s">
        <v>34</v>
      </c>
      <c r="F688" s="2" t="s">
        <v>17</v>
      </c>
      <c r="G688" s="2" t="s">
        <v>24</v>
      </c>
      <c r="H688" s="2" t="s">
        <v>35</v>
      </c>
      <c r="I688" s="2" t="s">
        <v>26</v>
      </c>
      <c r="J688" s="4">
        <v>2</v>
      </c>
      <c r="K688" s="5">
        <v>157.91</v>
      </c>
      <c r="L688" s="6">
        <v>0</v>
      </c>
      <c r="M688" s="5">
        <v>315.82</v>
      </c>
      <c r="P688" t="str">
        <f>TEXT(Tableau2[[#This Row],[Date]],"mmmm aaaa")</f>
        <v>janvier 2026</v>
      </c>
    </row>
    <row r="689" spans="1:16">
      <c r="A689" s="2" t="s">
        <v>776</v>
      </c>
      <c r="B689" s="3">
        <v>46363</v>
      </c>
      <c r="C689" s="2" t="s">
        <v>63</v>
      </c>
      <c r="D689" s="2" t="s">
        <v>33</v>
      </c>
      <c r="E689" s="2" t="s">
        <v>16</v>
      </c>
      <c r="F689" s="2" t="s">
        <v>28</v>
      </c>
      <c r="G689" s="2" t="s">
        <v>48</v>
      </c>
      <c r="H689" s="2" t="s">
        <v>84</v>
      </c>
      <c r="I689" s="2" t="s">
        <v>58</v>
      </c>
      <c r="J689" s="4">
        <v>2</v>
      </c>
      <c r="K689" s="5">
        <v>91.79</v>
      </c>
      <c r="L689" s="6">
        <v>0.15</v>
      </c>
      <c r="M689" s="5">
        <v>156.04</v>
      </c>
      <c r="P689" t="str">
        <f>TEXT(Tableau2[[#This Row],[Date]],"mmmm aaaa")</f>
        <v>décembre 2026</v>
      </c>
    </row>
    <row r="690" spans="1:16">
      <c r="A690" s="2" t="s">
        <v>777</v>
      </c>
      <c r="B690" s="3">
        <v>46168</v>
      </c>
      <c r="C690" s="2" t="s">
        <v>47</v>
      </c>
      <c r="D690" s="2" t="s">
        <v>15</v>
      </c>
      <c r="E690" s="2" t="s">
        <v>34</v>
      </c>
      <c r="F690" s="2" t="s">
        <v>17</v>
      </c>
      <c r="G690" s="2" t="s">
        <v>29</v>
      </c>
      <c r="H690" s="2" t="s">
        <v>44</v>
      </c>
      <c r="I690" s="2" t="s">
        <v>45</v>
      </c>
      <c r="J690" s="4">
        <v>1</v>
      </c>
      <c r="K690" s="5">
        <v>36.43</v>
      </c>
      <c r="L690" s="6">
        <v>0</v>
      </c>
      <c r="M690" s="5">
        <v>36.43</v>
      </c>
      <c r="P690" t="str">
        <f>TEXT(Tableau2[[#This Row],[Date]],"mmmm aaaa")</f>
        <v>mai 2026</v>
      </c>
    </row>
    <row r="691" spans="1:16">
      <c r="A691" s="2" t="s">
        <v>778</v>
      </c>
      <c r="B691" s="3">
        <v>46195</v>
      </c>
      <c r="C691" s="2" t="s">
        <v>101</v>
      </c>
      <c r="D691" s="2" t="s">
        <v>33</v>
      </c>
      <c r="E691" s="2" t="s">
        <v>38</v>
      </c>
      <c r="F691" s="2" t="s">
        <v>28</v>
      </c>
      <c r="G691" s="2" t="s">
        <v>39</v>
      </c>
      <c r="H691" s="2" t="s">
        <v>40</v>
      </c>
      <c r="I691" s="2" t="s">
        <v>45</v>
      </c>
      <c r="J691" s="4">
        <v>4</v>
      </c>
      <c r="K691" s="5">
        <v>123.96</v>
      </c>
      <c r="L691" s="6">
        <v>0</v>
      </c>
      <c r="M691" s="5">
        <v>495.84</v>
      </c>
      <c r="P691" t="str">
        <f>TEXT(Tableau2[[#This Row],[Date]],"mmmm aaaa")</f>
        <v>juin 2026</v>
      </c>
    </row>
    <row r="692" spans="1:16">
      <c r="A692" s="2" t="s">
        <v>779</v>
      </c>
      <c r="B692" s="3">
        <v>46305</v>
      </c>
      <c r="C692" s="2" t="s">
        <v>14</v>
      </c>
      <c r="D692" s="2" t="s">
        <v>15</v>
      </c>
      <c r="E692" s="2" t="s">
        <v>43</v>
      </c>
      <c r="F692" s="2" t="s">
        <v>17</v>
      </c>
      <c r="G692" s="2" t="s">
        <v>29</v>
      </c>
      <c r="H692" s="2" t="s">
        <v>99</v>
      </c>
      <c r="I692" s="2" t="s">
        <v>36</v>
      </c>
      <c r="J692" s="4">
        <v>1</v>
      </c>
      <c r="K692" s="5">
        <v>63.62</v>
      </c>
      <c r="L692" s="6">
        <v>0</v>
      </c>
      <c r="M692" s="5">
        <v>63.62</v>
      </c>
      <c r="P692" t="str">
        <f>TEXT(Tableau2[[#This Row],[Date]],"mmmm aaaa")</f>
        <v>octobre 2026</v>
      </c>
    </row>
    <row r="693" spans="1:16">
      <c r="A693" s="2" t="s">
        <v>780</v>
      </c>
      <c r="B693" s="3">
        <v>46182</v>
      </c>
      <c r="C693" s="2" t="s">
        <v>52</v>
      </c>
      <c r="D693" s="2" t="s">
        <v>53</v>
      </c>
      <c r="E693" s="2" t="s">
        <v>43</v>
      </c>
      <c r="F693" s="2" t="s">
        <v>17</v>
      </c>
      <c r="G693" s="2" t="s">
        <v>54</v>
      </c>
      <c r="H693" s="2" t="s">
        <v>64</v>
      </c>
      <c r="I693" s="2" t="s">
        <v>26</v>
      </c>
      <c r="J693" s="4">
        <v>4</v>
      </c>
      <c r="K693" s="5">
        <v>83.48</v>
      </c>
      <c r="L693" s="6">
        <v>0</v>
      </c>
      <c r="M693" s="5">
        <v>333.92</v>
      </c>
      <c r="P693" t="str">
        <f>TEXT(Tableau2[[#This Row],[Date]],"mmmm aaaa")</f>
        <v>juin 2026</v>
      </c>
    </row>
    <row r="694" spans="1:16">
      <c r="A694" s="2" t="s">
        <v>781</v>
      </c>
      <c r="B694" s="3">
        <v>46366</v>
      </c>
      <c r="C694" s="2" t="s">
        <v>101</v>
      </c>
      <c r="D694" s="2" t="s">
        <v>33</v>
      </c>
      <c r="E694" s="2" t="s">
        <v>16</v>
      </c>
      <c r="F694" s="2" t="s">
        <v>28</v>
      </c>
      <c r="G694" s="2" t="s">
        <v>48</v>
      </c>
      <c r="H694" s="2" t="s">
        <v>88</v>
      </c>
      <c r="I694" s="2" t="s">
        <v>41</v>
      </c>
      <c r="J694" s="4">
        <v>5</v>
      </c>
      <c r="K694" s="5">
        <v>78.37</v>
      </c>
      <c r="L694" s="6">
        <v>0</v>
      </c>
      <c r="M694" s="5">
        <v>391.85</v>
      </c>
      <c r="P694" t="str">
        <f>TEXT(Tableau2[[#This Row],[Date]],"mmmm aaaa")</f>
        <v>décembre 2026</v>
      </c>
    </row>
    <row r="695" spans="1:16">
      <c r="A695" s="2" t="s">
        <v>782</v>
      </c>
      <c r="B695" s="3">
        <v>46237</v>
      </c>
      <c r="C695" s="2" t="s">
        <v>63</v>
      </c>
      <c r="D695" s="2" t="s">
        <v>33</v>
      </c>
      <c r="E695" s="2" t="s">
        <v>34</v>
      </c>
      <c r="F695" s="2" t="s">
        <v>28</v>
      </c>
      <c r="G695" s="2" t="s">
        <v>39</v>
      </c>
      <c r="H695" s="2" t="s">
        <v>95</v>
      </c>
      <c r="I695" s="2" t="s">
        <v>20</v>
      </c>
      <c r="J695" s="4">
        <v>8</v>
      </c>
      <c r="K695" s="5">
        <v>96.92</v>
      </c>
      <c r="L695" s="6">
        <v>0</v>
      </c>
      <c r="M695" s="5">
        <v>775.36</v>
      </c>
      <c r="P695" t="str">
        <f>TEXT(Tableau2[[#This Row],[Date]],"mmmm aaaa")</f>
        <v>août 2026</v>
      </c>
    </row>
    <row r="696" spans="1:16">
      <c r="A696" s="2" t="s">
        <v>783</v>
      </c>
      <c r="B696" s="3">
        <v>46104</v>
      </c>
      <c r="C696" s="2" t="s">
        <v>116</v>
      </c>
      <c r="D696" s="2" t="s">
        <v>15</v>
      </c>
      <c r="E696" s="2" t="s">
        <v>16</v>
      </c>
      <c r="F696" s="2" t="s">
        <v>28</v>
      </c>
      <c r="G696" s="2" t="s">
        <v>48</v>
      </c>
      <c r="H696" s="2" t="s">
        <v>49</v>
      </c>
      <c r="I696" s="2" t="s">
        <v>58</v>
      </c>
      <c r="J696" s="4">
        <v>3</v>
      </c>
      <c r="K696" s="5">
        <v>59.55</v>
      </c>
      <c r="L696" s="6">
        <v>0</v>
      </c>
      <c r="M696" s="5">
        <v>178.65</v>
      </c>
      <c r="P696" t="str">
        <f>TEXT(Tableau2[[#This Row],[Date]],"mmmm aaaa")</f>
        <v>mars 2026</v>
      </c>
    </row>
    <row r="697" spans="1:16">
      <c r="A697" s="2" t="s">
        <v>784</v>
      </c>
      <c r="B697" s="3">
        <v>46290</v>
      </c>
      <c r="C697" s="2" t="s">
        <v>101</v>
      </c>
      <c r="D697" s="2" t="s">
        <v>33</v>
      </c>
      <c r="E697" s="2" t="s">
        <v>16</v>
      </c>
      <c r="F697" s="2" t="s">
        <v>17</v>
      </c>
      <c r="G697" s="2" t="s">
        <v>39</v>
      </c>
      <c r="H697" s="2" t="s">
        <v>40</v>
      </c>
      <c r="I697" s="2" t="s">
        <v>45</v>
      </c>
      <c r="J697" s="4">
        <v>1</v>
      </c>
      <c r="K697" s="5">
        <v>133.85</v>
      </c>
      <c r="L697" s="6">
        <v>0.1</v>
      </c>
      <c r="M697" s="5">
        <v>120.47</v>
      </c>
      <c r="P697" t="str">
        <f>TEXT(Tableau2[[#This Row],[Date]],"mmmm aaaa")</f>
        <v>septembre 2026</v>
      </c>
    </row>
    <row r="698" spans="1:16">
      <c r="A698" s="2" t="s">
        <v>785</v>
      </c>
      <c r="B698" s="3">
        <v>46100</v>
      </c>
      <c r="C698" s="2" t="s">
        <v>90</v>
      </c>
      <c r="D698" s="2" t="s">
        <v>53</v>
      </c>
      <c r="E698" s="2" t="s">
        <v>43</v>
      </c>
      <c r="F698" s="2" t="s">
        <v>17</v>
      </c>
      <c r="G698" s="2" t="s">
        <v>24</v>
      </c>
      <c r="H698" s="2" t="s">
        <v>25</v>
      </c>
      <c r="I698" s="2" t="s">
        <v>50</v>
      </c>
      <c r="J698" s="4">
        <v>2</v>
      </c>
      <c r="K698" s="5">
        <v>130.88999999999999</v>
      </c>
      <c r="L698" s="6">
        <v>0.15</v>
      </c>
      <c r="M698" s="5">
        <v>222.51</v>
      </c>
      <c r="P698" t="str">
        <f>TEXT(Tableau2[[#This Row],[Date]],"mmmm aaaa")</f>
        <v>mars 2026</v>
      </c>
    </row>
    <row r="699" spans="1:16">
      <c r="A699" s="2" t="s">
        <v>786</v>
      </c>
      <c r="B699" s="3">
        <v>46278</v>
      </c>
      <c r="C699" s="2" t="s">
        <v>151</v>
      </c>
      <c r="D699" s="2" t="s">
        <v>15</v>
      </c>
      <c r="E699" s="2" t="s">
        <v>16</v>
      </c>
      <c r="F699" s="2" t="s">
        <v>28</v>
      </c>
      <c r="G699" s="2" t="s">
        <v>24</v>
      </c>
      <c r="H699" s="2" t="s">
        <v>35</v>
      </c>
      <c r="I699" s="2" t="s">
        <v>50</v>
      </c>
      <c r="J699" s="4">
        <v>8</v>
      </c>
      <c r="K699" s="5">
        <v>177.32</v>
      </c>
      <c r="L699" s="6">
        <v>0</v>
      </c>
      <c r="M699" s="5">
        <v>1418.56</v>
      </c>
      <c r="P699" t="str">
        <f>TEXT(Tableau2[[#This Row],[Date]],"mmmm aaaa")</f>
        <v>septembre 2026</v>
      </c>
    </row>
    <row r="700" spans="1:16">
      <c r="A700" s="2" t="s">
        <v>787</v>
      </c>
      <c r="B700" s="3">
        <v>46351</v>
      </c>
      <c r="C700" s="2" t="s">
        <v>14</v>
      </c>
      <c r="D700" s="2" t="s">
        <v>15</v>
      </c>
      <c r="E700" s="2" t="s">
        <v>16</v>
      </c>
      <c r="F700" s="2" t="s">
        <v>17</v>
      </c>
      <c r="G700" s="2" t="s">
        <v>24</v>
      </c>
      <c r="H700" s="2" t="s">
        <v>61</v>
      </c>
      <c r="I700" s="2" t="s">
        <v>36</v>
      </c>
      <c r="J700" s="4">
        <v>1</v>
      </c>
      <c r="K700" s="5">
        <v>249.83</v>
      </c>
      <c r="L700" s="6">
        <v>0</v>
      </c>
      <c r="M700" s="5">
        <v>249.83</v>
      </c>
      <c r="P700" t="str">
        <f>TEXT(Tableau2[[#This Row],[Date]],"mmmm aaaa")</f>
        <v>novembre 2026</v>
      </c>
    </row>
    <row r="701" spans="1:16">
      <c r="A701" s="2" t="s">
        <v>788</v>
      </c>
      <c r="B701" s="3">
        <v>46092</v>
      </c>
      <c r="C701" s="2" t="s">
        <v>32</v>
      </c>
      <c r="D701" s="2" t="s">
        <v>33</v>
      </c>
      <c r="E701" s="2" t="s">
        <v>38</v>
      </c>
      <c r="F701" s="2" t="s">
        <v>28</v>
      </c>
      <c r="G701" s="2" t="s">
        <v>24</v>
      </c>
      <c r="H701" s="2" t="s">
        <v>61</v>
      </c>
      <c r="I701" s="2" t="s">
        <v>75</v>
      </c>
      <c r="J701" s="4">
        <v>3</v>
      </c>
      <c r="K701" s="5">
        <v>234.48</v>
      </c>
      <c r="L701" s="6">
        <v>0.1</v>
      </c>
      <c r="M701" s="5">
        <v>633.1</v>
      </c>
      <c r="P701" t="str">
        <f>TEXT(Tableau2[[#This Row],[Date]],"mmmm aaaa")</f>
        <v>mars 2026</v>
      </c>
    </row>
    <row r="702" spans="1:16">
      <c r="A702" s="2" t="s">
        <v>789</v>
      </c>
      <c r="B702" s="3">
        <v>46306</v>
      </c>
      <c r="C702" s="2" t="s">
        <v>86</v>
      </c>
      <c r="D702" s="2" t="s">
        <v>53</v>
      </c>
      <c r="E702" s="2" t="s">
        <v>16</v>
      </c>
      <c r="F702" s="2" t="s">
        <v>28</v>
      </c>
      <c r="G702" s="2" t="s">
        <v>29</v>
      </c>
      <c r="H702" s="2" t="s">
        <v>44</v>
      </c>
      <c r="I702" s="2" t="s">
        <v>75</v>
      </c>
      <c r="J702" s="4">
        <v>1</v>
      </c>
      <c r="K702" s="5">
        <v>35.68</v>
      </c>
      <c r="L702" s="6">
        <v>0.15</v>
      </c>
      <c r="M702" s="5">
        <v>30.33</v>
      </c>
      <c r="P702" t="str">
        <f>TEXT(Tableau2[[#This Row],[Date]],"mmmm aaaa")</f>
        <v>octobre 2026</v>
      </c>
    </row>
    <row r="703" spans="1:16">
      <c r="A703" s="2" t="s">
        <v>790</v>
      </c>
      <c r="B703" s="3">
        <v>46086</v>
      </c>
      <c r="C703" s="2" t="s">
        <v>116</v>
      </c>
      <c r="D703" s="2" t="s">
        <v>15</v>
      </c>
      <c r="E703" s="2" t="s">
        <v>34</v>
      </c>
      <c r="F703" s="2" t="s">
        <v>28</v>
      </c>
      <c r="G703" s="2" t="s">
        <v>24</v>
      </c>
      <c r="H703" s="2" t="s">
        <v>25</v>
      </c>
      <c r="I703" s="2" t="s">
        <v>75</v>
      </c>
      <c r="J703" s="4">
        <v>3</v>
      </c>
      <c r="K703" s="5">
        <v>128.37</v>
      </c>
      <c r="L703" s="6">
        <v>0</v>
      </c>
      <c r="M703" s="5">
        <v>385.11</v>
      </c>
      <c r="P703" t="str">
        <f>TEXT(Tableau2[[#This Row],[Date]],"mmmm aaaa")</f>
        <v>mars 2026</v>
      </c>
    </row>
    <row r="704" spans="1:16">
      <c r="A704" s="2" t="s">
        <v>791</v>
      </c>
      <c r="B704" s="3">
        <v>46225</v>
      </c>
      <c r="C704" s="2" t="s">
        <v>52</v>
      </c>
      <c r="D704" s="2" t="s">
        <v>53</v>
      </c>
      <c r="E704" s="2" t="s">
        <v>34</v>
      </c>
      <c r="F704" s="2" t="s">
        <v>17</v>
      </c>
      <c r="G704" s="2" t="s">
        <v>39</v>
      </c>
      <c r="H704" s="2" t="s">
        <v>71</v>
      </c>
      <c r="I704" s="2" t="s">
        <v>20</v>
      </c>
      <c r="J704" s="4">
        <v>1</v>
      </c>
      <c r="K704" s="5">
        <v>121.13</v>
      </c>
      <c r="L704" s="6">
        <v>0</v>
      </c>
      <c r="M704" s="5">
        <v>121.13</v>
      </c>
      <c r="P704" t="str">
        <f>TEXT(Tableau2[[#This Row],[Date]],"mmmm aaaa")</f>
        <v>juillet 2026</v>
      </c>
    </row>
    <row r="705" spans="1:16">
      <c r="A705" s="2" t="s">
        <v>792</v>
      </c>
      <c r="B705" s="3">
        <v>46225</v>
      </c>
      <c r="C705" s="2" t="s">
        <v>94</v>
      </c>
      <c r="D705" s="2" t="s">
        <v>15</v>
      </c>
      <c r="E705" s="2" t="s">
        <v>34</v>
      </c>
      <c r="F705" s="2" t="s">
        <v>28</v>
      </c>
      <c r="G705" s="2" t="s">
        <v>39</v>
      </c>
      <c r="H705" s="2" t="s">
        <v>71</v>
      </c>
      <c r="I705" s="2" t="s">
        <v>41</v>
      </c>
      <c r="J705" s="4">
        <v>5</v>
      </c>
      <c r="K705" s="5">
        <v>118.49</v>
      </c>
      <c r="L705" s="6">
        <v>0.05</v>
      </c>
      <c r="M705" s="5">
        <v>562.83000000000004</v>
      </c>
      <c r="P705" t="str">
        <f>TEXT(Tableau2[[#This Row],[Date]],"mmmm aaaa")</f>
        <v>juillet 2026</v>
      </c>
    </row>
    <row r="706" spans="1:16">
      <c r="A706" s="2" t="s">
        <v>793</v>
      </c>
      <c r="B706" s="3">
        <v>46319</v>
      </c>
      <c r="C706" s="2" t="s">
        <v>57</v>
      </c>
      <c r="D706" s="2" t="s">
        <v>15</v>
      </c>
      <c r="E706" s="2" t="s">
        <v>43</v>
      </c>
      <c r="F706" s="2" t="s">
        <v>28</v>
      </c>
      <c r="G706" s="2" t="s">
        <v>48</v>
      </c>
      <c r="H706" s="2" t="s">
        <v>84</v>
      </c>
      <c r="I706" s="2" t="s">
        <v>41</v>
      </c>
      <c r="J706" s="4">
        <v>8</v>
      </c>
      <c r="K706" s="5">
        <v>89.62</v>
      </c>
      <c r="L706" s="6">
        <v>0.05</v>
      </c>
      <c r="M706" s="5">
        <v>681.11</v>
      </c>
      <c r="P706" t="str">
        <f>TEXT(Tableau2[[#This Row],[Date]],"mmmm aaaa")</f>
        <v>octobre 2026</v>
      </c>
    </row>
    <row r="707" spans="1:16">
      <c r="A707" s="2" t="s">
        <v>794</v>
      </c>
      <c r="B707" s="3">
        <v>46305</v>
      </c>
      <c r="C707" s="2" t="s">
        <v>57</v>
      </c>
      <c r="D707" s="2" t="s">
        <v>15</v>
      </c>
      <c r="E707" s="2" t="s">
        <v>34</v>
      </c>
      <c r="F707" s="2" t="s">
        <v>17</v>
      </c>
      <c r="G707" s="2" t="s">
        <v>48</v>
      </c>
      <c r="H707" s="2" t="s">
        <v>84</v>
      </c>
      <c r="I707" s="2" t="s">
        <v>41</v>
      </c>
      <c r="J707" s="4">
        <v>3</v>
      </c>
      <c r="K707" s="5">
        <v>95.23</v>
      </c>
      <c r="L707" s="6">
        <v>0.05</v>
      </c>
      <c r="M707" s="5">
        <v>271.41000000000003</v>
      </c>
      <c r="P707" t="str">
        <f>TEXT(Tableau2[[#This Row],[Date]],"mmmm aaaa")</f>
        <v>octobre 2026</v>
      </c>
    </row>
    <row r="708" spans="1:16">
      <c r="A708" s="2" t="s">
        <v>795</v>
      </c>
      <c r="B708" s="3">
        <v>46134</v>
      </c>
      <c r="C708" s="2" t="s">
        <v>160</v>
      </c>
      <c r="D708" s="2" t="s">
        <v>33</v>
      </c>
      <c r="E708" s="2" t="s">
        <v>34</v>
      </c>
      <c r="F708" s="2" t="s">
        <v>17</v>
      </c>
      <c r="G708" s="2" t="s">
        <v>18</v>
      </c>
      <c r="H708" s="2" t="s">
        <v>143</v>
      </c>
      <c r="I708" s="2" t="s">
        <v>45</v>
      </c>
      <c r="J708" s="4">
        <v>2</v>
      </c>
      <c r="K708" s="5">
        <v>70.599999999999994</v>
      </c>
      <c r="L708" s="6">
        <v>0</v>
      </c>
      <c r="M708" s="5">
        <v>141.19999999999999</v>
      </c>
      <c r="P708" t="str">
        <f>TEXT(Tableau2[[#This Row],[Date]],"mmmm aaaa")</f>
        <v>avril 2026</v>
      </c>
    </row>
    <row r="709" spans="1:16">
      <c r="A709" s="2" t="s">
        <v>796</v>
      </c>
      <c r="B709" s="3">
        <v>46322</v>
      </c>
      <c r="C709" s="2" t="s">
        <v>52</v>
      </c>
      <c r="D709" s="2" t="s">
        <v>53</v>
      </c>
      <c r="E709" s="2" t="s">
        <v>34</v>
      </c>
      <c r="F709" s="2" t="s">
        <v>28</v>
      </c>
      <c r="G709" s="2" t="s">
        <v>18</v>
      </c>
      <c r="H709" s="2" t="s">
        <v>158</v>
      </c>
      <c r="I709" s="2" t="s">
        <v>50</v>
      </c>
      <c r="J709" s="4">
        <v>1</v>
      </c>
      <c r="K709" s="5">
        <v>46.84</v>
      </c>
      <c r="L709" s="6">
        <v>0</v>
      </c>
      <c r="M709" s="5">
        <v>46.84</v>
      </c>
      <c r="P709" t="str">
        <f>TEXT(Tableau2[[#This Row],[Date]],"mmmm aaaa")</f>
        <v>octobre 2026</v>
      </c>
    </row>
    <row r="710" spans="1:16">
      <c r="A710" s="2" t="s">
        <v>797</v>
      </c>
      <c r="B710" s="3">
        <v>46131</v>
      </c>
      <c r="C710" s="2" t="s">
        <v>79</v>
      </c>
      <c r="D710" s="2" t="s">
        <v>33</v>
      </c>
      <c r="E710" s="2" t="s">
        <v>16</v>
      </c>
      <c r="F710" s="2" t="s">
        <v>28</v>
      </c>
      <c r="G710" s="2" t="s">
        <v>18</v>
      </c>
      <c r="H710" s="2" t="s">
        <v>136</v>
      </c>
      <c r="I710" s="2" t="s">
        <v>36</v>
      </c>
      <c r="J710" s="4">
        <v>3</v>
      </c>
      <c r="K710" s="5">
        <v>31.8</v>
      </c>
      <c r="L710" s="6">
        <v>0</v>
      </c>
      <c r="M710" s="5">
        <v>95.4</v>
      </c>
      <c r="P710" t="str">
        <f>TEXT(Tableau2[[#This Row],[Date]],"mmmm aaaa")</f>
        <v>avril 2026</v>
      </c>
    </row>
    <row r="711" spans="1:16">
      <c r="A711" s="2" t="s">
        <v>798</v>
      </c>
      <c r="B711" s="3">
        <v>46027</v>
      </c>
      <c r="C711" s="2" t="s">
        <v>22</v>
      </c>
      <c r="D711" s="2" t="s">
        <v>23</v>
      </c>
      <c r="E711" s="2" t="s">
        <v>16</v>
      </c>
      <c r="F711" s="2" t="s">
        <v>28</v>
      </c>
      <c r="G711" s="2" t="s">
        <v>39</v>
      </c>
      <c r="H711" s="2" t="s">
        <v>71</v>
      </c>
      <c r="I711" s="2" t="s">
        <v>75</v>
      </c>
      <c r="J711" s="4">
        <v>6</v>
      </c>
      <c r="K711" s="5">
        <v>112.34</v>
      </c>
      <c r="L711" s="6">
        <v>0</v>
      </c>
      <c r="M711" s="5">
        <v>674.04</v>
      </c>
      <c r="P711" t="str">
        <f>TEXT(Tableau2[[#This Row],[Date]],"mmmm aaaa")</f>
        <v>janvier 2026</v>
      </c>
    </row>
    <row r="712" spans="1:16">
      <c r="A712" s="2" t="s">
        <v>799</v>
      </c>
      <c r="B712" s="3">
        <v>46204</v>
      </c>
      <c r="C712" s="2" t="s">
        <v>63</v>
      </c>
      <c r="D712" s="2" t="s">
        <v>33</v>
      </c>
      <c r="E712" s="2" t="s">
        <v>16</v>
      </c>
      <c r="F712" s="2" t="s">
        <v>28</v>
      </c>
      <c r="G712" s="2" t="s">
        <v>54</v>
      </c>
      <c r="H712" s="2" t="s">
        <v>64</v>
      </c>
      <c r="I712" s="2" t="s">
        <v>41</v>
      </c>
      <c r="J712" s="4">
        <v>1</v>
      </c>
      <c r="K712" s="5">
        <v>95.18</v>
      </c>
      <c r="L712" s="6">
        <v>0</v>
      </c>
      <c r="M712" s="5">
        <v>95.18</v>
      </c>
      <c r="P712" t="str">
        <f>TEXT(Tableau2[[#This Row],[Date]],"mmmm aaaa")</f>
        <v>juillet 2026</v>
      </c>
    </row>
    <row r="713" spans="1:16">
      <c r="A713" s="2" t="s">
        <v>800</v>
      </c>
      <c r="B713" s="3">
        <v>46380</v>
      </c>
      <c r="C713" s="2" t="s">
        <v>14</v>
      </c>
      <c r="D713" s="2" t="s">
        <v>15</v>
      </c>
      <c r="E713" s="2" t="s">
        <v>16</v>
      </c>
      <c r="F713" s="2" t="s">
        <v>28</v>
      </c>
      <c r="G713" s="2" t="s">
        <v>39</v>
      </c>
      <c r="H713" s="2" t="s">
        <v>71</v>
      </c>
      <c r="I713" s="2" t="s">
        <v>20</v>
      </c>
      <c r="J713" s="4">
        <v>7</v>
      </c>
      <c r="K713" s="5">
        <v>122.9</v>
      </c>
      <c r="L713" s="6">
        <v>0</v>
      </c>
      <c r="M713" s="5">
        <v>860.3</v>
      </c>
      <c r="P713" t="str">
        <f>TEXT(Tableau2[[#This Row],[Date]],"mmmm aaaa")</f>
        <v>décembre 2026</v>
      </c>
    </row>
    <row r="714" spans="1:16">
      <c r="A714" s="2" t="s">
        <v>801</v>
      </c>
      <c r="B714" s="3">
        <v>46065</v>
      </c>
      <c r="C714" s="2" t="s">
        <v>66</v>
      </c>
      <c r="D714" s="2" t="s">
        <v>23</v>
      </c>
      <c r="E714" s="2" t="s">
        <v>34</v>
      </c>
      <c r="F714" s="2" t="s">
        <v>17</v>
      </c>
      <c r="G714" s="2" t="s">
        <v>24</v>
      </c>
      <c r="H714" s="2" t="s">
        <v>82</v>
      </c>
      <c r="I714" s="2" t="s">
        <v>75</v>
      </c>
      <c r="J714" s="4">
        <v>8</v>
      </c>
      <c r="K714" s="5">
        <v>314.39</v>
      </c>
      <c r="L714" s="6">
        <v>0</v>
      </c>
      <c r="M714" s="5">
        <v>2515.12</v>
      </c>
      <c r="P714" t="str">
        <f>TEXT(Tableau2[[#This Row],[Date]],"mmmm aaaa")</f>
        <v>février 2026</v>
      </c>
    </row>
    <row r="715" spans="1:16">
      <c r="A715" s="2" t="s">
        <v>802</v>
      </c>
      <c r="B715" s="3">
        <v>46324</v>
      </c>
      <c r="C715" s="2" t="s">
        <v>130</v>
      </c>
      <c r="D715" s="2" t="s">
        <v>53</v>
      </c>
      <c r="E715" s="2" t="s">
        <v>43</v>
      </c>
      <c r="F715" s="2" t="s">
        <v>17</v>
      </c>
      <c r="G715" s="2" t="s">
        <v>24</v>
      </c>
      <c r="H715" s="2" t="s">
        <v>25</v>
      </c>
      <c r="I715" s="2" t="s">
        <v>41</v>
      </c>
      <c r="J715" s="4">
        <v>3</v>
      </c>
      <c r="K715" s="5">
        <v>135.05000000000001</v>
      </c>
      <c r="L715" s="6">
        <v>0</v>
      </c>
      <c r="M715" s="5">
        <v>405.15</v>
      </c>
      <c r="P715" t="str">
        <f>TEXT(Tableau2[[#This Row],[Date]],"mmmm aaaa")</f>
        <v>octobre 2026</v>
      </c>
    </row>
    <row r="716" spans="1:16">
      <c r="A716" s="2" t="s">
        <v>803</v>
      </c>
      <c r="B716" s="3">
        <v>46088</v>
      </c>
      <c r="C716" s="2" t="s">
        <v>57</v>
      </c>
      <c r="D716" s="2" t="s">
        <v>15</v>
      </c>
      <c r="E716" s="2" t="s">
        <v>16</v>
      </c>
      <c r="F716" s="2" t="s">
        <v>17</v>
      </c>
      <c r="G716" s="2" t="s">
        <v>39</v>
      </c>
      <c r="H716" s="2" t="s">
        <v>95</v>
      </c>
      <c r="I716" s="2" t="s">
        <v>50</v>
      </c>
      <c r="J716" s="4">
        <v>6</v>
      </c>
      <c r="K716" s="5">
        <v>94.37</v>
      </c>
      <c r="L716" s="6">
        <v>0</v>
      </c>
      <c r="M716" s="5">
        <v>566.22</v>
      </c>
      <c r="P716" t="str">
        <f>TEXT(Tableau2[[#This Row],[Date]],"mmmm aaaa")</f>
        <v>mars 2026</v>
      </c>
    </row>
    <row r="717" spans="1:16">
      <c r="A717" s="2" t="s">
        <v>804</v>
      </c>
      <c r="B717" s="3">
        <v>46276</v>
      </c>
      <c r="C717" s="2" t="s">
        <v>86</v>
      </c>
      <c r="D717" s="2" t="s">
        <v>53</v>
      </c>
      <c r="E717" s="2" t="s">
        <v>34</v>
      </c>
      <c r="F717" s="2" t="s">
        <v>17</v>
      </c>
      <c r="G717" s="2" t="s">
        <v>48</v>
      </c>
      <c r="H717" s="2" t="s">
        <v>49</v>
      </c>
      <c r="I717" s="2" t="s">
        <v>36</v>
      </c>
      <c r="J717" s="4">
        <v>1</v>
      </c>
      <c r="K717" s="5">
        <v>53.46</v>
      </c>
      <c r="L717" s="6">
        <v>0</v>
      </c>
      <c r="M717" s="5">
        <v>53.46</v>
      </c>
      <c r="P717" t="str">
        <f>TEXT(Tableau2[[#This Row],[Date]],"mmmm aaaa")</f>
        <v>septembre 2026</v>
      </c>
    </row>
    <row r="718" spans="1:16">
      <c r="A718" s="2" t="s">
        <v>805</v>
      </c>
      <c r="B718" s="3">
        <v>46380</v>
      </c>
      <c r="C718" s="2" t="s">
        <v>22</v>
      </c>
      <c r="D718" s="2" t="s">
        <v>23</v>
      </c>
      <c r="E718" s="2" t="s">
        <v>34</v>
      </c>
      <c r="F718" s="2" t="s">
        <v>17</v>
      </c>
      <c r="G718" s="2" t="s">
        <v>54</v>
      </c>
      <c r="H718" s="2" t="s">
        <v>64</v>
      </c>
      <c r="I718" s="2" t="s">
        <v>26</v>
      </c>
      <c r="J718" s="4">
        <v>3</v>
      </c>
      <c r="K718" s="5">
        <v>92.63</v>
      </c>
      <c r="L718" s="6">
        <v>0.1</v>
      </c>
      <c r="M718" s="5">
        <v>250.1</v>
      </c>
      <c r="P718" t="str">
        <f>TEXT(Tableau2[[#This Row],[Date]],"mmmm aaaa")</f>
        <v>décembre 2026</v>
      </c>
    </row>
    <row r="719" spans="1:16">
      <c r="A719" s="2" t="s">
        <v>806</v>
      </c>
      <c r="B719" s="3">
        <v>46216</v>
      </c>
      <c r="C719" s="2" t="s">
        <v>90</v>
      </c>
      <c r="D719" s="2" t="s">
        <v>53</v>
      </c>
      <c r="E719" s="2" t="s">
        <v>34</v>
      </c>
      <c r="F719" s="2" t="s">
        <v>28</v>
      </c>
      <c r="G719" s="2" t="s">
        <v>18</v>
      </c>
      <c r="H719" s="2" t="s">
        <v>143</v>
      </c>
      <c r="I719" s="2" t="s">
        <v>36</v>
      </c>
      <c r="J719" s="4">
        <v>1</v>
      </c>
      <c r="K719" s="5">
        <v>68.17</v>
      </c>
      <c r="L719" s="6">
        <v>0</v>
      </c>
      <c r="M719" s="5">
        <v>68.17</v>
      </c>
      <c r="P719" t="str">
        <f>TEXT(Tableau2[[#This Row],[Date]],"mmmm aaaa")</f>
        <v>juillet 2026</v>
      </c>
    </row>
    <row r="720" spans="1:16">
      <c r="A720" s="2" t="s">
        <v>807</v>
      </c>
      <c r="B720" s="3">
        <v>46240</v>
      </c>
      <c r="C720" s="2" t="s">
        <v>63</v>
      </c>
      <c r="D720" s="2" t="s">
        <v>33</v>
      </c>
      <c r="E720" s="2" t="s">
        <v>16</v>
      </c>
      <c r="F720" s="2" t="s">
        <v>17</v>
      </c>
      <c r="G720" s="2" t="s">
        <v>24</v>
      </c>
      <c r="H720" s="2" t="s">
        <v>61</v>
      </c>
      <c r="I720" s="2" t="s">
        <v>45</v>
      </c>
      <c r="J720" s="4">
        <v>2</v>
      </c>
      <c r="K720" s="5">
        <v>232.3</v>
      </c>
      <c r="L720" s="6">
        <v>0</v>
      </c>
      <c r="M720" s="5">
        <v>464.6</v>
      </c>
      <c r="P720" t="str">
        <f>TEXT(Tableau2[[#This Row],[Date]],"mmmm aaaa")</f>
        <v>août 2026</v>
      </c>
    </row>
    <row r="721" spans="1:16">
      <c r="A721" s="2" t="s">
        <v>808</v>
      </c>
      <c r="B721" s="3">
        <v>46371</v>
      </c>
      <c r="C721" s="2" t="s">
        <v>22</v>
      </c>
      <c r="D721" s="2" t="s">
        <v>23</v>
      </c>
      <c r="E721" s="2" t="s">
        <v>43</v>
      </c>
      <c r="F721" s="2" t="s">
        <v>17</v>
      </c>
      <c r="G721" s="2" t="s">
        <v>54</v>
      </c>
      <c r="H721" s="2" t="s">
        <v>64</v>
      </c>
      <c r="I721" s="2" t="s">
        <v>20</v>
      </c>
      <c r="J721" s="4">
        <v>1</v>
      </c>
      <c r="K721" s="5">
        <v>91.11</v>
      </c>
      <c r="L721" s="6">
        <v>0</v>
      </c>
      <c r="M721" s="5">
        <v>91.11</v>
      </c>
      <c r="P721" t="str">
        <f>TEXT(Tableau2[[#This Row],[Date]],"mmmm aaaa")</f>
        <v>décembre 2026</v>
      </c>
    </row>
    <row r="722" spans="1:16">
      <c r="A722" s="2" t="s">
        <v>809</v>
      </c>
      <c r="B722" s="3">
        <v>46247</v>
      </c>
      <c r="C722" s="2" t="s">
        <v>94</v>
      </c>
      <c r="D722" s="2" t="s">
        <v>15</v>
      </c>
      <c r="E722" s="2" t="s">
        <v>16</v>
      </c>
      <c r="F722" s="2" t="s">
        <v>28</v>
      </c>
      <c r="G722" s="2" t="s">
        <v>18</v>
      </c>
      <c r="H722" s="2" t="s">
        <v>143</v>
      </c>
      <c r="I722" s="2" t="s">
        <v>58</v>
      </c>
      <c r="J722" s="4">
        <v>6</v>
      </c>
      <c r="K722" s="5">
        <v>67.66</v>
      </c>
      <c r="L722" s="6">
        <v>0.1</v>
      </c>
      <c r="M722" s="5">
        <v>365.36</v>
      </c>
      <c r="P722" t="str">
        <f>TEXT(Tableau2[[#This Row],[Date]],"mmmm aaaa")</f>
        <v>août 2026</v>
      </c>
    </row>
    <row r="723" spans="1:16">
      <c r="A723" s="2" t="s">
        <v>810</v>
      </c>
      <c r="B723" s="3">
        <v>46291</v>
      </c>
      <c r="C723" s="2" t="s">
        <v>106</v>
      </c>
      <c r="D723" s="2" t="s">
        <v>23</v>
      </c>
      <c r="E723" s="2" t="s">
        <v>34</v>
      </c>
      <c r="F723" s="2" t="s">
        <v>17</v>
      </c>
      <c r="G723" s="2" t="s">
        <v>24</v>
      </c>
      <c r="H723" s="2" t="s">
        <v>82</v>
      </c>
      <c r="I723" s="2" t="s">
        <v>58</v>
      </c>
      <c r="J723" s="4">
        <v>2</v>
      </c>
      <c r="K723" s="5">
        <v>311.2</v>
      </c>
      <c r="L723" s="6">
        <v>0</v>
      </c>
      <c r="M723" s="5">
        <v>622.4</v>
      </c>
      <c r="P723" t="str">
        <f>TEXT(Tableau2[[#This Row],[Date]],"mmmm aaaa")</f>
        <v>septembre 2026</v>
      </c>
    </row>
    <row r="724" spans="1:16">
      <c r="A724" s="2" t="s">
        <v>811</v>
      </c>
      <c r="B724" s="3">
        <v>46151</v>
      </c>
      <c r="C724" s="2" t="s">
        <v>14</v>
      </c>
      <c r="D724" s="2" t="s">
        <v>15</v>
      </c>
      <c r="E724" s="2" t="s">
        <v>16</v>
      </c>
      <c r="F724" s="2" t="s">
        <v>28</v>
      </c>
      <c r="G724" s="2" t="s">
        <v>29</v>
      </c>
      <c r="H724" s="2" t="s">
        <v>30</v>
      </c>
      <c r="I724" s="2" t="s">
        <v>58</v>
      </c>
      <c r="J724" s="4">
        <v>2</v>
      </c>
      <c r="K724" s="5">
        <v>24.74</v>
      </c>
      <c r="L724" s="6">
        <v>0</v>
      </c>
      <c r="M724" s="5">
        <v>49.48</v>
      </c>
      <c r="P724" t="str">
        <f>TEXT(Tableau2[[#This Row],[Date]],"mmmm aaaa")</f>
        <v>mai 2026</v>
      </c>
    </row>
    <row r="725" spans="1:16">
      <c r="A725" s="2" t="s">
        <v>812</v>
      </c>
      <c r="B725" s="3">
        <v>46262</v>
      </c>
      <c r="C725" s="2" t="s">
        <v>66</v>
      </c>
      <c r="D725" s="2" t="s">
        <v>23</v>
      </c>
      <c r="E725" s="2" t="s">
        <v>38</v>
      </c>
      <c r="F725" s="2" t="s">
        <v>17</v>
      </c>
      <c r="G725" s="2" t="s">
        <v>54</v>
      </c>
      <c r="H725" s="2" t="s">
        <v>64</v>
      </c>
      <c r="I725" s="2" t="s">
        <v>45</v>
      </c>
      <c r="J725" s="4">
        <v>3</v>
      </c>
      <c r="K725" s="5">
        <v>84.66</v>
      </c>
      <c r="L725" s="6">
        <v>0.2</v>
      </c>
      <c r="M725" s="5">
        <v>203.18</v>
      </c>
      <c r="P725" t="str">
        <f>TEXT(Tableau2[[#This Row],[Date]],"mmmm aaaa")</f>
        <v>août 2026</v>
      </c>
    </row>
    <row r="726" spans="1:16">
      <c r="A726" s="2" t="s">
        <v>813</v>
      </c>
      <c r="B726" s="3">
        <v>46096</v>
      </c>
      <c r="C726" s="2" t="s">
        <v>63</v>
      </c>
      <c r="D726" s="2" t="s">
        <v>33</v>
      </c>
      <c r="E726" s="2" t="s">
        <v>34</v>
      </c>
      <c r="F726" s="2" t="s">
        <v>17</v>
      </c>
      <c r="G726" s="2" t="s">
        <v>54</v>
      </c>
      <c r="H726" s="2" t="s">
        <v>102</v>
      </c>
      <c r="I726" s="2" t="s">
        <v>50</v>
      </c>
      <c r="J726" s="4">
        <v>4</v>
      </c>
      <c r="K726" s="5">
        <v>199.49</v>
      </c>
      <c r="L726" s="6">
        <v>0</v>
      </c>
      <c r="M726" s="5">
        <v>797.96</v>
      </c>
      <c r="P726" t="str">
        <f>TEXT(Tableau2[[#This Row],[Date]],"mmmm aaaa")</f>
        <v>mars 2026</v>
      </c>
    </row>
    <row r="727" spans="1:16">
      <c r="A727" s="2" t="s">
        <v>814</v>
      </c>
      <c r="B727" s="3">
        <v>46037</v>
      </c>
      <c r="C727" s="2" t="s">
        <v>86</v>
      </c>
      <c r="D727" s="2" t="s">
        <v>53</v>
      </c>
      <c r="E727" s="2" t="s">
        <v>16</v>
      </c>
      <c r="F727" s="2" t="s">
        <v>17</v>
      </c>
      <c r="G727" s="2" t="s">
        <v>48</v>
      </c>
      <c r="H727" s="2" t="s">
        <v>84</v>
      </c>
      <c r="I727" s="2" t="s">
        <v>41</v>
      </c>
      <c r="J727" s="4">
        <v>6</v>
      </c>
      <c r="K727" s="5">
        <v>96.14</v>
      </c>
      <c r="L727" s="6">
        <v>0</v>
      </c>
      <c r="M727" s="5">
        <v>576.84</v>
      </c>
      <c r="P727" t="str">
        <f>TEXT(Tableau2[[#This Row],[Date]],"mmmm aaaa")</f>
        <v>janvier 2026</v>
      </c>
    </row>
    <row r="728" spans="1:16">
      <c r="A728" s="2" t="s">
        <v>815</v>
      </c>
      <c r="B728" s="3">
        <v>46308</v>
      </c>
      <c r="C728" s="2" t="s">
        <v>441</v>
      </c>
      <c r="D728" s="2" t="s">
        <v>23</v>
      </c>
      <c r="E728" s="2" t="s">
        <v>34</v>
      </c>
      <c r="F728" s="2" t="s">
        <v>28</v>
      </c>
      <c r="G728" s="2" t="s">
        <v>54</v>
      </c>
      <c r="H728" s="2" t="s">
        <v>102</v>
      </c>
      <c r="I728" s="2" t="s">
        <v>50</v>
      </c>
      <c r="J728" s="4">
        <v>1</v>
      </c>
      <c r="K728" s="5">
        <v>230.34</v>
      </c>
      <c r="L728" s="6">
        <v>0.3</v>
      </c>
      <c r="M728" s="5">
        <v>161.24</v>
      </c>
      <c r="P728" t="str">
        <f>TEXT(Tableau2[[#This Row],[Date]],"mmmm aaaa")</f>
        <v>octobre 2026</v>
      </c>
    </row>
    <row r="729" spans="1:16">
      <c r="A729" s="2" t="s">
        <v>816</v>
      </c>
      <c r="B729" s="3">
        <v>46324</v>
      </c>
      <c r="C729" s="2" t="s">
        <v>63</v>
      </c>
      <c r="D729" s="2" t="s">
        <v>33</v>
      </c>
      <c r="E729" s="2" t="s">
        <v>16</v>
      </c>
      <c r="F729" s="2" t="s">
        <v>17</v>
      </c>
      <c r="G729" s="2" t="s">
        <v>54</v>
      </c>
      <c r="H729" s="2" t="s">
        <v>55</v>
      </c>
      <c r="I729" s="2" t="s">
        <v>50</v>
      </c>
      <c r="J729" s="4">
        <v>6</v>
      </c>
      <c r="K729" s="5">
        <v>155.19999999999999</v>
      </c>
      <c r="L729" s="6">
        <v>0</v>
      </c>
      <c r="M729" s="5">
        <v>931.2</v>
      </c>
      <c r="P729" t="str">
        <f>TEXT(Tableau2[[#This Row],[Date]],"mmmm aaaa")</f>
        <v>octobre 2026</v>
      </c>
    </row>
    <row r="730" spans="1:16">
      <c r="A730" s="2" t="s">
        <v>817</v>
      </c>
      <c r="B730" s="3">
        <v>46089</v>
      </c>
      <c r="C730" s="2" t="s">
        <v>116</v>
      </c>
      <c r="D730" s="2" t="s">
        <v>15</v>
      </c>
      <c r="E730" s="2" t="s">
        <v>38</v>
      </c>
      <c r="F730" s="2" t="s">
        <v>17</v>
      </c>
      <c r="G730" s="2" t="s">
        <v>18</v>
      </c>
      <c r="H730" s="2" t="s">
        <v>158</v>
      </c>
      <c r="I730" s="2" t="s">
        <v>50</v>
      </c>
      <c r="J730" s="4">
        <v>1</v>
      </c>
      <c r="K730" s="5">
        <v>43.56</v>
      </c>
      <c r="L730" s="6">
        <v>0</v>
      </c>
      <c r="M730" s="5">
        <v>43.56</v>
      </c>
      <c r="P730" t="str">
        <f>TEXT(Tableau2[[#This Row],[Date]],"mmmm aaaa")</f>
        <v>mars 2026</v>
      </c>
    </row>
    <row r="731" spans="1:16">
      <c r="A731" s="2" t="s">
        <v>818</v>
      </c>
      <c r="B731" s="3">
        <v>46336</v>
      </c>
      <c r="C731" s="2" t="s">
        <v>86</v>
      </c>
      <c r="D731" s="2" t="s">
        <v>53</v>
      </c>
      <c r="E731" s="2" t="s">
        <v>16</v>
      </c>
      <c r="F731" s="2" t="s">
        <v>28</v>
      </c>
      <c r="G731" s="2" t="s">
        <v>24</v>
      </c>
      <c r="H731" s="2" t="s">
        <v>25</v>
      </c>
      <c r="I731" s="2" t="s">
        <v>45</v>
      </c>
      <c r="J731" s="4">
        <v>5</v>
      </c>
      <c r="K731" s="5">
        <v>134.02000000000001</v>
      </c>
      <c r="L731" s="6">
        <v>0</v>
      </c>
      <c r="M731" s="5">
        <v>670.1</v>
      </c>
      <c r="P731" t="str">
        <f>TEXT(Tableau2[[#This Row],[Date]],"mmmm aaaa")</f>
        <v>novembre 2026</v>
      </c>
    </row>
    <row r="732" spans="1:16">
      <c r="A732" s="2" t="s">
        <v>819</v>
      </c>
      <c r="B732" s="3">
        <v>46132</v>
      </c>
      <c r="C732" s="2" t="s">
        <v>156</v>
      </c>
      <c r="D732" s="2" t="s">
        <v>15</v>
      </c>
      <c r="E732" s="2" t="s">
        <v>34</v>
      </c>
      <c r="F732" s="2" t="s">
        <v>28</v>
      </c>
      <c r="G732" s="2" t="s">
        <v>18</v>
      </c>
      <c r="H732" s="2" t="s">
        <v>158</v>
      </c>
      <c r="I732" s="2" t="s">
        <v>75</v>
      </c>
      <c r="J732" s="4">
        <v>1</v>
      </c>
      <c r="K732" s="5">
        <v>47.72</v>
      </c>
      <c r="L732" s="6">
        <v>0.2</v>
      </c>
      <c r="M732" s="5">
        <v>38.18</v>
      </c>
      <c r="P732" t="str">
        <f>TEXT(Tableau2[[#This Row],[Date]],"mmmm aaaa")</f>
        <v>avril 2026</v>
      </c>
    </row>
    <row r="733" spans="1:16">
      <c r="A733" s="2" t="s">
        <v>820</v>
      </c>
      <c r="B733" s="3">
        <v>46211</v>
      </c>
      <c r="C733" s="2" t="s">
        <v>63</v>
      </c>
      <c r="D733" s="2" t="s">
        <v>33</v>
      </c>
      <c r="E733" s="2" t="s">
        <v>16</v>
      </c>
      <c r="F733" s="2" t="s">
        <v>28</v>
      </c>
      <c r="G733" s="2" t="s">
        <v>39</v>
      </c>
      <c r="H733" s="2" t="s">
        <v>40</v>
      </c>
      <c r="I733" s="2" t="s">
        <v>75</v>
      </c>
      <c r="J733" s="4">
        <v>1</v>
      </c>
      <c r="K733" s="5">
        <v>131.19999999999999</v>
      </c>
      <c r="L733" s="6">
        <v>0</v>
      </c>
      <c r="M733" s="5">
        <v>131.19999999999999</v>
      </c>
      <c r="P733" t="str">
        <f>TEXT(Tableau2[[#This Row],[Date]],"mmmm aaaa")</f>
        <v>juillet 2026</v>
      </c>
    </row>
    <row r="734" spans="1:16">
      <c r="A734" s="2" t="s">
        <v>821</v>
      </c>
      <c r="B734" s="3">
        <v>46212</v>
      </c>
      <c r="C734" s="2" t="s">
        <v>66</v>
      </c>
      <c r="D734" s="2" t="s">
        <v>23</v>
      </c>
      <c r="E734" s="2" t="s">
        <v>34</v>
      </c>
      <c r="F734" s="2" t="s">
        <v>17</v>
      </c>
      <c r="G734" s="2" t="s">
        <v>54</v>
      </c>
      <c r="H734" s="2" t="s">
        <v>64</v>
      </c>
      <c r="I734" s="2" t="s">
        <v>26</v>
      </c>
      <c r="J734" s="4">
        <v>1</v>
      </c>
      <c r="K734" s="5">
        <v>82.59</v>
      </c>
      <c r="L734" s="6">
        <v>0.2</v>
      </c>
      <c r="M734" s="5">
        <v>66.069999999999993</v>
      </c>
      <c r="P734" t="str">
        <f>TEXT(Tableau2[[#This Row],[Date]],"mmmm aaaa")</f>
        <v>juillet 2026</v>
      </c>
    </row>
    <row r="735" spans="1:16">
      <c r="A735" s="2" t="s">
        <v>822</v>
      </c>
      <c r="B735" s="3">
        <v>46232</v>
      </c>
      <c r="C735" s="2" t="s">
        <v>441</v>
      </c>
      <c r="D735" s="2" t="s">
        <v>23</v>
      </c>
      <c r="E735" s="2" t="s">
        <v>16</v>
      </c>
      <c r="F735" s="2" t="s">
        <v>28</v>
      </c>
      <c r="G735" s="2" t="s">
        <v>18</v>
      </c>
      <c r="H735" s="2" t="s">
        <v>143</v>
      </c>
      <c r="I735" s="2" t="s">
        <v>45</v>
      </c>
      <c r="J735" s="4">
        <v>1</v>
      </c>
      <c r="K735" s="5">
        <v>63.1</v>
      </c>
      <c r="L735" s="6">
        <v>0.1</v>
      </c>
      <c r="M735" s="5">
        <v>56.79</v>
      </c>
      <c r="P735" t="str">
        <f>TEXT(Tableau2[[#This Row],[Date]],"mmmm aaaa")</f>
        <v>juillet 2026</v>
      </c>
    </row>
    <row r="736" spans="1:16">
      <c r="A736" s="2" t="s">
        <v>823</v>
      </c>
      <c r="B736" s="3">
        <v>46053</v>
      </c>
      <c r="C736" s="2" t="s">
        <v>63</v>
      </c>
      <c r="D736" s="2" t="s">
        <v>33</v>
      </c>
      <c r="E736" s="2" t="s">
        <v>38</v>
      </c>
      <c r="F736" s="2" t="s">
        <v>17</v>
      </c>
      <c r="G736" s="2" t="s">
        <v>48</v>
      </c>
      <c r="H736" s="2" t="s">
        <v>49</v>
      </c>
      <c r="I736" s="2" t="s">
        <v>58</v>
      </c>
      <c r="J736" s="4">
        <v>3</v>
      </c>
      <c r="K736" s="5">
        <v>62.57</v>
      </c>
      <c r="L736" s="6">
        <v>0</v>
      </c>
      <c r="M736" s="5">
        <v>187.71</v>
      </c>
      <c r="P736" t="str">
        <f>TEXT(Tableau2[[#This Row],[Date]],"mmmm aaaa")</f>
        <v>janvier 2026</v>
      </c>
    </row>
    <row r="737" spans="1:16">
      <c r="A737" s="2" t="s">
        <v>824</v>
      </c>
      <c r="B737" s="3">
        <v>46306</v>
      </c>
      <c r="C737" s="2" t="s">
        <v>57</v>
      </c>
      <c r="D737" s="2" t="s">
        <v>15</v>
      </c>
      <c r="E737" s="2" t="s">
        <v>34</v>
      </c>
      <c r="F737" s="2" t="s">
        <v>17</v>
      </c>
      <c r="G737" s="2" t="s">
        <v>54</v>
      </c>
      <c r="H737" s="2" t="s">
        <v>55</v>
      </c>
      <c r="I737" s="2" t="s">
        <v>58</v>
      </c>
      <c r="J737" s="4">
        <v>3</v>
      </c>
      <c r="K737" s="5">
        <v>151.54</v>
      </c>
      <c r="L737" s="6">
        <v>0</v>
      </c>
      <c r="M737" s="5">
        <v>454.62</v>
      </c>
      <c r="P737" t="str">
        <f>TEXT(Tableau2[[#This Row],[Date]],"mmmm aaaa")</f>
        <v>octobre 2026</v>
      </c>
    </row>
    <row r="738" spans="1:16">
      <c r="A738" s="2" t="s">
        <v>825</v>
      </c>
      <c r="B738" s="3">
        <v>46339</v>
      </c>
      <c r="C738" s="2" t="s">
        <v>14</v>
      </c>
      <c r="D738" s="2" t="s">
        <v>15</v>
      </c>
      <c r="E738" s="2" t="s">
        <v>34</v>
      </c>
      <c r="F738" s="2" t="s">
        <v>17</v>
      </c>
      <c r="G738" s="2" t="s">
        <v>39</v>
      </c>
      <c r="H738" s="2" t="s">
        <v>40</v>
      </c>
      <c r="I738" s="2" t="s">
        <v>45</v>
      </c>
      <c r="J738" s="4">
        <v>8</v>
      </c>
      <c r="K738" s="5">
        <v>132.72999999999999</v>
      </c>
      <c r="L738" s="6">
        <v>0</v>
      </c>
      <c r="M738" s="5">
        <v>1061.8399999999999</v>
      </c>
      <c r="P738" t="str">
        <f>TEXT(Tableau2[[#This Row],[Date]],"mmmm aaaa")</f>
        <v>novembre 2026</v>
      </c>
    </row>
    <row r="739" spans="1:16">
      <c r="A739" s="2" t="s">
        <v>826</v>
      </c>
      <c r="B739" s="3">
        <v>46127</v>
      </c>
      <c r="C739" s="2" t="s">
        <v>94</v>
      </c>
      <c r="D739" s="2" t="s">
        <v>15</v>
      </c>
      <c r="E739" s="2" t="s">
        <v>43</v>
      </c>
      <c r="F739" s="2" t="s">
        <v>17</v>
      </c>
      <c r="G739" s="2" t="s">
        <v>18</v>
      </c>
      <c r="H739" s="2" t="s">
        <v>158</v>
      </c>
      <c r="I739" s="2" t="s">
        <v>26</v>
      </c>
      <c r="J739" s="4">
        <v>2</v>
      </c>
      <c r="K739" s="5">
        <v>47.69</v>
      </c>
      <c r="L739" s="6">
        <v>0</v>
      </c>
      <c r="M739" s="5">
        <v>95.38</v>
      </c>
      <c r="P739" t="str">
        <f>TEXT(Tableau2[[#This Row],[Date]],"mmmm aaaa")</f>
        <v>avril 2026</v>
      </c>
    </row>
    <row r="740" spans="1:16">
      <c r="A740" s="2" t="s">
        <v>827</v>
      </c>
      <c r="B740" s="3">
        <v>46106</v>
      </c>
      <c r="C740" s="2" t="s">
        <v>116</v>
      </c>
      <c r="D740" s="2" t="s">
        <v>15</v>
      </c>
      <c r="E740" s="2" t="s">
        <v>16</v>
      </c>
      <c r="F740" s="2" t="s">
        <v>28</v>
      </c>
      <c r="G740" s="2" t="s">
        <v>24</v>
      </c>
      <c r="H740" s="2" t="s">
        <v>61</v>
      </c>
      <c r="I740" s="2" t="s">
        <v>20</v>
      </c>
      <c r="J740" s="4">
        <v>1</v>
      </c>
      <c r="K740" s="5">
        <v>257.70999999999998</v>
      </c>
      <c r="L740" s="6">
        <v>0.15</v>
      </c>
      <c r="M740" s="5">
        <v>219.05</v>
      </c>
      <c r="P740" t="str">
        <f>TEXT(Tableau2[[#This Row],[Date]],"mmmm aaaa")</f>
        <v>mars 2026</v>
      </c>
    </row>
    <row r="741" spans="1:16">
      <c r="A741" s="2" t="s">
        <v>828</v>
      </c>
      <c r="B741" s="3">
        <v>46302</v>
      </c>
      <c r="C741" s="2" t="s">
        <v>57</v>
      </c>
      <c r="D741" s="2" t="s">
        <v>15</v>
      </c>
      <c r="E741" s="2" t="s">
        <v>34</v>
      </c>
      <c r="F741" s="2" t="s">
        <v>28</v>
      </c>
      <c r="G741" s="2" t="s">
        <v>54</v>
      </c>
      <c r="H741" s="2" t="s">
        <v>64</v>
      </c>
      <c r="I741" s="2" t="s">
        <v>20</v>
      </c>
      <c r="J741" s="4">
        <v>2</v>
      </c>
      <c r="K741" s="5">
        <v>86.93</v>
      </c>
      <c r="L741" s="6">
        <v>0</v>
      </c>
      <c r="M741" s="5">
        <v>173.86</v>
      </c>
      <c r="P741" t="str">
        <f>TEXT(Tableau2[[#This Row],[Date]],"mmmm aaaa")</f>
        <v>octobre 2026</v>
      </c>
    </row>
    <row r="742" spans="1:16">
      <c r="A742" s="2" t="s">
        <v>829</v>
      </c>
      <c r="B742" s="3">
        <v>46304</v>
      </c>
      <c r="C742" s="2" t="s">
        <v>63</v>
      </c>
      <c r="D742" s="2" t="s">
        <v>33</v>
      </c>
      <c r="E742" s="2" t="s">
        <v>34</v>
      </c>
      <c r="F742" s="2" t="s">
        <v>17</v>
      </c>
      <c r="G742" s="2" t="s">
        <v>18</v>
      </c>
      <c r="H742" s="2" t="s">
        <v>143</v>
      </c>
      <c r="I742" s="2" t="s">
        <v>45</v>
      </c>
      <c r="J742" s="4">
        <v>3</v>
      </c>
      <c r="K742" s="5">
        <v>68.19</v>
      </c>
      <c r="L742" s="6">
        <v>0</v>
      </c>
      <c r="M742" s="5">
        <v>204.57</v>
      </c>
      <c r="P742" t="str">
        <f>TEXT(Tableau2[[#This Row],[Date]],"mmmm aaaa")</f>
        <v>octobre 2026</v>
      </c>
    </row>
    <row r="743" spans="1:16">
      <c r="A743" s="2" t="s">
        <v>830</v>
      </c>
      <c r="B743" s="3">
        <v>46237</v>
      </c>
      <c r="C743" s="2" t="s">
        <v>32</v>
      </c>
      <c r="D743" s="2" t="s">
        <v>33</v>
      </c>
      <c r="E743" s="2" t="s">
        <v>16</v>
      </c>
      <c r="F743" s="2" t="s">
        <v>17</v>
      </c>
      <c r="G743" s="2" t="s">
        <v>24</v>
      </c>
      <c r="H743" s="2" t="s">
        <v>25</v>
      </c>
      <c r="I743" s="2" t="s">
        <v>26</v>
      </c>
      <c r="J743" s="4">
        <v>10</v>
      </c>
      <c r="K743" s="5">
        <v>123.18</v>
      </c>
      <c r="L743" s="6">
        <v>0</v>
      </c>
      <c r="M743" s="5">
        <v>1231.8</v>
      </c>
      <c r="P743" t="str">
        <f>TEXT(Tableau2[[#This Row],[Date]],"mmmm aaaa")</f>
        <v>août 2026</v>
      </c>
    </row>
    <row r="744" spans="1:16">
      <c r="A744" s="2" t="s">
        <v>831</v>
      </c>
      <c r="B744" s="3">
        <v>46281</v>
      </c>
      <c r="C744" s="2" t="s">
        <v>134</v>
      </c>
      <c r="D744" s="2" t="s">
        <v>15</v>
      </c>
      <c r="E744" s="2" t="s">
        <v>16</v>
      </c>
      <c r="F744" s="2" t="s">
        <v>28</v>
      </c>
      <c r="G744" s="2" t="s">
        <v>18</v>
      </c>
      <c r="H744" s="2" t="s">
        <v>143</v>
      </c>
      <c r="I744" s="2" t="s">
        <v>26</v>
      </c>
      <c r="J744" s="4">
        <v>1</v>
      </c>
      <c r="K744" s="5">
        <v>68.52</v>
      </c>
      <c r="L744" s="6">
        <v>0.15</v>
      </c>
      <c r="M744" s="5">
        <v>58.24</v>
      </c>
      <c r="P744" t="str">
        <f>TEXT(Tableau2[[#This Row],[Date]],"mmmm aaaa")</f>
        <v>septembre 2026</v>
      </c>
    </row>
    <row r="745" spans="1:16">
      <c r="A745" s="2" t="s">
        <v>832</v>
      </c>
      <c r="B745" s="3">
        <v>46180</v>
      </c>
      <c r="C745" s="2" t="s">
        <v>125</v>
      </c>
      <c r="D745" s="2" t="s">
        <v>23</v>
      </c>
      <c r="E745" s="2" t="s">
        <v>34</v>
      </c>
      <c r="F745" s="2" t="s">
        <v>28</v>
      </c>
      <c r="G745" s="2" t="s">
        <v>54</v>
      </c>
      <c r="H745" s="2" t="s">
        <v>64</v>
      </c>
      <c r="I745" s="2" t="s">
        <v>58</v>
      </c>
      <c r="J745" s="4">
        <v>3</v>
      </c>
      <c r="K745" s="5">
        <v>85.24</v>
      </c>
      <c r="L745" s="6">
        <v>0.2</v>
      </c>
      <c r="M745" s="5">
        <v>204.58</v>
      </c>
      <c r="P745" t="str">
        <f>TEXT(Tableau2[[#This Row],[Date]],"mmmm aaaa")</f>
        <v>juin 2026</v>
      </c>
    </row>
    <row r="746" spans="1:16">
      <c r="A746" s="2" t="s">
        <v>833</v>
      </c>
      <c r="B746" s="3">
        <v>46348</v>
      </c>
      <c r="C746" s="2" t="s">
        <v>86</v>
      </c>
      <c r="D746" s="2" t="s">
        <v>53</v>
      </c>
      <c r="E746" s="2" t="s">
        <v>16</v>
      </c>
      <c r="F746" s="2" t="s">
        <v>17</v>
      </c>
      <c r="G746" s="2" t="s">
        <v>29</v>
      </c>
      <c r="H746" s="2" t="s">
        <v>44</v>
      </c>
      <c r="I746" s="2" t="s">
        <v>20</v>
      </c>
      <c r="J746" s="4">
        <v>2</v>
      </c>
      <c r="K746" s="5">
        <v>39.909999999999997</v>
      </c>
      <c r="L746" s="6">
        <v>0</v>
      </c>
      <c r="M746" s="5">
        <v>79.819999999999993</v>
      </c>
      <c r="P746" t="str">
        <f>TEXT(Tableau2[[#This Row],[Date]],"mmmm aaaa")</f>
        <v>novembre 2026</v>
      </c>
    </row>
    <row r="747" spans="1:16">
      <c r="A747" s="2" t="s">
        <v>834</v>
      </c>
      <c r="B747" s="3">
        <v>46236</v>
      </c>
      <c r="C747" s="2" t="s">
        <v>125</v>
      </c>
      <c r="D747" s="2" t="s">
        <v>23</v>
      </c>
      <c r="E747" s="2" t="s">
        <v>34</v>
      </c>
      <c r="F747" s="2" t="s">
        <v>28</v>
      </c>
      <c r="G747" s="2" t="s">
        <v>39</v>
      </c>
      <c r="H747" s="2" t="s">
        <v>95</v>
      </c>
      <c r="I747" s="2" t="s">
        <v>20</v>
      </c>
      <c r="J747" s="4">
        <v>4</v>
      </c>
      <c r="K747" s="5">
        <v>95.94</v>
      </c>
      <c r="L747" s="6">
        <v>0.15</v>
      </c>
      <c r="M747" s="5">
        <v>326.2</v>
      </c>
      <c r="P747" t="str">
        <f>TEXT(Tableau2[[#This Row],[Date]],"mmmm aaaa")</f>
        <v>août 2026</v>
      </c>
    </row>
    <row r="748" spans="1:16">
      <c r="A748" s="2" t="s">
        <v>835</v>
      </c>
      <c r="B748" s="3">
        <v>46319</v>
      </c>
      <c r="C748" s="2" t="s">
        <v>57</v>
      </c>
      <c r="D748" s="2" t="s">
        <v>15</v>
      </c>
      <c r="E748" s="2" t="s">
        <v>34</v>
      </c>
      <c r="F748" s="2" t="s">
        <v>17</v>
      </c>
      <c r="G748" s="2" t="s">
        <v>39</v>
      </c>
      <c r="H748" s="2" t="s">
        <v>95</v>
      </c>
      <c r="I748" s="2" t="s">
        <v>36</v>
      </c>
      <c r="J748" s="4">
        <v>4</v>
      </c>
      <c r="K748" s="5">
        <v>99.93</v>
      </c>
      <c r="L748" s="6">
        <v>0</v>
      </c>
      <c r="M748" s="5">
        <v>399.72</v>
      </c>
      <c r="P748" t="str">
        <f>TEXT(Tableau2[[#This Row],[Date]],"mmmm aaaa")</f>
        <v>octobre 2026</v>
      </c>
    </row>
    <row r="749" spans="1:16">
      <c r="A749" s="2" t="s">
        <v>836</v>
      </c>
      <c r="B749" s="3">
        <v>46232</v>
      </c>
      <c r="C749" s="2" t="s">
        <v>14</v>
      </c>
      <c r="D749" s="2" t="s">
        <v>15</v>
      </c>
      <c r="E749" s="2" t="s">
        <v>38</v>
      </c>
      <c r="F749" s="2" t="s">
        <v>17</v>
      </c>
      <c r="G749" s="2" t="s">
        <v>29</v>
      </c>
      <c r="H749" s="2" t="s">
        <v>140</v>
      </c>
      <c r="I749" s="2" t="s">
        <v>75</v>
      </c>
      <c r="J749" s="4">
        <v>2</v>
      </c>
      <c r="K749" s="5">
        <v>45.78</v>
      </c>
      <c r="L749" s="6">
        <v>0</v>
      </c>
      <c r="M749" s="5">
        <v>91.56</v>
      </c>
      <c r="P749" t="str">
        <f>TEXT(Tableau2[[#This Row],[Date]],"mmmm aaaa")</f>
        <v>juillet 2026</v>
      </c>
    </row>
    <row r="750" spans="1:16">
      <c r="A750" s="2" t="s">
        <v>837</v>
      </c>
      <c r="B750" s="3">
        <v>46206</v>
      </c>
      <c r="C750" s="2" t="s">
        <v>125</v>
      </c>
      <c r="D750" s="2" t="s">
        <v>23</v>
      </c>
      <c r="E750" s="2" t="s">
        <v>16</v>
      </c>
      <c r="F750" s="2" t="s">
        <v>17</v>
      </c>
      <c r="G750" s="2" t="s">
        <v>24</v>
      </c>
      <c r="H750" s="2" t="s">
        <v>82</v>
      </c>
      <c r="I750" s="2" t="s">
        <v>41</v>
      </c>
      <c r="J750" s="4">
        <v>1</v>
      </c>
      <c r="K750" s="5">
        <v>310.61</v>
      </c>
      <c r="L750" s="6">
        <v>0</v>
      </c>
      <c r="M750" s="5">
        <v>310.61</v>
      </c>
      <c r="P750" t="str">
        <f>TEXT(Tableau2[[#This Row],[Date]],"mmmm aaaa")</f>
        <v>juillet 2026</v>
      </c>
    </row>
    <row r="751" spans="1:16">
      <c r="A751" s="2" t="s">
        <v>838</v>
      </c>
      <c r="B751" s="3">
        <v>46033</v>
      </c>
      <c r="C751" s="2" t="s">
        <v>14</v>
      </c>
      <c r="D751" s="2" t="s">
        <v>15</v>
      </c>
      <c r="E751" s="2" t="s">
        <v>16</v>
      </c>
      <c r="F751" s="2" t="s">
        <v>28</v>
      </c>
      <c r="G751" s="2" t="s">
        <v>39</v>
      </c>
      <c r="H751" s="2" t="s">
        <v>40</v>
      </c>
      <c r="I751" s="2" t="s">
        <v>41</v>
      </c>
      <c r="J751" s="4">
        <v>11</v>
      </c>
      <c r="K751" s="5">
        <v>141.04</v>
      </c>
      <c r="L751" s="6">
        <v>0.05</v>
      </c>
      <c r="M751" s="5">
        <v>1473.87</v>
      </c>
      <c r="P751" t="str">
        <f>TEXT(Tableau2[[#This Row],[Date]],"mmmm aaaa")</f>
        <v>janvier 2026</v>
      </c>
    </row>
    <row r="752" spans="1:16">
      <c r="A752" s="2" t="s">
        <v>839</v>
      </c>
      <c r="B752" s="3">
        <v>46139</v>
      </c>
      <c r="C752" s="2" t="s">
        <v>14</v>
      </c>
      <c r="D752" s="2" t="s">
        <v>15</v>
      </c>
      <c r="E752" s="2" t="s">
        <v>38</v>
      </c>
      <c r="F752" s="2" t="s">
        <v>17</v>
      </c>
      <c r="G752" s="2" t="s">
        <v>24</v>
      </c>
      <c r="H752" s="2" t="s">
        <v>61</v>
      </c>
      <c r="I752" s="2" t="s">
        <v>75</v>
      </c>
      <c r="J752" s="4">
        <v>16</v>
      </c>
      <c r="K752" s="5">
        <v>222.61</v>
      </c>
      <c r="L752" s="6">
        <v>0.3</v>
      </c>
      <c r="M752" s="5">
        <v>2493.23</v>
      </c>
      <c r="P752" t="str">
        <f>TEXT(Tableau2[[#This Row],[Date]],"mmmm aaaa")</f>
        <v>avril 2026</v>
      </c>
    </row>
    <row r="753" spans="1:16">
      <c r="A753" s="2" t="s">
        <v>840</v>
      </c>
      <c r="B753" s="3">
        <v>46323</v>
      </c>
      <c r="C753" s="2" t="s">
        <v>32</v>
      </c>
      <c r="D753" s="2" t="s">
        <v>33</v>
      </c>
      <c r="E753" s="2" t="s">
        <v>34</v>
      </c>
      <c r="F753" s="2" t="s">
        <v>28</v>
      </c>
      <c r="G753" s="2" t="s">
        <v>24</v>
      </c>
      <c r="H753" s="2" t="s">
        <v>82</v>
      </c>
      <c r="I753" s="2" t="s">
        <v>20</v>
      </c>
      <c r="J753" s="4">
        <v>3</v>
      </c>
      <c r="K753" s="5">
        <v>292.98</v>
      </c>
      <c r="L753" s="6">
        <v>0</v>
      </c>
      <c r="M753" s="5">
        <v>878.94</v>
      </c>
      <c r="P753" t="str">
        <f>TEXT(Tableau2[[#This Row],[Date]],"mmmm aaaa")</f>
        <v>octobre 2026</v>
      </c>
    </row>
    <row r="754" spans="1:16">
      <c r="A754" s="2" t="s">
        <v>841</v>
      </c>
      <c r="B754" s="3">
        <v>46229</v>
      </c>
      <c r="C754" s="2" t="s">
        <v>52</v>
      </c>
      <c r="D754" s="2" t="s">
        <v>53</v>
      </c>
      <c r="E754" s="2" t="s">
        <v>43</v>
      </c>
      <c r="F754" s="2" t="s">
        <v>17</v>
      </c>
      <c r="G754" s="2" t="s">
        <v>18</v>
      </c>
      <c r="H754" s="2" t="s">
        <v>136</v>
      </c>
      <c r="I754" s="2" t="s">
        <v>75</v>
      </c>
      <c r="J754" s="4">
        <v>1</v>
      </c>
      <c r="K754" s="5">
        <v>30.3</v>
      </c>
      <c r="L754" s="6">
        <v>0.1</v>
      </c>
      <c r="M754" s="5">
        <v>27.27</v>
      </c>
      <c r="P754" t="str">
        <f>TEXT(Tableau2[[#This Row],[Date]],"mmmm aaaa")</f>
        <v>juillet 2026</v>
      </c>
    </row>
    <row r="755" spans="1:16">
      <c r="A755" s="2" t="s">
        <v>842</v>
      </c>
      <c r="B755" s="3">
        <v>46094</v>
      </c>
      <c r="C755" s="2" t="s">
        <v>130</v>
      </c>
      <c r="D755" s="2" t="s">
        <v>53</v>
      </c>
      <c r="E755" s="2" t="s">
        <v>16</v>
      </c>
      <c r="F755" s="2" t="s">
        <v>17</v>
      </c>
      <c r="G755" s="2" t="s">
        <v>54</v>
      </c>
      <c r="H755" s="2" t="s">
        <v>102</v>
      </c>
      <c r="I755" s="2" t="s">
        <v>26</v>
      </c>
      <c r="J755" s="4">
        <v>1</v>
      </c>
      <c r="K755" s="5">
        <v>230.8</v>
      </c>
      <c r="L755" s="6">
        <v>0</v>
      </c>
      <c r="M755" s="5">
        <v>230.8</v>
      </c>
      <c r="P755" t="str">
        <f>TEXT(Tableau2[[#This Row],[Date]],"mmmm aaaa")</f>
        <v>mars 2026</v>
      </c>
    </row>
    <row r="756" spans="1:16">
      <c r="A756" s="2" t="s">
        <v>843</v>
      </c>
      <c r="B756" s="3">
        <v>46352</v>
      </c>
      <c r="C756" s="2" t="s">
        <v>90</v>
      </c>
      <c r="D756" s="2" t="s">
        <v>53</v>
      </c>
      <c r="E756" s="2" t="s">
        <v>34</v>
      </c>
      <c r="F756" s="2" t="s">
        <v>28</v>
      </c>
      <c r="G756" s="2" t="s">
        <v>48</v>
      </c>
      <c r="H756" s="2" t="s">
        <v>88</v>
      </c>
      <c r="I756" s="2" t="s">
        <v>20</v>
      </c>
      <c r="J756" s="4">
        <v>2</v>
      </c>
      <c r="K756" s="5">
        <v>78.319999999999993</v>
      </c>
      <c r="L756" s="6">
        <v>0</v>
      </c>
      <c r="M756" s="5">
        <v>156.63999999999999</v>
      </c>
      <c r="P756" t="str">
        <f>TEXT(Tableau2[[#This Row],[Date]],"mmmm aaaa")</f>
        <v>novembre 2026</v>
      </c>
    </row>
    <row r="757" spans="1:16">
      <c r="A757" s="2" t="s">
        <v>844</v>
      </c>
      <c r="B757" s="3">
        <v>46153</v>
      </c>
      <c r="C757" s="2" t="s">
        <v>14</v>
      </c>
      <c r="D757" s="2" t="s">
        <v>15</v>
      </c>
      <c r="E757" s="2" t="s">
        <v>38</v>
      </c>
      <c r="F757" s="2" t="s">
        <v>17</v>
      </c>
      <c r="G757" s="2" t="s">
        <v>18</v>
      </c>
      <c r="H757" s="2" t="s">
        <v>136</v>
      </c>
      <c r="I757" s="2" t="s">
        <v>75</v>
      </c>
      <c r="J757" s="4">
        <v>5</v>
      </c>
      <c r="K757" s="5">
        <v>30.98</v>
      </c>
      <c r="L757" s="6">
        <v>0.05</v>
      </c>
      <c r="M757" s="5">
        <v>147.16</v>
      </c>
      <c r="P757" t="str">
        <f>TEXT(Tableau2[[#This Row],[Date]],"mmmm aaaa")</f>
        <v>mai 2026</v>
      </c>
    </row>
    <row r="758" spans="1:16">
      <c r="A758" s="2" t="s">
        <v>845</v>
      </c>
      <c r="B758" s="3">
        <v>46248</v>
      </c>
      <c r="C758" s="2" t="s">
        <v>63</v>
      </c>
      <c r="D758" s="2" t="s">
        <v>33</v>
      </c>
      <c r="E758" s="2" t="s">
        <v>16</v>
      </c>
      <c r="F758" s="2" t="s">
        <v>28</v>
      </c>
      <c r="G758" s="2" t="s">
        <v>39</v>
      </c>
      <c r="H758" s="2" t="s">
        <v>40</v>
      </c>
      <c r="I758" s="2" t="s">
        <v>41</v>
      </c>
      <c r="J758" s="4">
        <v>1</v>
      </c>
      <c r="K758" s="5">
        <v>126.93</v>
      </c>
      <c r="L758" s="6">
        <v>0.1</v>
      </c>
      <c r="M758" s="5">
        <v>114.24</v>
      </c>
      <c r="P758" t="str">
        <f>TEXT(Tableau2[[#This Row],[Date]],"mmmm aaaa")</f>
        <v>août 2026</v>
      </c>
    </row>
    <row r="759" spans="1:16">
      <c r="A759" s="2" t="s">
        <v>846</v>
      </c>
      <c r="B759" s="3">
        <v>46059</v>
      </c>
      <c r="C759" s="2" t="s">
        <v>160</v>
      </c>
      <c r="D759" s="2" t="s">
        <v>33</v>
      </c>
      <c r="E759" s="2" t="s">
        <v>16</v>
      </c>
      <c r="F759" s="2" t="s">
        <v>17</v>
      </c>
      <c r="G759" s="2" t="s">
        <v>29</v>
      </c>
      <c r="H759" s="2" t="s">
        <v>140</v>
      </c>
      <c r="I759" s="2" t="s">
        <v>58</v>
      </c>
      <c r="J759" s="4">
        <v>4</v>
      </c>
      <c r="K759" s="5">
        <v>47.69</v>
      </c>
      <c r="L759" s="6">
        <v>0</v>
      </c>
      <c r="M759" s="5">
        <v>190.76</v>
      </c>
      <c r="P759" t="str">
        <f>TEXT(Tableau2[[#This Row],[Date]],"mmmm aaaa")</f>
        <v>février 2026</v>
      </c>
    </row>
    <row r="760" spans="1:16">
      <c r="A760" s="2" t="s">
        <v>847</v>
      </c>
      <c r="B760" s="3">
        <v>46115</v>
      </c>
      <c r="C760" s="2" t="s">
        <v>66</v>
      </c>
      <c r="D760" s="2" t="s">
        <v>23</v>
      </c>
      <c r="E760" s="2" t="s">
        <v>34</v>
      </c>
      <c r="F760" s="2" t="s">
        <v>28</v>
      </c>
      <c r="G760" s="2" t="s">
        <v>48</v>
      </c>
      <c r="H760" s="2" t="s">
        <v>88</v>
      </c>
      <c r="I760" s="2" t="s">
        <v>50</v>
      </c>
      <c r="J760" s="4">
        <v>9</v>
      </c>
      <c r="K760" s="5">
        <v>75.099999999999994</v>
      </c>
      <c r="L760" s="6">
        <v>0</v>
      </c>
      <c r="M760" s="5">
        <v>675.9</v>
      </c>
      <c r="P760" t="str">
        <f>TEXT(Tableau2[[#This Row],[Date]],"mmmm aaaa")</f>
        <v>avril 2026</v>
      </c>
    </row>
    <row r="761" spans="1:16">
      <c r="A761" s="2" t="s">
        <v>848</v>
      </c>
      <c r="B761" s="3">
        <v>46085</v>
      </c>
      <c r="C761" s="2" t="s">
        <v>63</v>
      </c>
      <c r="D761" s="2" t="s">
        <v>33</v>
      </c>
      <c r="E761" s="2" t="s">
        <v>16</v>
      </c>
      <c r="F761" s="2" t="s">
        <v>28</v>
      </c>
      <c r="G761" s="2" t="s">
        <v>48</v>
      </c>
      <c r="H761" s="2" t="s">
        <v>88</v>
      </c>
      <c r="I761" s="2" t="s">
        <v>20</v>
      </c>
      <c r="J761" s="4">
        <v>1</v>
      </c>
      <c r="K761" s="5">
        <v>73.67</v>
      </c>
      <c r="L761" s="6">
        <v>0</v>
      </c>
      <c r="M761" s="5">
        <v>73.67</v>
      </c>
      <c r="P761" t="str">
        <f>TEXT(Tableau2[[#This Row],[Date]],"mmmm aaaa")</f>
        <v>mars 2026</v>
      </c>
    </row>
    <row r="762" spans="1:16">
      <c r="A762" s="2" t="s">
        <v>849</v>
      </c>
      <c r="B762" s="3">
        <v>46259</v>
      </c>
      <c r="C762" s="2" t="s">
        <v>14</v>
      </c>
      <c r="D762" s="2" t="s">
        <v>15</v>
      </c>
      <c r="E762" s="2" t="s">
        <v>43</v>
      </c>
      <c r="F762" s="2" t="s">
        <v>17</v>
      </c>
      <c r="G762" s="2" t="s">
        <v>54</v>
      </c>
      <c r="H762" s="2" t="s">
        <v>55</v>
      </c>
      <c r="I762" s="2" t="s">
        <v>36</v>
      </c>
      <c r="J762" s="4">
        <v>5</v>
      </c>
      <c r="K762" s="5">
        <v>154.62</v>
      </c>
      <c r="L762" s="6">
        <v>0</v>
      </c>
      <c r="M762" s="5">
        <v>773.1</v>
      </c>
      <c r="P762" t="str">
        <f>TEXT(Tableau2[[#This Row],[Date]],"mmmm aaaa")</f>
        <v>août 2026</v>
      </c>
    </row>
    <row r="763" spans="1:16">
      <c r="A763" s="2" t="s">
        <v>850</v>
      </c>
      <c r="B763" s="3">
        <v>46123</v>
      </c>
      <c r="C763" s="2" t="s">
        <v>22</v>
      </c>
      <c r="D763" s="2" t="s">
        <v>23</v>
      </c>
      <c r="E763" s="2" t="s">
        <v>34</v>
      </c>
      <c r="F763" s="2" t="s">
        <v>28</v>
      </c>
      <c r="G763" s="2" t="s">
        <v>48</v>
      </c>
      <c r="H763" s="2" t="s">
        <v>84</v>
      </c>
      <c r="I763" s="2" t="s">
        <v>75</v>
      </c>
      <c r="J763" s="4">
        <v>2</v>
      </c>
      <c r="K763" s="5">
        <v>94.82</v>
      </c>
      <c r="L763" s="6">
        <v>0</v>
      </c>
      <c r="M763" s="5">
        <v>189.64</v>
      </c>
      <c r="P763" t="str">
        <f>TEXT(Tableau2[[#This Row],[Date]],"mmmm aaaa")</f>
        <v>avril 2026</v>
      </c>
    </row>
    <row r="764" spans="1:16">
      <c r="A764" s="2" t="s">
        <v>851</v>
      </c>
      <c r="B764" s="3">
        <v>46081</v>
      </c>
      <c r="C764" s="2" t="s">
        <v>52</v>
      </c>
      <c r="D764" s="2" t="s">
        <v>53</v>
      </c>
      <c r="E764" s="2" t="s">
        <v>16</v>
      </c>
      <c r="F764" s="2" t="s">
        <v>17</v>
      </c>
      <c r="G764" s="2" t="s">
        <v>24</v>
      </c>
      <c r="H764" s="2" t="s">
        <v>25</v>
      </c>
      <c r="I764" s="2" t="s">
        <v>20</v>
      </c>
      <c r="J764" s="4">
        <v>8</v>
      </c>
      <c r="K764" s="5">
        <v>137.94</v>
      </c>
      <c r="L764" s="6">
        <v>0.15</v>
      </c>
      <c r="M764" s="5">
        <v>937.99</v>
      </c>
      <c r="P764" t="str">
        <f>TEXT(Tableau2[[#This Row],[Date]],"mmmm aaaa")</f>
        <v>février 2026</v>
      </c>
    </row>
    <row r="765" spans="1:16">
      <c r="A765" s="2" t="s">
        <v>852</v>
      </c>
      <c r="B765" s="3">
        <v>46066</v>
      </c>
      <c r="C765" s="2" t="s">
        <v>116</v>
      </c>
      <c r="D765" s="2" t="s">
        <v>15</v>
      </c>
      <c r="E765" s="2" t="s">
        <v>16</v>
      </c>
      <c r="F765" s="2" t="s">
        <v>28</v>
      </c>
      <c r="G765" s="2" t="s">
        <v>18</v>
      </c>
      <c r="H765" s="2" t="s">
        <v>19</v>
      </c>
      <c r="I765" s="2" t="s">
        <v>45</v>
      </c>
      <c r="J765" s="4">
        <v>1</v>
      </c>
      <c r="K765" s="5">
        <v>51.19</v>
      </c>
      <c r="L765" s="6">
        <v>0.05</v>
      </c>
      <c r="M765" s="5">
        <v>48.63</v>
      </c>
      <c r="P765" t="str">
        <f>TEXT(Tableau2[[#This Row],[Date]],"mmmm aaaa")</f>
        <v>février 2026</v>
      </c>
    </row>
    <row r="766" spans="1:16">
      <c r="A766" s="2" t="s">
        <v>853</v>
      </c>
      <c r="B766" s="3">
        <v>46253</v>
      </c>
      <c r="C766" s="2" t="s">
        <v>66</v>
      </c>
      <c r="D766" s="2" t="s">
        <v>23</v>
      </c>
      <c r="E766" s="2" t="s">
        <v>34</v>
      </c>
      <c r="F766" s="2" t="s">
        <v>28</v>
      </c>
      <c r="G766" s="2" t="s">
        <v>39</v>
      </c>
      <c r="H766" s="2" t="s">
        <v>71</v>
      </c>
      <c r="I766" s="2" t="s">
        <v>36</v>
      </c>
      <c r="J766" s="4">
        <v>3</v>
      </c>
      <c r="K766" s="5">
        <v>120.51</v>
      </c>
      <c r="L766" s="6">
        <v>0.05</v>
      </c>
      <c r="M766" s="5">
        <v>343.45</v>
      </c>
      <c r="P766" t="str">
        <f>TEXT(Tableau2[[#This Row],[Date]],"mmmm aaaa")</f>
        <v>août 2026</v>
      </c>
    </row>
    <row r="767" spans="1:16">
      <c r="A767" s="2" t="s">
        <v>854</v>
      </c>
      <c r="B767" s="3">
        <v>46296</v>
      </c>
      <c r="C767" s="2" t="s">
        <v>63</v>
      </c>
      <c r="D767" s="2" t="s">
        <v>33</v>
      </c>
      <c r="E767" s="2" t="s">
        <v>43</v>
      </c>
      <c r="F767" s="2" t="s">
        <v>28</v>
      </c>
      <c r="G767" s="2" t="s">
        <v>54</v>
      </c>
      <c r="H767" s="2" t="s">
        <v>55</v>
      </c>
      <c r="I767" s="2" t="s">
        <v>58</v>
      </c>
      <c r="J767" s="4">
        <v>8</v>
      </c>
      <c r="K767" s="5">
        <v>157.16</v>
      </c>
      <c r="L767" s="6">
        <v>0</v>
      </c>
      <c r="M767" s="5">
        <v>1257.28</v>
      </c>
      <c r="P767" t="str">
        <f>TEXT(Tableau2[[#This Row],[Date]],"mmmm aaaa")</f>
        <v>octobre 2026</v>
      </c>
    </row>
    <row r="768" spans="1:16">
      <c r="A768" s="2" t="s">
        <v>855</v>
      </c>
      <c r="B768" s="3">
        <v>46169</v>
      </c>
      <c r="C768" s="2" t="s">
        <v>57</v>
      </c>
      <c r="D768" s="2" t="s">
        <v>15</v>
      </c>
      <c r="E768" s="2" t="s">
        <v>16</v>
      </c>
      <c r="F768" s="2" t="s">
        <v>28</v>
      </c>
      <c r="G768" s="2" t="s">
        <v>54</v>
      </c>
      <c r="H768" s="2" t="s">
        <v>102</v>
      </c>
      <c r="I768" s="2" t="s">
        <v>50</v>
      </c>
      <c r="J768" s="4">
        <v>4</v>
      </c>
      <c r="K768" s="5">
        <v>199.11</v>
      </c>
      <c r="L768" s="6">
        <v>0</v>
      </c>
      <c r="M768" s="5">
        <v>796.44</v>
      </c>
      <c r="P768" t="str">
        <f>TEXT(Tableau2[[#This Row],[Date]],"mmmm aaaa")</f>
        <v>mai 2026</v>
      </c>
    </row>
    <row r="769" spans="1:16">
      <c r="A769" s="2" t="s">
        <v>856</v>
      </c>
      <c r="B769" s="3">
        <v>46144</v>
      </c>
      <c r="C769" s="2" t="s">
        <v>22</v>
      </c>
      <c r="D769" s="2" t="s">
        <v>23</v>
      </c>
      <c r="E769" s="2" t="s">
        <v>16</v>
      </c>
      <c r="F769" s="2" t="s">
        <v>17</v>
      </c>
      <c r="G769" s="2" t="s">
        <v>48</v>
      </c>
      <c r="H769" s="2" t="s">
        <v>84</v>
      </c>
      <c r="I769" s="2" t="s">
        <v>20</v>
      </c>
      <c r="J769" s="4">
        <v>2</v>
      </c>
      <c r="K769" s="5">
        <v>98.22</v>
      </c>
      <c r="L769" s="6">
        <v>0.2</v>
      </c>
      <c r="M769" s="5">
        <v>157.15</v>
      </c>
      <c r="P769" t="str">
        <f>TEXT(Tableau2[[#This Row],[Date]],"mmmm aaaa")</f>
        <v>mai 2026</v>
      </c>
    </row>
    <row r="770" spans="1:16">
      <c r="A770" s="2" t="s">
        <v>857</v>
      </c>
      <c r="B770" s="3">
        <v>46094</v>
      </c>
      <c r="C770" s="2" t="s">
        <v>92</v>
      </c>
      <c r="D770" s="2" t="s">
        <v>53</v>
      </c>
      <c r="E770" s="2" t="s">
        <v>38</v>
      </c>
      <c r="F770" s="2" t="s">
        <v>17</v>
      </c>
      <c r="G770" s="2" t="s">
        <v>54</v>
      </c>
      <c r="H770" s="2" t="s">
        <v>64</v>
      </c>
      <c r="I770" s="2" t="s">
        <v>58</v>
      </c>
      <c r="J770" s="4">
        <v>4</v>
      </c>
      <c r="K770" s="5">
        <v>93.57</v>
      </c>
      <c r="L770" s="6">
        <v>0.15</v>
      </c>
      <c r="M770" s="5">
        <v>318.14</v>
      </c>
      <c r="P770" t="str">
        <f>TEXT(Tableau2[[#This Row],[Date]],"mmmm aaaa")</f>
        <v>mars 2026</v>
      </c>
    </row>
    <row r="771" spans="1:16">
      <c r="A771" s="2" t="s">
        <v>858</v>
      </c>
      <c r="B771" s="3">
        <v>46156</v>
      </c>
      <c r="C771" s="2" t="s">
        <v>156</v>
      </c>
      <c r="D771" s="2" t="s">
        <v>15</v>
      </c>
      <c r="E771" s="2" t="s">
        <v>43</v>
      </c>
      <c r="F771" s="2" t="s">
        <v>17</v>
      </c>
      <c r="G771" s="2" t="s">
        <v>48</v>
      </c>
      <c r="H771" s="2" t="s">
        <v>77</v>
      </c>
      <c r="I771" s="2" t="s">
        <v>45</v>
      </c>
      <c r="J771" s="4">
        <v>8</v>
      </c>
      <c r="K771" s="5">
        <v>78.78</v>
      </c>
      <c r="L771" s="6">
        <v>0.05</v>
      </c>
      <c r="M771" s="5">
        <v>598.73</v>
      </c>
      <c r="P771" t="str">
        <f>TEXT(Tableau2[[#This Row],[Date]],"mmmm aaaa")</f>
        <v>mai 2026</v>
      </c>
    </row>
    <row r="772" spans="1:16">
      <c r="A772" s="2" t="s">
        <v>859</v>
      </c>
      <c r="B772" s="3">
        <v>46230</v>
      </c>
      <c r="C772" s="2" t="s">
        <v>63</v>
      </c>
      <c r="D772" s="2" t="s">
        <v>33</v>
      </c>
      <c r="E772" s="2" t="s">
        <v>34</v>
      </c>
      <c r="F772" s="2" t="s">
        <v>17</v>
      </c>
      <c r="G772" s="2" t="s">
        <v>54</v>
      </c>
      <c r="H772" s="2" t="s">
        <v>64</v>
      </c>
      <c r="I772" s="2" t="s">
        <v>26</v>
      </c>
      <c r="J772" s="4">
        <v>4</v>
      </c>
      <c r="K772" s="5">
        <v>95.06</v>
      </c>
      <c r="L772" s="6">
        <v>0</v>
      </c>
      <c r="M772" s="5">
        <v>380.24</v>
      </c>
      <c r="P772" t="str">
        <f>TEXT(Tableau2[[#This Row],[Date]],"mmmm aaaa")</f>
        <v>juillet 2026</v>
      </c>
    </row>
    <row r="773" spans="1:16">
      <c r="A773" s="2" t="s">
        <v>860</v>
      </c>
      <c r="B773" s="3">
        <v>46103</v>
      </c>
      <c r="C773" s="2" t="s">
        <v>90</v>
      </c>
      <c r="D773" s="2" t="s">
        <v>53</v>
      </c>
      <c r="E773" s="2" t="s">
        <v>16</v>
      </c>
      <c r="F773" s="2" t="s">
        <v>17</v>
      </c>
      <c r="G773" s="2" t="s">
        <v>54</v>
      </c>
      <c r="H773" s="2" t="s">
        <v>55</v>
      </c>
      <c r="I773" s="2" t="s">
        <v>36</v>
      </c>
      <c r="J773" s="4">
        <v>1</v>
      </c>
      <c r="K773" s="5">
        <v>161.09</v>
      </c>
      <c r="L773" s="6">
        <v>0.15</v>
      </c>
      <c r="M773" s="5">
        <v>136.93</v>
      </c>
      <c r="P773" t="str">
        <f>TEXT(Tableau2[[#This Row],[Date]],"mmmm aaaa")</f>
        <v>mars 2026</v>
      </c>
    </row>
    <row r="774" spans="1:16">
      <c r="A774" s="2" t="s">
        <v>861</v>
      </c>
      <c r="B774" s="3">
        <v>46161</v>
      </c>
      <c r="C774" s="2" t="s">
        <v>441</v>
      </c>
      <c r="D774" s="2" t="s">
        <v>23</v>
      </c>
      <c r="E774" s="2" t="s">
        <v>34</v>
      </c>
      <c r="F774" s="2" t="s">
        <v>28</v>
      </c>
      <c r="G774" s="2" t="s">
        <v>18</v>
      </c>
      <c r="H774" s="2" t="s">
        <v>158</v>
      </c>
      <c r="I774" s="2" t="s">
        <v>20</v>
      </c>
      <c r="J774" s="4">
        <v>3</v>
      </c>
      <c r="K774" s="5">
        <v>43.96</v>
      </c>
      <c r="L774" s="6">
        <v>0.05</v>
      </c>
      <c r="M774" s="5">
        <v>125.29</v>
      </c>
      <c r="P774" t="str">
        <f>TEXT(Tableau2[[#This Row],[Date]],"mmmm aaaa")</f>
        <v>mai 2026</v>
      </c>
    </row>
    <row r="775" spans="1:16">
      <c r="A775" s="2" t="s">
        <v>862</v>
      </c>
      <c r="B775" s="3">
        <v>46220</v>
      </c>
      <c r="C775" s="2" t="s">
        <v>86</v>
      </c>
      <c r="D775" s="2" t="s">
        <v>53</v>
      </c>
      <c r="E775" s="2" t="s">
        <v>34</v>
      </c>
      <c r="F775" s="2" t="s">
        <v>28</v>
      </c>
      <c r="G775" s="2" t="s">
        <v>54</v>
      </c>
      <c r="H775" s="2" t="s">
        <v>102</v>
      </c>
      <c r="I775" s="2" t="s">
        <v>26</v>
      </c>
      <c r="J775" s="4">
        <v>1</v>
      </c>
      <c r="K775" s="5">
        <v>201.71</v>
      </c>
      <c r="L775" s="6">
        <v>0</v>
      </c>
      <c r="M775" s="5">
        <v>201.71</v>
      </c>
      <c r="P775" t="str">
        <f>TEXT(Tableau2[[#This Row],[Date]],"mmmm aaaa")</f>
        <v>juillet 2026</v>
      </c>
    </row>
    <row r="776" spans="1:16">
      <c r="A776" s="2" t="s">
        <v>863</v>
      </c>
      <c r="B776" s="3">
        <v>46302</v>
      </c>
      <c r="C776" s="2" t="s">
        <v>86</v>
      </c>
      <c r="D776" s="2" t="s">
        <v>53</v>
      </c>
      <c r="E776" s="2" t="s">
        <v>38</v>
      </c>
      <c r="F776" s="2" t="s">
        <v>17</v>
      </c>
      <c r="G776" s="2" t="s">
        <v>48</v>
      </c>
      <c r="H776" s="2" t="s">
        <v>84</v>
      </c>
      <c r="I776" s="2" t="s">
        <v>36</v>
      </c>
      <c r="J776" s="4">
        <v>1</v>
      </c>
      <c r="K776" s="5">
        <v>86.98</v>
      </c>
      <c r="L776" s="6">
        <v>0</v>
      </c>
      <c r="M776" s="5">
        <v>86.98</v>
      </c>
      <c r="P776" t="str">
        <f>TEXT(Tableau2[[#This Row],[Date]],"mmmm aaaa")</f>
        <v>octobre 2026</v>
      </c>
    </row>
    <row r="777" spans="1:16">
      <c r="A777" s="2" t="s">
        <v>864</v>
      </c>
      <c r="B777" s="3">
        <v>46143</v>
      </c>
      <c r="C777" s="2" t="s">
        <v>86</v>
      </c>
      <c r="D777" s="2" t="s">
        <v>53</v>
      </c>
      <c r="E777" s="2" t="s">
        <v>34</v>
      </c>
      <c r="F777" s="2" t="s">
        <v>17</v>
      </c>
      <c r="G777" s="2" t="s">
        <v>39</v>
      </c>
      <c r="H777" s="2" t="s">
        <v>71</v>
      </c>
      <c r="I777" s="2" t="s">
        <v>58</v>
      </c>
      <c r="J777" s="4">
        <v>3</v>
      </c>
      <c r="K777" s="5">
        <v>119.55</v>
      </c>
      <c r="L777" s="6">
        <v>0.2</v>
      </c>
      <c r="M777" s="5">
        <v>286.92</v>
      </c>
      <c r="P777" t="str">
        <f>TEXT(Tableau2[[#This Row],[Date]],"mmmm aaaa")</f>
        <v>mai 2026</v>
      </c>
    </row>
    <row r="778" spans="1:16">
      <c r="A778" s="2" t="s">
        <v>865</v>
      </c>
      <c r="B778" s="3">
        <v>46300</v>
      </c>
      <c r="C778" s="2" t="s">
        <v>86</v>
      </c>
      <c r="D778" s="2" t="s">
        <v>53</v>
      </c>
      <c r="E778" s="2" t="s">
        <v>34</v>
      </c>
      <c r="F778" s="2" t="s">
        <v>17</v>
      </c>
      <c r="G778" s="2" t="s">
        <v>29</v>
      </c>
      <c r="H778" s="2" t="s">
        <v>30</v>
      </c>
      <c r="I778" s="2" t="s">
        <v>58</v>
      </c>
      <c r="J778" s="4">
        <v>1</v>
      </c>
      <c r="K778" s="5">
        <v>27.31</v>
      </c>
      <c r="L778" s="6">
        <v>0.05</v>
      </c>
      <c r="M778" s="5">
        <v>25.94</v>
      </c>
      <c r="P778" t="str">
        <f>TEXT(Tableau2[[#This Row],[Date]],"mmmm aaaa")</f>
        <v>octobre 2026</v>
      </c>
    </row>
    <row r="779" spans="1:16">
      <c r="A779" s="2" t="s">
        <v>866</v>
      </c>
      <c r="B779" s="3">
        <v>46218</v>
      </c>
      <c r="C779" s="2" t="s">
        <v>441</v>
      </c>
      <c r="D779" s="2" t="s">
        <v>23</v>
      </c>
      <c r="E779" s="2" t="s">
        <v>16</v>
      </c>
      <c r="F779" s="2" t="s">
        <v>28</v>
      </c>
      <c r="G779" s="2" t="s">
        <v>48</v>
      </c>
      <c r="H779" s="2" t="s">
        <v>84</v>
      </c>
      <c r="I779" s="2" t="s">
        <v>41</v>
      </c>
      <c r="J779" s="4">
        <v>1</v>
      </c>
      <c r="K779" s="5">
        <v>93.23</v>
      </c>
      <c r="L779" s="6">
        <v>0</v>
      </c>
      <c r="M779" s="5">
        <v>93.23</v>
      </c>
      <c r="P779" t="str">
        <f>TEXT(Tableau2[[#This Row],[Date]],"mmmm aaaa")</f>
        <v>juillet 2026</v>
      </c>
    </row>
    <row r="780" spans="1:16">
      <c r="A780" s="2" t="s">
        <v>867</v>
      </c>
      <c r="B780" s="3">
        <v>46220</v>
      </c>
      <c r="C780" s="2" t="s">
        <v>125</v>
      </c>
      <c r="D780" s="2" t="s">
        <v>23</v>
      </c>
      <c r="E780" s="2" t="s">
        <v>43</v>
      </c>
      <c r="F780" s="2" t="s">
        <v>28</v>
      </c>
      <c r="G780" s="2" t="s">
        <v>48</v>
      </c>
      <c r="H780" s="2" t="s">
        <v>49</v>
      </c>
      <c r="I780" s="2" t="s">
        <v>58</v>
      </c>
      <c r="J780" s="4">
        <v>5</v>
      </c>
      <c r="K780" s="5">
        <v>58.95</v>
      </c>
      <c r="L780" s="6">
        <v>0</v>
      </c>
      <c r="M780" s="5">
        <v>294.75</v>
      </c>
      <c r="P780" t="str">
        <f>TEXT(Tableau2[[#This Row],[Date]],"mmmm aaaa")</f>
        <v>juillet 2026</v>
      </c>
    </row>
    <row r="781" spans="1:16">
      <c r="A781" s="2" t="s">
        <v>868</v>
      </c>
      <c r="B781" s="3">
        <v>46131</v>
      </c>
      <c r="C781" s="2" t="s">
        <v>22</v>
      </c>
      <c r="D781" s="2" t="s">
        <v>23</v>
      </c>
      <c r="E781" s="2" t="s">
        <v>34</v>
      </c>
      <c r="F781" s="2" t="s">
        <v>28</v>
      </c>
      <c r="G781" s="2" t="s">
        <v>18</v>
      </c>
      <c r="H781" s="2" t="s">
        <v>158</v>
      </c>
      <c r="I781" s="2" t="s">
        <v>75</v>
      </c>
      <c r="J781" s="4">
        <v>3</v>
      </c>
      <c r="K781" s="5">
        <v>45.14</v>
      </c>
      <c r="L781" s="6">
        <v>0</v>
      </c>
      <c r="M781" s="5">
        <v>135.41999999999999</v>
      </c>
      <c r="P781" t="str">
        <f>TEXT(Tableau2[[#This Row],[Date]],"mmmm aaaa")</f>
        <v>avril 2026</v>
      </c>
    </row>
    <row r="782" spans="1:16">
      <c r="A782" s="2" t="s">
        <v>869</v>
      </c>
      <c r="B782" s="3">
        <v>46252</v>
      </c>
      <c r="C782" s="2" t="s">
        <v>52</v>
      </c>
      <c r="D782" s="2" t="s">
        <v>53</v>
      </c>
      <c r="E782" s="2" t="s">
        <v>16</v>
      </c>
      <c r="F782" s="2" t="s">
        <v>17</v>
      </c>
      <c r="G782" s="2" t="s">
        <v>54</v>
      </c>
      <c r="H782" s="2" t="s">
        <v>55</v>
      </c>
      <c r="I782" s="2" t="s">
        <v>50</v>
      </c>
      <c r="J782" s="4">
        <v>4</v>
      </c>
      <c r="K782" s="5">
        <v>168.86</v>
      </c>
      <c r="L782" s="6">
        <v>0.2</v>
      </c>
      <c r="M782" s="5">
        <v>540.35</v>
      </c>
      <c r="P782" t="str">
        <f>TEXT(Tableau2[[#This Row],[Date]],"mmmm aaaa")</f>
        <v>août 2026</v>
      </c>
    </row>
    <row r="783" spans="1:16">
      <c r="A783" s="2" t="s">
        <v>870</v>
      </c>
      <c r="B783" s="3">
        <v>46130</v>
      </c>
      <c r="C783" s="2" t="s">
        <v>63</v>
      </c>
      <c r="D783" s="2" t="s">
        <v>33</v>
      </c>
      <c r="E783" s="2" t="s">
        <v>34</v>
      </c>
      <c r="F783" s="2" t="s">
        <v>17</v>
      </c>
      <c r="G783" s="2" t="s">
        <v>18</v>
      </c>
      <c r="H783" s="2" t="s">
        <v>136</v>
      </c>
      <c r="I783" s="2" t="s">
        <v>20</v>
      </c>
      <c r="J783" s="4">
        <v>9</v>
      </c>
      <c r="K783" s="5">
        <v>29.55</v>
      </c>
      <c r="L783" s="6">
        <v>0</v>
      </c>
      <c r="M783" s="5">
        <v>265.95</v>
      </c>
      <c r="P783" t="str">
        <f>TEXT(Tableau2[[#This Row],[Date]],"mmmm aaaa")</f>
        <v>avril 2026</v>
      </c>
    </row>
    <row r="784" spans="1:16">
      <c r="A784" s="2" t="s">
        <v>871</v>
      </c>
      <c r="B784" s="3">
        <v>46033</v>
      </c>
      <c r="C784" s="2" t="s">
        <v>57</v>
      </c>
      <c r="D784" s="2" t="s">
        <v>15</v>
      </c>
      <c r="E784" s="2" t="s">
        <v>16</v>
      </c>
      <c r="F784" s="2" t="s">
        <v>17</v>
      </c>
      <c r="G784" s="2" t="s">
        <v>54</v>
      </c>
      <c r="H784" s="2" t="s">
        <v>102</v>
      </c>
      <c r="I784" s="2" t="s">
        <v>50</v>
      </c>
      <c r="J784" s="4">
        <v>3</v>
      </c>
      <c r="K784" s="5">
        <v>211.42</v>
      </c>
      <c r="L784" s="6">
        <v>0.05</v>
      </c>
      <c r="M784" s="5">
        <v>602.54999999999995</v>
      </c>
      <c r="P784" t="str">
        <f>TEXT(Tableau2[[#This Row],[Date]],"mmmm aaaa")</f>
        <v>janvier 2026</v>
      </c>
    </row>
    <row r="785" spans="1:16">
      <c r="A785" s="2" t="s">
        <v>872</v>
      </c>
      <c r="B785" s="3">
        <v>46162</v>
      </c>
      <c r="C785" s="2" t="s">
        <v>169</v>
      </c>
      <c r="D785" s="2" t="s">
        <v>33</v>
      </c>
      <c r="E785" s="2" t="s">
        <v>34</v>
      </c>
      <c r="F785" s="2" t="s">
        <v>17</v>
      </c>
      <c r="G785" s="2" t="s">
        <v>18</v>
      </c>
      <c r="H785" s="2" t="s">
        <v>158</v>
      </c>
      <c r="I785" s="2" t="s">
        <v>41</v>
      </c>
      <c r="J785" s="4">
        <v>5</v>
      </c>
      <c r="K785" s="5">
        <v>47.42</v>
      </c>
      <c r="L785" s="6">
        <v>0.2</v>
      </c>
      <c r="M785" s="5">
        <v>189.68</v>
      </c>
      <c r="P785" t="str">
        <f>TEXT(Tableau2[[#This Row],[Date]],"mmmm aaaa")</f>
        <v>mai 2026</v>
      </c>
    </row>
    <row r="786" spans="1:16">
      <c r="A786" s="2" t="s">
        <v>873</v>
      </c>
      <c r="B786" s="3">
        <v>46179</v>
      </c>
      <c r="C786" s="2" t="s">
        <v>66</v>
      </c>
      <c r="D786" s="2" t="s">
        <v>23</v>
      </c>
      <c r="E786" s="2" t="s">
        <v>43</v>
      </c>
      <c r="F786" s="2" t="s">
        <v>28</v>
      </c>
      <c r="G786" s="2" t="s">
        <v>29</v>
      </c>
      <c r="H786" s="2" t="s">
        <v>44</v>
      </c>
      <c r="I786" s="2" t="s">
        <v>26</v>
      </c>
      <c r="J786" s="4">
        <v>2</v>
      </c>
      <c r="K786" s="5">
        <v>36.520000000000003</v>
      </c>
      <c r="L786" s="6">
        <v>0</v>
      </c>
      <c r="M786" s="5">
        <v>73.040000000000006</v>
      </c>
      <c r="P786" t="str">
        <f>TEXT(Tableau2[[#This Row],[Date]],"mmmm aaaa")</f>
        <v>juin 2026</v>
      </c>
    </row>
    <row r="787" spans="1:16">
      <c r="A787" s="2" t="s">
        <v>874</v>
      </c>
      <c r="B787" s="3">
        <v>46334</v>
      </c>
      <c r="C787" s="2" t="s">
        <v>101</v>
      </c>
      <c r="D787" s="2" t="s">
        <v>33</v>
      </c>
      <c r="E787" s="2" t="s">
        <v>38</v>
      </c>
      <c r="F787" s="2" t="s">
        <v>28</v>
      </c>
      <c r="G787" s="2" t="s">
        <v>39</v>
      </c>
      <c r="H787" s="2" t="s">
        <v>71</v>
      </c>
      <c r="I787" s="2" t="s">
        <v>36</v>
      </c>
      <c r="J787" s="4">
        <v>1</v>
      </c>
      <c r="K787" s="5">
        <v>115.41</v>
      </c>
      <c r="L787" s="6">
        <v>0</v>
      </c>
      <c r="M787" s="5">
        <v>115.41</v>
      </c>
      <c r="P787" t="str">
        <f>TEXT(Tableau2[[#This Row],[Date]],"mmmm aaaa")</f>
        <v>novembre 2026</v>
      </c>
    </row>
    <row r="788" spans="1:16">
      <c r="A788" s="2" t="s">
        <v>875</v>
      </c>
      <c r="B788" s="3">
        <v>46043</v>
      </c>
      <c r="C788" s="2" t="s">
        <v>63</v>
      </c>
      <c r="D788" s="2" t="s">
        <v>33</v>
      </c>
      <c r="E788" s="2" t="s">
        <v>16</v>
      </c>
      <c r="F788" s="2" t="s">
        <v>17</v>
      </c>
      <c r="G788" s="2" t="s">
        <v>48</v>
      </c>
      <c r="H788" s="2" t="s">
        <v>88</v>
      </c>
      <c r="I788" s="2" t="s">
        <v>58</v>
      </c>
      <c r="J788" s="4">
        <v>2</v>
      </c>
      <c r="K788" s="5">
        <v>80.37</v>
      </c>
      <c r="L788" s="6">
        <v>0</v>
      </c>
      <c r="M788" s="5">
        <v>160.74</v>
      </c>
      <c r="P788" t="str">
        <f>TEXT(Tableau2[[#This Row],[Date]],"mmmm aaaa")</f>
        <v>janvier 2026</v>
      </c>
    </row>
    <row r="789" spans="1:16">
      <c r="A789" s="2" t="s">
        <v>876</v>
      </c>
      <c r="B789" s="3">
        <v>46178</v>
      </c>
      <c r="C789" s="2" t="s">
        <v>130</v>
      </c>
      <c r="D789" s="2" t="s">
        <v>53</v>
      </c>
      <c r="E789" s="2" t="s">
        <v>16</v>
      </c>
      <c r="F789" s="2" t="s">
        <v>28</v>
      </c>
      <c r="G789" s="2" t="s">
        <v>24</v>
      </c>
      <c r="H789" s="2" t="s">
        <v>25</v>
      </c>
      <c r="I789" s="2" t="s">
        <v>58</v>
      </c>
      <c r="J789" s="4">
        <v>2</v>
      </c>
      <c r="K789" s="5">
        <v>122.59</v>
      </c>
      <c r="L789" s="6">
        <v>0</v>
      </c>
      <c r="M789" s="5">
        <v>245.18</v>
      </c>
      <c r="P789" t="str">
        <f>TEXT(Tableau2[[#This Row],[Date]],"mmmm aaaa")</f>
        <v>juin 2026</v>
      </c>
    </row>
    <row r="790" spans="1:16">
      <c r="A790" s="2" t="s">
        <v>877</v>
      </c>
      <c r="B790" s="3">
        <v>46201</v>
      </c>
      <c r="C790" s="2" t="s">
        <v>86</v>
      </c>
      <c r="D790" s="2" t="s">
        <v>53</v>
      </c>
      <c r="E790" s="2" t="s">
        <v>43</v>
      </c>
      <c r="F790" s="2" t="s">
        <v>28</v>
      </c>
      <c r="G790" s="2" t="s">
        <v>29</v>
      </c>
      <c r="H790" s="2" t="s">
        <v>44</v>
      </c>
      <c r="I790" s="2" t="s">
        <v>36</v>
      </c>
      <c r="J790" s="4">
        <v>1</v>
      </c>
      <c r="K790" s="5">
        <v>35.83</v>
      </c>
      <c r="L790" s="6">
        <v>0</v>
      </c>
      <c r="M790" s="5">
        <v>35.83</v>
      </c>
      <c r="P790" t="str">
        <f>TEXT(Tableau2[[#This Row],[Date]],"mmmm aaaa")</f>
        <v>juin 2026</v>
      </c>
    </row>
    <row r="791" spans="1:16">
      <c r="A791" s="2" t="s">
        <v>878</v>
      </c>
      <c r="B791" s="3">
        <v>46259</v>
      </c>
      <c r="C791" s="2" t="s">
        <v>94</v>
      </c>
      <c r="D791" s="2" t="s">
        <v>15</v>
      </c>
      <c r="E791" s="2" t="s">
        <v>38</v>
      </c>
      <c r="F791" s="2" t="s">
        <v>28</v>
      </c>
      <c r="G791" s="2" t="s">
        <v>54</v>
      </c>
      <c r="H791" s="2" t="s">
        <v>55</v>
      </c>
      <c r="I791" s="2" t="s">
        <v>26</v>
      </c>
      <c r="J791" s="4">
        <v>2</v>
      </c>
      <c r="K791" s="5">
        <v>147.41</v>
      </c>
      <c r="L791" s="6">
        <v>0</v>
      </c>
      <c r="M791" s="5">
        <v>294.82</v>
      </c>
      <c r="P791" t="str">
        <f>TEXT(Tableau2[[#This Row],[Date]],"mmmm aaaa")</f>
        <v>août 2026</v>
      </c>
    </row>
    <row r="792" spans="1:16">
      <c r="A792" s="2" t="s">
        <v>879</v>
      </c>
      <c r="B792" s="3">
        <v>46148</v>
      </c>
      <c r="C792" s="2" t="s">
        <v>106</v>
      </c>
      <c r="D792" s="2" t="s">
        <v>23</v>
      </c>
      <c r="E792" s="2" t="s">
        <v>43</v>
      </c>
      <c r="F792" s="2" t="s">
        <v>17</v>
      </c>
      <c r="G792" s="2" t="s">
        <v>18</v>
      </c>
      <c r="H792" s="2" t="s">
        <v>158</v>
      </c>
      <c r="I792" s="2" t="s">
        <v>36</v>
      </c>
      <c r="J792" s="4">
        <v>8</v>
      </c>
      <c r="K792" s="5">
        <v>46.06</v>
      </c>
      <c r="L792" s="6">
        <v>0</v>
      </c>
      <c r="M792" s="5">
        <v>368.48</v>
      </c>
      <c r="P792" t="str">
        <f>TEXT(Tableau2[[#This Row],[Date]],"mmmm aaaa")</f>
        <v>mai 2026</v>
      </c>
    </row>
    <row r="793" spans="1:16">
      <c r="A793" s="2" t="s">
        <v>880</v>
      </c>
      <c r="B793" s="3">
        <v>46087</v>
      </c>
      <c r="C793" s="2" t="s">
        <v>63</v>
      </c>
      <c r="D793" s="2" t="s">
        <v>33</v>
      </c>
      <c r="E793" s="2" t="s">
        <v>16</v>
      </c>
      <c r="F793" s="2" t="s">
        <v>17</v>
      </c>
      <c r="G793" s="2" t="s">
        <v>18</v>
      </c>
      <c r="H793" s="2" t="s">
        <v>143</v>
      </c>
      <c r="I793" s="2" t="s">
        <v>50</v>
      </c>
      <c r="J793" s="4">
        <v>2</v>
      </c>
      <c r="K793" s="5">
        <v>62.76</v>
      </c>
      <c r="L793" s="6">
        <v>0</v>
      </c>
      <c r="M793" s="5">
        <v>125.52</v>
      </c>
      <c r="P793" t="str">
        <f>TEXT(Tableau2[[#This Row],[Date]],"mmmm aaaa")</f>
        <v>mars 2026</v>
      </c>
    </row>
    <row r="794" spans="1:16">
      <c r="A794" s="2" t="s">
        <v>881</v>
      </c>
      <c r="B794" s="3">
        <v>46180</v>
      </c>
      <c r="C794" s="2" t="s">
        <v>14</v>
      </c>
      <c r="D794" s="2" t="s">
        <v>15</v>
      </c>
      <c r="E794" s="2" t="s">
        <v>34</v>
      </c>
      <c r="F794" s="2" t="s">
        <v>17</v>
      </c>
      <c r="G794" s="2" t="s">
        <v>48</v>
      </c>
      <c r="H794" s="2" t="s">
        <v>49</v>
      </c>
      <c r="I794" s="2" t="s">
        <v>36</v>
      </c>
      <c r="J794" s="4">
        <v>7</v>
      </c>
      <c r="K794" s="5">
        <v>57.6</v>
      </c>
      <c r="L794" s="6">
        <v>0</v>
      </c>
      <c r="M794" s="5">
        <v>403.2</v>
      </c>
      <c r="P794" t="str">
        <f>TEXT(Tableau2[[#This Row],[Date]],"mmmm aaaa")</f>
        <v>juin 2026</v>
      </c>
    </row>
    <row r="795" spans="1:16">
      <c r="A795" s="2" t="s">
        <v>882</v>
      </c>
      <c r="B795" s="3">
        <v>46334</v>
      </c>
      <c r="C795" s="2" t="s">
        <v>57</v>
      </c>
      <c r="D795" s="2" t="s">
        <v>15</v>
      </c>
      <c r="E795" s="2" t="s">
        <v>16</v>
      </c>
      <c r="F795" s="2" t="s">
        <v>28</v>
      </c>
      <c r="G795" s="2" t="s">
        <v>29</v>
      </c>
      <c r="H795" s="2" t="s">
        <v>30</v>
      </c>
      <c r="I795" s="2" t="s">
        <v>26</v>
      </c>
      <c r="J795" s="4">
        <v>2</v>
      </c>
      <c r="K795" s="5">
        <v>26.34</v>
      </c>
      <c r="L795" s="6">
        <v>0.1</v>
      </c>
      <c r="M795" s="5">
        <v>47.41</v>
      </c>
      <c r="P795" t="str">
        <f>TEXT(Tableau2[[#This Row],[Date]],"mmmm aaaa")</f>
        <v>novembre 2026</v>
      </c>
    </row>
    <row r="796" spans="1:16">
      <c r="A796" s="2" t="s">
        <v>883</v>
      </c>
      <c r="B796" s="3">
        <v>46372</v>
      </c>
      <c r="C796" s="2" t="s">
        <v>47</v>
      </c>
      <c r="D796" s="2" t="s">
        <v>15</v>
      </c>
      <c r="E796" s="2" t="s">
        <v>43</v>
      </c>
      <c r="F796" s="2" t="s">
        <v>28</v>
      </c>
      <c r="G796" s="2" t="s">
        <v>18</v>
      </c>
      <c r="H796" s="2" t="s">
        <v>158</v>
      </c>
      <c r="I796" s="2" t="s">
        <v>75</v>
      </c>
      <c r="J796" s="4">
        <v>6</v>
      </c>
      <c r="K796" s="5">
        <v>42.4</v>
      </c>
      <c r="L796" s="6">
        <v>0</v>
      </c>
      <c r="M796" s="5">
        <v>254.4</v>
      </c>
      <c r="P796" t="str">
        <f>TEXT(Tableau2[[#This Row],[Date]],"mmmm aaaa")</f>
        <v>décembre 2026</v>
      </c>
    </row>
    <row r="797" spans="1:16">
      <c r="A797" s="2" t="s">
        <v>884</v>
      </c>
      <c r="B797" s="3">
        <v>46073</v>
      </c>
      <c r="C797" s="2" t="s">
        <v>156</v>
      </c>
      <c r="D797" s="2" t="s">
        <v>15</v>
      </c>
      <c r="E797" s="2" t="s">
        <v>43</v>
      </c>
      <c r="F797" s="2" t="s">
        <v>17</v>
      </c>
      <c r="G797" s="2" t="s">
        <v>48</v>
      </c>
      <c r="H797" s="2" t="s">
        <v>84</v>
      </c>
      <c r="I797" s="2" t="s">
        <v>75</v>
      </c>
      <c r="J797" s="4">
        <v>6</v>
      </c>
      <c r="K797" s="5">
        <v>91.11</v>
      </c>
      <c r="L797" s="6">
        <v>0</v>
      </c>
      <c r="M797" s="5">
        <v>546.66</v>
      </c>
      <c r="P797" t="str">
        <f>TEXT(Tableau2[[#This Row],[Date]],"mmmm aaaa")</f>
        <v>février 2026</v>
      </c>
    </row>
    <row r="798" spans="1:16">
      <c r="A798" s="2" t="s">
        <v>885</v>
      </c>
      <c r="B798" s="3">
        <v>46179</v>
      </c>
      <c r="C798" s="2" t="s">
        <v>22</v>
      </c>
      <c r="D798" s="2" t="s">
        <v>23</v>
      </c>
      <c r="E798" s="2" t="s">
        <v>16</v>
      </c>
      <c r="F798" s="2" t="s">
        <v>17</v>
      </c>
      <c r="G798" s="2" t="s">
        <v>48</v>
      </c>
      <c r="H798" s="2" t="s">
        <v>77</v>
      </c>
      <c r="I798" s="2" t="s">
        <v>36</v>
      </c>
      <c r="J798" s="4">
        <v>2</v>
      </c>
      <c r="K798" s="5">
        <v>89.08</v>
      </c>
      <c r="L798" s="6">
        <v>0</v>
      </c>
      <c r="M798" s="5">
        <v>178.16</v>
      </c>
      <c r="P798" t="str">
        <f>TEXT(Tableau2[[#This Row],[Date]],"mmmm aaaa")</f>
        <v>juin 2026</v>
      </c>
    </row>
    <row r="799" spans="1:16">
      <c r="A799" s="2" t="s">
        <v>886</v>
      </c>
      <c r="B799" s="3">
        <v>46355</v>
      </c>
      <c r="C799" s="2" t="s">
        <v>22</v>
      </c>
      <c r="D799" s="2" t="s">
        <v>23</v>
      </c>
      <c r="E799" s="2" t="s">
        <v>38</v>
      </c>
      <c r="F799" s="2" t="s">
        <v>17</v>
      </c>
      <c r="G799" s="2" t="s">
        <v>39</v>
      </c>
      <c r="H799" s="2" t="s">
        <v>40</v>
      </c>
      <c r="I799" s="2" t="s">
        <v>50</v>
      </c>
      <c r="J799" s="4">
        <v>2</v>
      </c>
      <c r="K799" s="5">
        <v>134.09</v>
      </c>
      <c r="L799" s="6">
        <v>0</v>
      </c>
      <c r="M799" s="5">
        <v>268.18</v>
      </c>
      <c r="P799" t="str">
        <f>TEXT(Tableau2[[#This Row],[Date]],"mmmm aaaa")</f>
        <v>novembre 2026</v>
      </c>
    </row>
    <row r="800" spans="1:16">
      <c r="A800" s="2" t="s">
        <v>887</v>
      </c>
      <c r="B800" s="3">
        <v>46194</v>
      </c>
      <c r="C800" s="2" t="s">
        <v>57</v>
      </c>
      <c r="D800" s="2" t="s">
        <v>15</v>
      </c>
      <c r="E800" s="2" t="s">
        <v>16</v>
      </c>
      <c r="F800" s="2" t="s">
        <v>28</v>
      </c>
      <c r="G800" s="2" t="s">
        <v>39</v>
      </c>
      <c r="H800" s="2" t="s">
        <v>95</v>
      </c>
      <c r="I800" s="2" t="s">
        <v>41</v>
      </c>
      <c r="J800" s="4">
        <v>7</v>
      </c>
      <c r="K800" s="5">
        <v>101.54</v>
      </c>
      <c r="L800" s="6">
        <v>0</v>
      </c>
      <c r="M800" s="5">
        <v>710.78</v>
      </c>
      <c r="P800" t="str">
        <f>TEXT(Tableau2[[#This Row],[Date]],"mmmm aaaa")</f>
        <v>juin 2026</v>
      </c>
    </row>
    <row r="801" spans="1:16">
      <c r="A801" s="2" t="s">
        <v>888</v>
      </c>
      <c r="B801" s="3">
        <v>46027</v>
      </c>
      <c r="C801" s="2" t="s">
        <v>94</v>
      </c>
      <c r="D801" s="2" t="s">
        <v>15</v>
      </c>
      <c r="E801" s="2" t="s">
        <v>43</v>
      </c>
      <c r="F801" s="2" t="s">
        <v>28</v>
      </c>
      <c r="G801" s="2" t="s">
        <v>48</v>
      </c>
      <c r="H801" s="2" t="s">
        <v>49</v>
      </c>
      <c r="I801" s="2" t="s">
        <v>58</v>
      </c>
      <c r="J801" s="4">
        <v>1</v>
      </c>
      <c r="K801" s="5">
        <v>61.62</v>
      </c>
      <c r="L801" s="6">
        <v>0</v>
      </c>
      <c r="M801" s="5">
        <v>61.62</v>
      </c>
      <c r="P801" t="str">
        <f>TEXT(Tableau2[[#This Row],[Date]],"mmmm aaaa")</f>
        <v>janvier 2026</v>
      </c>
    </row>
    <row r="802" spans="1:16">
      <c r="A802" s="2" t="s">
        <v>889</v>
      </c>
      <c r="B802" s="3">
        <v>46032</v>
      </c>
      <c r="C802" s="2" t="s">
        <v>57</v>
      </c>
      <c r="D802" s="2" t="s">
        <v>15</v>
      </c>
      <c r="E802" s="2" t="s">
        <v>16</v>
      </c>
      <c r="F802" s="2" t="s">
        <v>17</v>
      </c>
      <c r="G802" s="2" t="s">
        <v>48</v>
      </c>
      <c r="H802" s="2" t="s">
        <v>49</v>
      </c>
      <c r="I802" s="2" t="s">
        <v>41</v>
      </c>
      <c r="J802" s="4">
        <v>3</v>
      </c>
      <c r="K802" s="5">
        <v>56.37</v>
      </c>
      <c r="L802" s="6">
        <v>0.05</v>
      </c>
      <c r="M802" s="5">
        <v>160.65</v>
      </c>
      <c r="P802" t="str">
        <f>TEXT(Tableau2[[#This Row],[Date]],"mmmm aaaa")</f>
        <v>janvier 2026</v>
      </c>
    </row>
    <row r="803" spans="1:16">
      <c r="A803" s="2" t="s">
        <v>890</v>
      </c>
      <c r="B803" s="3">
        <v>46269</v>
      </c>
      <c r="C803" s="2" t="s">
        <v>106</v>
      </c>
      <c r="D803" s="2" t="s">
        <v>23</v>
      </c>
      <c r="E803" s="2" t="s">
        <v>16</v>
      </c>
      <c r="F803" s="2" t="s">
        <v>17</v>
      </c>
      <c r="G803" s="2" t="s">
        <v>24</v>
      </c>
      <c r="H803" s="2" t="s">
        <v>35</v>
      </c>
      <c r="I803" s="2" t="s">
        <v>36</v>
      </c>
      <c r="J803" s="4">
        <v>4</v>
      </c>
      <c r="K803" s="5">
        <v>179.11</v>
      </c>
      <c r="L803" s="6">
        <v>0</v>
      </c>
      <c r="M803" s="5">
        <v>716.44</v>
      </c>
      <c r="P803" t="str">
        <f>TEXT(Tableau2[[#This Row],[Date]],"mmmm aaaa")</f>
        <v>septembre 2026</v>
      </c>
    </row>
    <row r="804" spans="1:16">
      <c r="A804" s="2" t="s">
        <v>891</v>
      </c>
      <c r="B804" s="3">
        <v>46240</v>
      </c>
      <c r="C804" s="2" t="s">
        <v>63</v>
      </c>
      <c r="D804" s="2" t="s">
        <v>33</v>
      </c>
      <c r="E804" s="2" t="s">
        <v>16</v>
      </c>
      <c r="F804" s="2" t="s">
        <v>28</v>
      </c>
      <c r="G804" s="2" t="s">
        <v>18</v>
      </c>
      <c r="H804" s="2" t="s">
        <v>143</v>
      </c>
      <c r="I804" s="2" t="s">
        <v>75</v>
      </c>
      <c r="J804" s="4">
        <v>6</v>
      </c>
      <c r="K804" s="5">
        <v>70.87</v>
      </c>
      <c r="L804" s="6">
        <v>0</v>
      </c>
      <c r="M804" s="5">
        <v>425.22</v>
      </c>
      <c r="P804" t="str">
        <f>TEXT(Tableau2[[#This Row],[Date]],"mmmm aaaa")</f>
        <v>août 2026</v>
      </c>
    </row>
    <row r="805" spans="1:16">
      <c r="A805" s="2" t="s">
        <v>892</v>
      </c>
      <c r="B805" s="3">
        <v>46149</v>
      </c>
      <c r="C805" s="2" t="s">
        <v>79</v>
      </c>
      <c r="D805" s="2" t="s">
        <v>33</v>
      </c>
      <c r="E805" s="2" t="s">
        <v>43</v>
      </c>
      <c r="F805" s="2" t="s">
        <v>17</v>
      </c>
      <c r="G805" s="2" t="s">
        <v>48</v>
      </c>
      <c r="H805" s="2" t="s">
        <v>88</v>
      </c>
      <c r="I805" s="2" t="s">
        <v>58</v>
      </c>
      <c r="J805" s="4">
        <v>4</v>
      </c>
      <c r="K805" s="5">
        <v>79.19</v>
      </c>
      <c r="L805" s="6">
        <v>0.2</v>
      </c>
      <c r="M805" s="5">
        <v>253.41</v>
      </c>
      <c r="P805" t="str">
        <f>TEXT(Tableau2[[#This Row],[Date]],"mmmm aaaa")</f>
        <v>mai 2026</v>
      </c>
    </row>
    <row r="806" spans="1:16">
      <c r="A806" s="2" t="s">
        <v>893</v>
      </c>
      <c r="B806" s="3">
        <v>46272</v>
      </c>
      <c r="C806" s="2" t="s">
        <v>66</v>
      </c>
      <c r="D806" s="2" t="s">
        <v>23</v>
      </c>
      <c r="E806" s="2" t="s">
        <v>34</v>
      </c>
      <c r="F806" s="2" t="s">
        <v>28</v>
      </c>
      <c r="G806" s="2" t="s">
        <v>18</v>
      </c>
      <c r="H806" s="2" t="s">
        <v>143</v>
      </c>
      <c r="I806" s="2" t="s">
        <v>50</v>
      </c>
      <c r="J806" s="4">
        <v>5</v>
      </c>
      <c r="K806" s="5">
        <v>67.42</v>
      </c>
      <c r="L806" s="6">
        <v>0</v>
      </c>
      <c r="M806" s="5">
        <v>337.1</v>
      </c>
      <c r="P806" t="str">
        <f>TEXT(Tableau2[[#This Row],[Date]],"mmmm aaaa")</f>
        <v>septembre 2026</v>
      </c>
    </row>
    <row r="807" spans="1:16">
      <c r="A807" s="2" t="s">
        <v>894</v>
      </c>
      <c r="B807" s="3">
        <v>46283</v>
      </c>
      <c r="C807" s="2" t="s">
        <v>130</v>
      </c>
      <c r="D807" s="2" t="s">
        <v>53</v>
      </c>
      <c r="E807" s="2" t="s">
        <v>16</v>
      </c>
      <c r="F807" s="2" t="s">
        <v>17</v>
      </c>
      <c r="G807" s="2" t="s">
        <v>18</v>
      </c>
      <c r="H807" s="2" t="s">
        <v>143</v>
      </c>
      <c r="I807" s="2" t="s">
        <v>26</v>
      </c>
      <c r="J807" s="4">
        <v>2</v>
      </c>
      <c r="K807" s="5">
        <v>69.55</v>
      </c>
      <c r="L807" s="6">
        <v>0.1</v>
      </c>
      <c r="M807" s="5">
        <v>125.19</v>
      </c>
      <c r="P807" t="str">
        <f>TEXT(Tableau2[[#This Row],[Date]],"mmmm aaaa")</f>
        <v>septembre 2026</v>
      </c>
    </row>
    <row r="808" spans="1:16">
      <c r="A808" s="2" t="s">
        <v>895</v>
      </c>
      <c r="B808" s="3">
        <v>46317</v>
      </c>
      <c r="C808" s="2" t="s">
        <v>79</v>
      </c>
      <c r="D808" s="2" t="s">
        <v>33</v>
      </c>
      <c r="E808" s="2" t="s">
        <v>34</v>
      </c>
      <c r="F808" s="2" t="s">
        <v>17</v>
      </c>
      <c r="G808" s="2" t="s">
        <v>39</v>
      </c>
      <c r="H808" s="2" t="s">
        <v>95</v>
      </c>
      <c r="I808" s="2" t="s">
        <v>50</v>
      </c>
      <c r="J808" s="4">
        <v>10</v>
      </c>
      <c r="K808" s="5">
        <v>94.97</v>
      </c>
      <c r="L808" s="6">
        <v>0.3</v>
      </c>
      <c r="M808" s="5">
        <v>664.79</v>
      </c>
      <c r="P808" t="str">
        <f>TEXT(Tableau2[[#This Row],[Date]],"mmmm aaaa")</f>
        <v>octobre 2026</v>
      </c>
    </row>
    <row r="809" spans="1:16">
      <c r="A809" s="2" t="s">
        <v>896</v>
      </c>
      <c r="B809" s="3">
        <v>46149</v>
      </c>
      <c r="C809" s="2" t="s">
        <v>160</v>
      </c>
      <c r="D809" s="2" t="s">
        <v>33</v>
      </c>
      <c r="E809" s="2" t="s">
        <v>34</v>
      </c>
      <c r="F809" s="2" t="s">
        <v>28</v>
      </c>
      <c r="G809" s="2" t="s">
        <v>48</v>
      </c>
      <c r="H809" s="2" t="s">
        <v>49</v>
      </c>
      <c r="I809" s="2" t="s">
        <v>75</v>
      </c>
      <c r="J809" s="4">
        <v>2</v>
      </c>
      <c r="K809" s="5">
        <v>58.56</v>
      </c>
      <c r="L809" s="6">
        <v>0</v>
      </c>
      <c r="M809" s="5">
        <v>117.12</v>
      </c>
      <c r="P809" t="str">
        <f>TEXT(Tableau2[[#This Row],[Date]],"mmmm aaaa")</f>
        <v>mai 2026</v>
      </c>
    </row>
    <row r="810" spans="1:16">
      <c r="A810" s="2" t="s">
        <v>897</v>
      </c>
      <c r="B810" s="3">
        <v>46216</v>
      </c>
      <c r="C810" s="2" t="s">
        <v>116</v>
      </c>
      <c r="D810" s="2" t="s">
        <v>15</v>
      </c>
      <c r="E810" s="2" t="s">
        <v>16</v>
      </c>
      <c r="F810" s="2" t="s">
        <v>17</v>
      </c>
      <c r="G810" s="2" t="s">
        <v>24</v>
      </c>
      <c r="H810" s="2" t="s">
        <v>35</v>
      </c>
      <c r="I810" s="2" t="s">
        <v>26</v>
      </c>
      <c r="J810" s="4">
        <v>5</v>
      </c>
      <c r="K810" s="5">
        <v>167.32</v>
      </c>
      <c r="L810" s="6">
        <v>0.15</v>
      </c>
      <c r="M810" s="5">
        <v>711.11</v>
      </c>
      <c r="P810" t="str">
        <f>TEXT(Tableau2[[#This Row],[Date]],"mmmm aaaa")</f>
        <v>juillet 2026</v>
      </c>
    </row>
    <row r="811" spans="1:16">
      <c r="A811" s="2" t="s">
        <v>898</v>
      </c>
      <c r="B811" s="3">
        <v>46110</v>
      </c>
      <c r="C811" s="2" t="s">
        <v>101</v>
      </c>
      <c r="D811" s="2" t="s">
        <v>33</v>
      </c>
      <c r="E811" s="2" t="s">
        <v>34</v>
      </c>
      <c r="F811" s="2" t="s">
        <v>17</v>
      </c>
      <c r="G811" s="2" t="s">
        <v>39</v>
      </c>
      <c r="H811" s="2" t="s">
        <v>95</v>
      </c>
      <c r="I811" s="2" t="s">
        <v>45</v>
      </c>
      <c r="J811" s="4">
        <v>2</v>
      </c>
      <c r="K811" s="5">
        <v>93.98</v>
      </c>
      <c r="L811" s="6">
        <v>0</v>
      </c>
      <c r="M811" s="5">
        <v>187.96</v>
      </c>
      <c r="P811" t="str">
        <f>TEXT(Tableau2[[#This Row],[Date]],"mmmm aaaa")</f>
        <v>mars 2026</v>
      </c>
    </row>
    <row r="812" spans="1:16">
      <c r="A812" s="2" t="s">
        <v>899</v>
      </c>
      <c r="B812" s="3">
        <v>46372</v>
      </c>
      <c r="C812" s="2" t="s">
        <v>119</v>
      </c>
      <c r="D812" s="2" t="s">
        <v>15</v>
      </c>
      <c r="E812" s="2" t="s">
        <v>16</v>
      </c>
      <c r="F812" s="2" t="s">
        <v>17</v>
      </c>
      <c r="G812" s="2" t="s">
        <v>48</v>
      </c>
      <c r="H812" s="2" t="s">
        <v>49</v>
      </c>
      <c r="I812" s="2" t="s">
        <v>75</v>
      </c>
      <c r="J812" s="4">
        <v>6</v>
      </c>
      <c r="K812" s="5">
        <v>55.44</v>
      </c>
      <c r="L812" s="6">
        <v>0.15</v>
      </c>
      <c r="M812" s="5">
        <v>282.74</v>
      </c>
      <c r="P812" t="str">
        <f>TEXT(Tableau2[[#This Row],[Date]],"mmmm aaaa")</f>
        <v>décembre 2026</v>
      </c>
    </row>
    <row r="813" spans="1:16">
      <c r="A813" s="2" t="s">
        <v>900</v>
      </c>
      <c r="B813" s="3">
        <v>46187</v>
      </c>
      <c r="C813" s="2" t="s">
        <v>32</v>
      </c>
      <c r="D813" s="2" t="s">
        <v>33</v>
      </c>
      <c r="E813" s="2" t="s">
        <v>38</v>
      </c>
      <c r="F813" s="2" t="s">
        <v>28</v>
      </c>
      <c r="G813" s="2" t="s">
        <v>48</v>
      </c>
      <c r="H813" s="2" t="s">
        <v>84</v>
      </c>
      <c r="I813" s="2" t="s">
        <v>45</v>
      </c>
      <c r="J813" s="4">
        <v>1</v>
      </c>
      <c r="K813" s="5">
        <v>94.81</v>
      </c>
      <c r="L813" s="6">
        <v>0</v>
      </c>
      <c r="M813" s="5">
        <v>94.81</v>
      </c>
      <c r="P813" t="str">
        <f>TEXT(Tableau2[[#This Row],[Date]],"mmmm aaaa")</f>
        <v>juin 2026</v>
      </c>
    </row>
    <row r="814" spans="1:16">
      <c r="A814" s="2" t="s">
        <v>901</v>
      </c>
      <c r="B814" s="3">
        <v>46342</v>
      </c>
      <c r="C814" s="2" t="s">
        <v>101</v>
      </c>
      <c r="D814" s="2" t="s">
        <v>33</v>
      </c>
      <c r="E814" s="2" t="s">
        <v>34</v>
      </c>
      <c r="F814" s="2" t="s">
        <v>17</v>
      </c>
      <c r="G814" s="2" t="s">
        <v>24</v>
      </c>
      <c r="H814" s="2" t="s">
        <v>25</v>
      </c>
      <c r="I814" s="2" t="s">
        <v>20</v>
      </c>
      <c r="J814" s="4">
        <v>2</v>
      </c>
      <c r="K814" s="5">
        <v>125.11</v>
      </c>
      <c r="L814" s="6">
        <v>0.05</v>
      </c>
      <c r="M814" s="5">
        <v>237.71</v>
      </c>
      <c r="P814" t="str">
        <f>TEXT(Tableau2[[#This Row],[Date]],"mmmm aaaa")</f>
        <v>novembre 2026</v>
      </c>
    </row>
    <row r="815" spans="1:16">
      <c r="A815" s="2" t="s">
        <v>902</v>
      </c>
      <c r="B815" s="3">
        <v>46130</v>
      </c>
      <c r="C815" s="2" t="s">
        <v>47</v>
      </c>
      <c r="D815" s="2" t="s">
        <v>15</v>
      </c>
      <c r="E815" s="2" t="s">
        <v>16</v>
      </c>
      <c r="F815" s="2" t="s">
        <v>17</v>
      </c>
      <c r="G815" s="2" t="s">
        <v>48</v>
      </c>
      <c r="H815" s="2" t="s">
        <v>77</v>
      </c>
      <c r="I815" s="2" t="s">
        <v>36</v>
      </c>
      <c r="J815" s="4">
        <v>3</v>
      </c>
      <c r="K815" s="5">
        <v>81.3</v>
      </c>
      <c r="L815" s="6">
        <v>0</v>
      </c>
      <c r="M815" s="5">
        <v>243.9</v>
      </c>
      <c r="P815" t="str">
        <f>TEXT(Tableau2[[#This Row],[Date]],"mmmm aaaa")</f>
        <v>avril 2026</v>
      </c>
    </row>
    <row r="816" spans="1:16">
      <c r="A816" s="2" t="s">
        <v>903</v>
      </c>
      <c r="B816" s="3">
        <v>46331</v>
      </c>
      <c r="C816" s="2" t="s">
        <v>32</v>
      </c>
      <c r="D816" s="2" t="s">
        <v>33</v>
      </c>
      <c r="E816" s="2" t="s">
        <v>43</v>
      </c>
      <c r="F816" s="2" t="s">
        <v>28</v>
      </c>
      <c r="G816" s="2" t="s">
        <v>18</v>
      </c>
      <c r="H816" s="2" t="s">
        <v>136</v>
      </c>
      <c r="I816" s="2" t="s">
        <v>20</v>
      </c>
      <c r="J816" s="4">
        <v>6</v>
      </c>
      <c r="K816" s="5">
        <v>34.07</v>
      </c>
      <c r="L816" s="6">
        <v>0</v>
      </c>
      <c r="M816" s="5">
        <v>204.42</v>
      </c>
      <c r="P816" t="str">
        <f>TEXT(Tableau2[[#This Row],[Date]],"mmmm aaaa")</f>
        <v>novembre 2026</v>
      </c>
    </row>
    <row r="817" spans="1:16">
      <c r="A817" s="2" t="s">
        <v>904</v>
      </c>
      <c r="B817" s="3">
        <v>46236</v>
      </c>
      <c r="C817" s="2" t="s">
        <v>106</v>
      </c>
      <c r="D817" s="2" t="s">
        <v>23</v>
      </c>
      <c r="E817" s="2" t="s">
        <v>34</v>
      </c>
      <c r="F817" s="2" t="s">
        <v>17</v>
      </c>
      <c r="G817" s="2" t="s">
        <v>48</v>
      </c>
      <c r="H817" s="2" t="s">
        <v>77</v>
      </c>
      <c r="I817" s="2" t="s">
        <v>75</v>
      </c>
      <c r="J817" s="4">
        <v>6</v>
      </c>
      <c r="K817" s="5">
        <v>82.37</v>
      </c>
      <c r="L817" s="6">
        <v>0</v>
      </c>
      <c r="M817" s="5">
        <v>494.22</v>
      </c>
      <c r="P817" t="str">
        <f>TEXT(Tableau2[[#This Row],[Date]],"mmmm aaaa")</f>
        <v>août 2026</v>
      </c>
    </row>
    <row r="818" spans="1:16">
      <c r="A818" s="2" t="s">
        <v>905</v>
      </c>
      <c r="B818" s="3">
        <v>46093</v>
      </c>
      <c r="C818" s="2" t="s">
        <v>156</v>
      </c>
      <c r="D818" s="2" t="s">
        <v>15</v>
      </c>
      <c r="E818" s="2" t="s">
        <v>16</v>
      </c>
      <c r="F818" s="2" t="s">
        <v>17</v>
      </c>
      <c r="G818" s="2" t="s">
        <v>48</v>
      </c>
      <c r="H818" s="2" t="s">
        <v>49</v>
      </c>
      <c r="I818" s="2" t="s">
        <v>50</v>
      </c>
      <c r="J818" s="4">
        <v>1</v>
      </c>
      <c r="K818" s="5">
        <v>58.59</v>
      </c>
      <c r="L818" s="6">
        <v>0.05</v>
      </c>
      <c r="M818" s="5">
        <v>55.66</v>
      </c>
      <c r="P818" t="str">
        <f>TEXT(Tableau2[[#This Row],[Date]],"mmmm aaaa")</f>
        <v>mars 2026</v>
      </c>
    </row>
    <row r="819" spans="1:16">
      <c r="A819" s="2" t="s">
        <v>906</v>
      </c>
      <c r="B819" s="3">
        <v>46145</v>
      </c>
      <c r="C819" s="2" t="s">
        <v>123</v>
      </c>
      <c r="D819" s="2" t="s">
        <v>53</v>
      </c>
      <c r="E819" s="2" t="s">
        <v>16</v>
      </c>
      <c r="F819" s="2" t="s">
        <v>17</v>
      </c>
      <c r="G819" s="2" t="s">
        <v>48</v>
      </c>
      <c r="H819" s="2" t="s">
        <v>88</v>
      </c>
      <c r="I819" s="2" t="s">
        <v>41</v>
      </c>
      <c r="J819" s="4">
        <v>4</v>
      </c>
      <c r="K819" s="5">
        <v>76.39</v>
      </c>
      <c r="L819" s="6">
        <v>0</v>
      </c>
      <c r="M819" s="5">
        <v>305.56</v>
      </c>
      <c r="P819" t="str">
        <f>TEXT(Tableau2[[#This Row],[Date]],"mmmm aaaa")</f>
        <v>mai 2026</v>
      </c>
    </row>
    <row r="820" spans="1:16">
      <c r="A820" s="2" t="s">
        <v>907</v>
      </c>
      <c r="B820" s="3">
        <v>46090</v>
      </c>
      <c r="C820" s="2" t="s">
        <v>156</v>
      </c>
      <c r="D820" s="2" t="s">
        <v>15</v>
      </c>
      <c r="E820" s="2" t="s">
        <v>34</v>
      </c>
      <c r="F820" s="2" t="s">
        <v>28</v>
      </c>
      <c r="G820" s="2" t="s">
        <v>24</v>
      </c>
      <c r="H820" s="2" t="s">
        <v>25</v>
      </c>
      <c r="I820" s="2" t="s">
        <v>26</v>
      </c>
      <c r="J820" s="4">
        <v>4</v>
      </c>
      <c r="K820" s="5">
        <v>121.55</v>
      </c>
      <c r="L820" s="6">
        <v>0</v>
      </c>
      <c r="M820" s="5">
        <v>486.2</v>
      </c>
      <c r="P820" t="str">
        <f>TEXT(Tableau2[[#This Row],[Date]],"mmmm aaaa")</f>
        <v>mars 2026</v>
      </c>
    </row>
    <row r="821" spans="1:16">
      <c r="A821" s="2" t="s">
        <v>908</v>
      </c>
      <c r="B821" s="3">
        <v>46327</v>
      </c>
      <c r="C821" s="2" t="s">
        <v>441</v>
      </c>
      <c r="D821" s="2" t="s">
        <v>23</v>
      </c>
      <c r="E821" s="2" t="s">
        <v>34</v>
      </c>
      <c r="F821" s="2" t="s">
        <v>28</v>
      </c>
      <c r="G821" s="2" t="s">
        <v>39</v>
      </c>
      <c r="H821" s="2" t="s">
        <v>40</v>
      </c>
      <c r="I821" s="2" t="s">
        <v>26</v>
      </c>
      <c r="J821" s="4">
        <v>13</v>
      </c>
      <c r="K821" s="5">
        <v>139.22999999999999</v>
      </c>
      <c r="L821" s="6">
        <v>0</v>
      </c>
      <c r="M821" s="5">
        <v>1809.99</v>
      </c>
      <c r="P821" t="str">
        <f>TEXT(Tableau2[[#This Row],[Date]],"mmmm aaaa")</f>
        <v>novembre 2026</v>
      </c>
    </row>
    <row r="822" spans="1:16">
      <c r="A822" s="2" t="s">
        <v>909</v>
      </c>
      <c r="B822" s="3">
        <v>46174</v>
      </c>
      <c r="C822" s="2" t="s">
        <v>32</v>
      </c>
      <c r="D822" s="2" t="s">
        <v>33</v>
      </c>
      <c r="E822" s="2" t="s">
        <v>34</v>
      </c>
      <c r="F822" s="2" t="s">
        <v>17</v>
      </c>
      <c r="G822" s="2" t="s">
        <v>54</v>
      </c>
      <c r="H822" s="2" t="s">
        <v>55</v>
      </c>
      <c r="I822" s="2" t="s">
        <v>20</v>
      </c>
      <c r="J822" s="4">
        <v>1</v>
      </c>
      <c r="K822" s="5">
        <v>154.15</v>
      </c>
      <c r="L822" s="6">
        <v>0</v>
      </c>
      <c r="M822" s="5">
        <v>154.15</v>
      </c>
      <c r="P822" t="str">
        <f>TEXT(Tableau2[[#This Row],[Date]],"mmmm aaaa")</f>
        <v>juin 2026</v>
      </c>
    </row>
    <row r="823" spans="1:16">
      <c r="A823" s="2" t="s">
        <v>910</v>
      </c>
      <c r="B823" s="3">
        <v>46081</v>
      </c>
      <c r="C823" s="2" t="s">
        <v>123</v>
      </c>
      <c r="D823" s="2" t="s">
        <v>53</v>
      </c>
      <c r="E823" s="2" t="s">
        <v>34</v>
      </c>
      <c r="F823" s="2" t="s">
        <v>17</v>
      </c>
      <c r="G823" s="2" t="s">
        <v>18</v>
      </c>
      <c r="H823" s="2" t="s">
        <v>158</v>
      </c>
      <c r="I823" s="2" t="s">
        <v>36</v>
      </c>
      <c r="J823" s="4">
        <v>3</v>
      </c>
      <c r="K823" s="5">
        <v>45.69</v>
      </c>
      <c r="L823" s="6">
        <v>0</v>
      </c>
      <c r="M823" s="5">
        <v>137.07</v>
      </c>
      <c r="P823" t="str">
        <f>TEXT(Tableau2[[#This Row],[Date]],"mmmm aaaa")</f>
        <v>février 2026</v>
      </c>
    </row>
    <row r="824" spans="1:16">
      <c r="A824" s="2" t="s">
        <v>911</v>
      </c>
      <c r="B824" s="3">
        <v>46049</v>
      </c>
      <c r="C824" s="2" t="s">
        <v>92</v>
      </c>
      <c r="D824" s="2" t="s">
        <v>53</v>
      </c>
      <c r="E824" s="2" t="s">
        <v>34</v>
      </c>
      <c r="F824" s="2" t="s">
        <v>17</v>
      </c>
      <c r="G824" s="2" t="s">
        <v>24</v>
      </c>
      <c r="H824" s="2" t="s">
        <v>25</v>
      </c>
      <c r="I824" s="2" t="s">
        <v>20</v>
      </c>
      <c r="J824" s="4">
        <v>1</v>
      </c>
      <c r="K824" s="5">
        <v>138.15</v>
      </c>
      <c r="L824" s="6">
        <v>0.05</v>
      </c>
      <c r="M824" s="5">
        <v>131.24</v>
      </c>
      <c r="P824" t="str">
        <f>TEXT(Tableau2[[#This Row],[Date]],"mmmm aaaa")</f>
        <v>janvier 2026</v>
      </c>
    </row>
    <row r="825" spans="1:16">
      <c r="A825" s="2" t="s">
        <v>912</v>
      </c>
      <c r="B825" s="3">
        <v>46129</v>
      </c>
      <c r="C825" s="2" t="s">
        <v>156</v>
      </c>
      <c r="D825" s="2" t="s">
        <v>15</v>
      </c>
      <c r="E825" s="2" t="s">
        <v>34</v>
      </c>
      <c r="F825" s="2" t="s">
        <v>28</v>
      </c>
      <c r="G825" s="2" t="s">
        <v>18</v>
      </c>
      <c r="H825" s="2" t="s">
        <v>19</v>
      </c>
      <c r="I825" s="2" t="s">
        <v>50</v>
      </c>
      <c r="J825" s="4">
        <v>2</v>
      </c>
      <c r="K825" s="5">
        <v>57.04</v>
      </c>
      <c r="L825" s="6">
        <v>0</v>
      </c>
      <c r="M825" s="5">
        <v>114.08</v>
      </c>
      <c r="P825" t="str">
        <f>TEXT(Tableau2[[#This Row],[Date]],"mmmm aaaa")</f>
        <v>avril 2026</v>
      </c>
    </row>
    <row r="826" spans="1:16">
      <c r="A826" s="2" t="s">
        <v>913</v>
      </c>
      <c r="B826" s="3">
        <v>46157</v>
      </c>
      <c r="C826" s="2" t="s">
        <v>151</v>
      </c>
      <c r="D826" s="2" t="s">
        <v>15</v>
      </c>
      <c r="E826" s="2" t="s">
        <v>38</v>
      </c>
      <c r="F826" s="2" t="s">
        <v>17</v>
      </c>
      <c r="G826" s="2" t="s">
        <v>39</v>
      </c>
      <c r="H826" s="2" t="s">
        <v>71</v>
      </c>
      <c r="I826" s="2" t="s">
        <v>45</v>
      </c>
      <c r="J826" s="4">
        <v>3</v>
      </c>
      <c r="K826" s="5">
        <v>111.94</v>
      </c>
      <c r="L826" s="6">
        <v>0</v>
      </c>
      <c r="M826" s="5">
        <v>335.82</v>
      </c>
      <c r="P826" t="str">
        <f>TEXT(Tableau2[[#This Row],[Date]],"mmmm aaaa")</f>
        <v>mai 2026</v>
      </c>
    </row>
    <row r="827" spans="1:16">
      <c r="A827" s="2" t="s">
        <v>914</v>
      </c>
      <c r="B827" s="3">
        <v>46093</v>
      </c>
      <c r="C827" s="2" t="s">
        <v>92</v>
      </c>
      <c r="D827" s="2" t="s">
        <v>53</v>
      </c>
      <c r="E827" s="2" t="s">
        <v>16</v>
      </c>
      <c r="F827" s="2" t="s">
        <v>17</v>
      </c>
      <c r="G827" s="2" t="s">
        <v>24</v>
      </c>
      <c r="H827" s="2" t="s">
        <v>61</v>
      </c>
      <c r="I827" s="2" t="s">
        <v>75</v>
      </c>
      <c r="J827" s="4">
        <v>4</v>
      </c>
      <c r="K827" s="5">
        <v>223.6</v>
      </c>
      <c r="L827" s="6">
        <v>0</v>
      </c>
      <c r="M827" s="5">
        <v>894.4</v>
      </c>
      <c r="P827" t="str">
        <f>TEXT(Tableau2[[#This Row],[Date]],"mmmm aaaa")</f>
        <v>mars 2026</v>
      </c>
    </row>
    <row r="828" spans="1:16">
      <c r="A828" s="2" t="s">
        <v>915</v>
      </c>
      <c r="B828" s="3">
        <v>46041</v>
      </c>
      <c r="C828" s="2" t="s">
        <v>156</v>
      </c>
      <c r="D828" s="2" t="s">
        <v>15</v>
      </c>
      <c r="E828" s="2" t="s">
        <v>16</v>
      </c>
      <c r="F828" s="2" t="s">
        <v>17</v>
      </c>
      <c r="G828" s="2" t="s">
        <v>54</v>
      </c>
      <c r="H828" s="2" t="s">
        <v>64</v>
      </c>
      <c r="I828" s="2" t="s">
        <v>41</v>
      </c>
      <c r="J828" s="4">
        <v>1</v>
      </c>
      <c r="K828" s="5">
        <v>85.19</v>
      </c>
      <c r="L828" s="6">
        <v>0</v>
      </c>
      <c r="M828" s="5">
        <v>85.19</v>
      </c>
      <c r="P828" t="str">
        <f>TEXT(Tableau2[[#This Row],[Date]],"mmmm aaaa")</f>
        <v>janvier 2026</v>
      </c>
    </row>
    <row r="829" spans="1:16">
      <c r="A829" s="2" t="s">
        <v>916</v>
      </c>
      <c r="B829" s="3">
        <v>46128</v>
      </c>
      <c r="C829" s="2" t="s">
        <v>130</v>
      </c>
      <c r="D829" s="2" t="s">
        <v>53</v>
      </c>
      <c r="E829" s="2" t="s">
        <v>34</v>
      </c>
      <c r="F829" s="2" t="s">
        <v>17</v>
      </c>
      <c r="G829" s="2" t="s">
        <v>18</v>
      </c>
      <c r="H829" s="2" t="s">
        <v>19</v>
      </c>
      <c r="I829" s="2" t="s">
        <v>41</v>
      </c>
      <c r="J829" s="4">
        <v>3</v>
      </c>
      <c r="K829" s="5">
        <v>57.21</v>
      </c>
      <c r="L829" s="6">
        <v>0.3</v>
      </c>
      <c r="M829" s="5">
        <v>120.14</v>
      </c>
      <c r="P829" t="str">
        <f>TEXT(Tableau2[[#This Row],[Date]],"mmmm aaaa")</f>
        <v>avril 2026</v>
      </c>
    </row>
    <row r="830" spans="1:16">
      <c r="A830" s="2" t="s">
        <v>917</v>
      </c>
      <c r="B830" s="3">
        <v>46148</v>
      </c>
      <c r="C830" s="2" t="s">
        <v>178</v>
      </c>
      <c r="D830" s="2" t="s">
        <v>15</v>
      </c>
      <c r="E830" s="2" t="s">
        <v>34</v>
      </c>
      <c r="F830" s="2" t="s">
        <v>28</v>
      </c>
      <c r="G830" s="2" t="s">
        <v>24</v>
      </c>
      <c r="H830" s="2" t="s">
        <v>82</v>
      </c>
      <c r="I830" s="2" t="s">
        <v>41</v>
      </c>
      <c r="J830" s="4">
        <v>2</v>
      </c>
      <c r="K830" s="5">
        <v>308.62</v>
      </c>
      <c r="L830" s="6">
        <v>0</v>
      </c>
      <c r="M830" s="5">
        <v>617.24</v>
      </c>
      <c r="P830" t="str">
        <f>TEXT(Tableau2[[#This Row],[Date]],"mmmm aaaa")</f>
        <v>mai 2026</v>
      </c>
    </row>
    <row r="831" spans="1:16">
      <c r="A831" s="2" t="s">
        <v>918</v>
      </c>
      <c r="B831" s="3">
        <v>46368</v>
      </c>
      <c r="C831" s="2" t="s">
        <v>151</v>
      </c>
      <c r="D831" s="2" t="s">
        <v>15</v>
      </c>
      <c r="E831" s="2" t="s">
        <v>34</v>
      </c>
      <c r="F831" s="2" t="s">
        <v>28</v>
      </c>
      <c r="G831" s="2" t="s">
        <v>54</v>
      </c>
      <c r="H831" s="2" t="s">
        <v>102</v>
      </c>
      <c r="I831" s="2" t="s">
        <v>58</v>
      </c>
      <c r="J831" s="4">
        <v>2</v>
      </c>
      <c r="K831" s="5">
        <v>229.52</v>
      </c>
      <c r="L831" s="6">
        <v>0</v>
      </c>
      <c r="M831" s="5">
        <v>459.04</v>
      </c>
      <c r="P831" t="str">
        <f>TEXT(Tableau2[[#This Row],[Date]],"mmmm aaaa")</f>
        <v>décembre 2026</v>
      </c>
    </row>
    <row r="832" spans="1:16">
      <c r="A832" s="2" t="s">
        <v>919</v>
      </c>
      <c r="B832" s="3">
        <v>46259</v>
      </c>
      <c r="C832" s="2" t="s">
        <v>57</v>
      </c>
      <c r="D832" s="2" t="s">
        <v>15</v>
      </c>
      <c r="E832" s="2" t="s">
        <v>38</v>
      </c>
      <c r="F832" s="2" t="s">
        <v>17</v>
      </c>
      <c r="G832" s="2" t="s">
        <v>18</v>
      </c>
      <c r="H832" s="2" t="s">
        <v>158</v>
      </c>
      <c r="I832" s="2" t="s">
        <v>41</v>
      </c>
      <c r="J832" s="4">
        <v>3</v>
      </c>
      <c r="K832" s="5">
        <v>46.89</v>
      </c>
      <c r="L832" s="6">
        <v>0.05</v>
      </c>
      <c r="M832" s="5">
        <v>133.63999999999999</v>
      </c>
      <c r="P832" t="str">
        <f>TEXT(Tableau2[[#This Row],[Date]],"mmmm aaaa")</f>
        <v>août 2026</v>
      </c>
    </row>
    <row r="833" spans="1:16">
      <c r="A833" s="2" t="s">
        <v>920</v>
      </c>
      <c r="B833" s="3">
        <v>46232</v>
      </c>
      <c r="C833" s="2" t="s">
        <v>60</v>
      </c>
      <c r="D833" s="2" t="s">
        <v>33</v>
      </c>
      <c r="E833" s="2" t="s">
        <v>16</v>
      </c>
      <c r="F833" s="2" t="s">
        <v>17</v>
      </c>
      <c r="G833" s="2" t="s">
        <v>24</v>
      </c>
      <c r="H833" s="2" t="s">
        <v>82</v>
      </c>
      <c r="I833" s="2" t="s">
        <v>58</v>
      </c>
      <c r="J833" s="4">
        <v>9</v>
      </c>
      <c r="K833" s="5">
        <v>282.16000000000003</v>
      </c>
      <c r="L833" s="6">
        <v>0</v>
      </c>
      <c r="M833" s="5">
        <v>2539.44</v>
      </c>
      <c r="P833" t="str">
        <f>TEXT(Tableau2[[#This Row],[Date]],"mmmm aaaa")</f>
        <v>juillet 2026</v>
      </c>
    </row>
    <row r="834" spans="1:16">
      <c r="A834" s="2" t="s">
        <v>921</v>
      </c>
      <c r="B834" s="3">
        <v>46182</v>
      </c>
      <c r="C834" s="2" t="s">
        <v>57</v>
      </c>
      <c r="D834" s="2" t="s">
        <v>15</v>
      </c>
      <c r="E834" s="2" t="s">
        <v>43</v>
      </c>
      <c r="F834" s="2" t="s">
        <v>17</v>
      </c>
      <c r="G834" s="2" t="s">
        <v>54</v>
      </c>
      <c r="H834" s="2" t="s">
        <v>55</v>
      </c>
      <c r="I834" s="2" t="s">
        <v>45</v>
      </c>
      <c r="J834" s="4">
        <v>13</v>
      </c>
      <c r="K834" s="5">
        <v>171.18</v>
      </c>
      <c r="L834" s="6">
        <v>0</v>
      </c>
      <c r="M834" s="5">
        <v>2225.34</v>
      </c>
      <c r="P834" t="str">
        <f>TEXT(Tableau2[[#This Row],[Date]],"mmmm aaaa")</f>
        <v>juin 2026</v>
      </c>
    </row>
    <row r="835" spans="1:16">
      <c r="A835" s="2" t="s">
        <v>922</v>
      </c>
      <c r="B835" s="3">
        <v>46114</v>
      </c>
      <c r="C835" s="2" t="s">
        <v>32</v>
      </c>
      <c r="D835" s="2" t="s">
        <v>33</v>
      </c>
      <c r="E835" s="2" t="s">
        <v>16</v>
      </c>
      <c r="F835" s="2" t="s">
        <v>17</v>
      </c>
      <c r="G835" s="2" t="s">
        <v>54</v>
      </c>
      <c r="H835" s="2" t="s">
        <v>64</v>
      </c>
      <c r="I835" s="2" t="s">
        <v>75</v>
      </c>
      <c r="J835" s="4">
        <v>5</v>
      </c>
      <c r="K835" s="5">
        <v>83.5</v>
      </c>
      <c r="L835" s="6">
        <v>0.15</v>
      </c>
      <c r="M835" s="5">
        <v>354.88</v>
      </c>
      <c r="P835" t="str">
        <f>TEXT(Tableau2[[#This Row],[Date]],"mmmm aaaa")</f>
        <v>avril 2026</v>
      </c>
    </row>
    <row r="836" spans="1:16">
      <c r="A836" s="2" t="s">
        <v>923</v>
      </c>
      <c r="B836" s="3">
        <v>46040</v>
      </c>
      <c r="C836" s="2" t="s">
        <v>134</v>
      </c>
      <c r="D836" s="2" t="s">
        <v>15</v>
      </c>
      <c r="E836" s="2" t="s">
        <v>16</v>
      </c>
      <c r="F836" s="2" t="s">
        <v>17</v>
      </c>
      <c r="G836" s="2" t="s">
        <v>54</v>
      </c>
      <c r="H836" s="2" t="s">
        <v>64</v>
      </c>
      <c r="I836" s="2" t="s">
        <v>26</v>
      </c>
      <c r="J836" s="4">
        <v>1</v>
      </c>
      <c r="K836" s="5">
        <v>94.21</v>
      </c>
      <c r="L836" s="6">
        <v>0</v>
      </c>
      <c r="M836" s="5">
        <v>94.21</v>
      </c>
      <c r="P836" t="str">
        <f>TEXT(Tableau2[[#This Row],[Date]],"mmmm aaaa")</f>
        <v>janvier 2026</v>
      </c>
    </row>
    <row r="837" spans="1:16">
      <c r="A837" s="2" t="s">
        <v>924</v>
      </c>
      <c r="B837" s="3">
        <v>46333</v>
      </c>
      <c r="C837" s="2" t="s">
        <v>130</v>
      </c>
      <c r="D837" s="2" t="s">
        <v>53</v>
      </c>
      <c r="E837" s="2" t="s">
        <v>34</v>
      </c>
      <c r="F837" s="2" t="s">
        <v>17</v>
      </c>
      <c r="G837" s="2" t="s">
        <v>48</v>
      </c>
      <c r="H837" s="2" t="s">
        <v>88</v>
      </c>
      <c r="I837" s="2" t="s">
        <v>41</v>
      </c>
      <c r="J837" s="4">
        <v>1</v>
      </c>
      <c r="K837" s="5">
        <v>80.38</v>
      </c>
      <c r="L837" s="6">
        <v>0</v>
      </c>
      <c r="M837" s="5">
        <v>80.38</v>
      </c>
      <c r="P837" t="str">
        <f>TEXT(Tableau2[[#This Row],[Date]],"mmmm aaaa")</f>
        <v>novembre 2026</v>
      </c>
    </row>
    <row r="838" spans="1:16">
      <c r="A838" s="2" t="s">
        <v>925</v>
      </c>
      <c r="B838" s="3">
        <v>46186</v>
      </c>
      <c r="C838" s="2" t="s">
        <v>130</v>
      </c>
      <c r="D838" s="2" t="s">
        <v>53</v>
      </c>
      <c r="E838" s="2" t="s">
        <v>16</v>
      </c>
      <c r="F838" s="2" t="s">
        <v>28</v>
      </c>
      <c r="G838" s="2" t="s">
        <v>24</v>
      </c>
      <c r="H838" s="2" t="s">
        <v>35</v>
      </c>
      <c r="I838" s="2" t="s">
        <v>36</v>
      </c>
      <c r="J838" s="4">
        <v>1</v>
      </c>
      <c r="K838" s="5">
        <v>172.38</v>
      </c>
      <c r="L838" s="6">
        <v>0.3</v>
      </c>
      <c r="M838" s="5">
        <v>120.67</v>
      </c>
      <c r="P838" t="str">
        <f>TEXT(Tableau2[[#This Row],[Date]],"mmmm aaaa")</f>
        <v>juin 2026</v>
      </c>
    </row>
    <row r="839" spans="1:16">
      <c r="A839" s="2" t="s">
        <v>926</v>
      </c>
      <c r="B839" s="3">
        <v>46350</v>
      </c>
      <c r="C839" s="2" t="s">
        <v>156</v>
      </c>
      <c r="D839" s="2" t="s">
        <v>15</v>
      </c>
      <c r="E839" s="2" t="s">
        <v>16</v>
      </c>
      <c r="F839" s="2" t="s">
        <v>17</v>
      </c>
      <c r="G839" s="2" t="s">
        <v>24</v>
      </c>
      <c r="H839" s="2" t="s">
        <v>35</v>
      </c>
      <c r="I839" s="2" t="s">
        <v>36</v>
      </c>
      <c r="J839" s="4">
        <v>5</v>
      </c>
      <c r="K839" s="5">
        <v>161.13999999999999</v>
      </c>
      <c r="L839" s="6">
        <v>0</v>
      </c>
      <c r="M839" s="5">
        <v>805.7</v>
      </c>
      <c r="P839" t="str">
        <f>TEXT(Tableau2[[#This Row],[Date]],"mmmm aaaa")</f>
        <v>novembre 2026</v>
      </c>
    </row>
    <row r="840" spans="1:16">
      <c r="A840" s="2" t="s">
        <v>927</v>
      </c>
      <c r="B840" s="3">
        <v>46372</v>
      </c>
      <c r="C840" s="2" t="s">
        <v>22</v>
      </c>
      <c r="D840" s="2" t="s">
        <v>23</v>
      </c>
      <c r="E840" s="2" t="s">
        <v>16</v>
      </c>
      <c r="F840" s="2" t="s">
        <v>28</v>
      </c>
      <c r="G840" s="2" t="s">
        <v>24</v>
      </c>
      <c r="H840" s="2" t="s">
        <v>25</v>
      </c>
      <c r="I840" s="2" t="s">
        <v>50</v>
      </c>
      <c r="J840" s="4">
        <v>1</v>
      </c>
      <c r="K840" s="5">
        <v>131.04</v>
      </c>
      <c r="L840" s="6">
        <v>0</v>
      </c>
      <c r="M840" s="5">
        <v>131.04</v>
      </c>
      <c r="P840" t="str">
        <f>TEXT(Tableau2[[#This Row],[Date]],"mmmm aaaa")</f>
        <v>décembre 2026</v>
      </c>
    </row>
    <row r="841" spans="1:16">
      <c r="A841" s="2" t="s">
        <v>928</v>
      </c>
      <c r="B841" s="3">
        <v>46141</v>
      </c>
      <c r="C841" s="2" t="s">
        <v>22</v>
      </c>
      <c r="D841" s="2" t="s">
        <v>23</v>
      </c>
      <c r="E841" s="2" t="s">
        <v>34</v>
      </c>
      <c r="F841" s="2" t="s">
        <v>28</v>
      </c>
      <c r="G841" s="2" t="s">
        <v>48</v>
      </c>
      <c r="H841" s="2" t="s">
        <v>49</v>
      </c>
      <c r="I841" s="2" t="s">
        <v>58</v>
      </c>
      <c r="J841" s="4">
        <v>5</v>
      </c>
      <c r="K841" s="5">
        <v>61.81</v>
      </c>
      <c r="L841" s="6">
        <v>0.05</v>
      </c>
      <c r="M841" s="5">
        <v>293.60000000000002</v>
      </c>
      <c r="P841" t="str">
        <f>TEXT(Tableau2[[#This Row],[Date]],"mmmm aaaa")</f>
        <v>avril 2026</v>
      </c>
    </row>
    <row r="842" spans="1:16">
      <c r="A842" s="2" t="s">
        <v>929</v>
      </c>
      <c r="B842" s="3">
        <v>46037</v>
      </c>
      <c r="C842" s="2" t="s">
        <v>63</v>
      </c>
      <c r="D842" s="2" t="s">
        <v>33</v>
      </c>
      <c r="E842" s="2" t="s">
        <v>34</v>
      </c>
      <c r="F842" s="2" t="s">
        <v>17</v>
      </c>
      <c r="G842" s="2" t="s">
        <v>48</v>
      </c>
      <c r="H842" s="2" t="s">
        <v>88</v>
      </c>
      <c r="I842" s="2" t="s">
        <v>20</v>
      </c>
      <c r="J842" s="4">
        <v>2</v>
      </c>
      <c r="K842" s="5">
        <v>78.38</v>
      </c>
      <c r="L842" s="6">
        <v>0</v>
      </c>
      <c r="M842" s="5">
        <v>156.76</v>
      </c>
      <c r="P842" t="str">
        <f>TEXT(Tableau2[[#This Row],[Date]],"mmmm aaaa")</f>
        <v>janvier 2026</v>
      </c>
    </row>
    <row r="843" spans="1:16">
      <c r="A843" s="2" t="s">
        <v>930</v>
      </c>
      <c r="B843" s="3">
        <v>46101</v>
      </c>
      <c r="C843" s="2" t="s">
        <v>57</v>
      </c>
      <c r="D843" s="2" t="s">
        <v>15</v>
      </c>
      <c r="E843" s="2" t="s">
        <v>16</v>
      </c>
      <c r="F843" s="2" t="s">
        <v>28</v>
      </c>
      <c r="G843" s="2" t="s">
        <v>39</v>
      </c>
      <c r="H843" s="2" t="s">
        <v>95</v>
      </c>
      <c r="I843" s="2" t="s">
        <v>26</v>
      </c>
      <c r="J843" s="4">
        <v>3</v>
      </c>
      <c r="K843" s="5">
        <v>100.1</v>
      </c>
      <c r="L843" s="6">
        <v>0</v>
      </c>
      <c r="M843" s="5">
        <v>300.3</v>
      </c>
      <c r="P843" t="str">
        <f>TEXT(Tableau2[[#This Row],[Date]],"mmmm aaaa")</f>
        <v>mars 2026</v>
      </c>
    </row>
    <row r="844" spans="1:16">
      <c r="A844" s="2" t="s">
        <v>931</v>
      </c>
      <c r="B844" s="3">
        <v>46357</v>
      </c>
      <c r="C844" s="2" t="s">
        <v>66</v>
      </c>
      <c r="D844" s="2" t="s">
        <v>23</v>
      </c>
      <c r="E844" s="2" t="s">
        <v>34</v>
      </c>
      <c r="F844" s="2" t="s">
        <v>17</v>
      </c>
      <c r="G844" s="2" t="s">
        <v>48</v>
      </c>
      <c r="H844" s="2" t="s">
        <v>77</v>
      </c>
      <c r="I844" s="2" t="s">
        <v>50</v>
      </c>
      <c r="J844" s="4">
        <v>1</v>
      </c>
      <c r="K844" s="5">
        <v>79.11</v>
      </c>
      <c r="L844" s="6">
        <v>0</v>
      </c>
      <c r="M844" s="5">
        <v>79.11</v>
      </c>
      <c r="P844" t="str">
        <f>TEXT(Tableau2[[#This Row],[Date]],"mmmm aaaa")</f>
        <v>décembre 2026</v>
      </c>
    </row>
    <row r="845" spans="1:16">
      <c r="A845" s="2" t="s">
        <v>932</v>
      </c>
      <c r="B845" s="3">
        <v>46167</v>
      </c>
      <c r="C845" s="2" t="s">
        <v>86</v>
      </c>
      <c r="D845" s="2" t="s">
        <v>53</v>
      </c>
      <c r="E845" s="2" t="s">
        <v>16</v>
      </c>
      <c r="F845" s="2" t="s">
        <v>17</v>
      </c>
      <c r="G845" s="2" t="s">
        <v>48</v>
      </c>
      <c r="H845" s="2" t="s">
        <v>88</v>
      </c>
      <c r="I845" s="2" t="s">
        <v>36</v>
      </c>
      <c r="J845" s="4">
        <v>3</v>
      </c>
      <c r="K845" s="5">
        <v>70.72</v>
      </c>
      <c r="L845" s="6">
        <v>0.3</v>
      </c>
      <c r="M845" s="5">
        <v>148.51</v>
      </c>
      <c r="P845" t="str">
        <f>TEXT(Tableau2[[#This Row],[Date]],"mmmm aaaa")</f>
        <v>mai 2026</v>
      </c>
    </row>
    <row r="846" spans="1:16">
      <c r="A846" s="2" t="s">
        <v>933</v>
      </c>
      <c r="B846" s="3">
        <v>46319</v>
      </c>
      <c r="C846" s="2" t="s">
        <v>14</v>
      </c>
      <c r="D846" s="2" t="s">
        <v>15</v>
      </c>
      <c r="E846" s="2" t="s">
        <v>16</v>
      </c>
      <c r="F846" s="2" t="s">
        <v>17</v>
      </c>
      <c r="G846" s="2" t="s">
        <v>54</v>
      </c>
      <c r="H846" s="2" t="s">
        <v>102</v>
      </c>
      <c r="I846" s="2" t="s">
        <v>58</v>
      </c>
      <c r="J846" s="4">
        <v>3</v>
      </c>
      <c r="K846" s="5">
        <v>215.3</v>
      </c>
      <c r="L846" s="6">
        <v>0</v>
      </c>
      <c r="M846" s="5">
        <v>645.9</v>
      </c>
      <c r="P846" t="str">
        <f>TEXT(Tableau2[[#This Row],[Date]],"mmmm aaaa")</f>
        <v>octobre 2026</v>
      </c>
    </row>
    <row r="847" spans="1:16">
      <c r="A847" s="2" t="s">
        <v>934</v>
      </c>
      <c r="B847" s="3">
        <v>46287</v>
      </c>
      <c r="C847" s="2" t="s">
        <v>22</v>
      </c>
      <c r="D847" s="2" t="s">
        <v>23</v>
      </c>
      <c r="E847" s="2" t="s">
        <v>16</v>
      </c>
      <c r="F847" s="2" t="s">
        <v>28</v>
      </c>
      <c r="G847" s="2" t="s">
        <v>29</v>
      </c>
      <c r="H847" s="2" t="s">
        <v>140</v>
      </c>
      <c r="I847" s="2" t="s">
        <v>20</v>
      </c>
      <c r="J847" s="4">
        <v>1</v>
      </c>
      <c r="K847" s="5">
        <v>44.85</v>
      </c>
      <c r="L847" s="6">
        <v>0</v>
      </c>
      <c r="M847" s="5">
        <v>44.85</v>
      </c>
      <c r="P847" t="str">
        <f>TEXT(Tableau2[[#This Row],[Date]],"mmmm aaaa")</f>
        <v>septembre 2026</v>
      </c>
    </row>
    <row r="848" spans="1:16">
      <c r="A848" s="2" t="s">
        <v>935</v>
      </c>
      <c r="B848" s="3">
        <v>46116</v>
      </c>
      <c r="C848" s="2" t="s">
        <v>22</v>
      </c>
      <c r="D848" s="2" t="s">
        <v>23</v>
      </c>
      <c r="E848" s="2" t="s">
        <v>16</v>
      </c>
      <c r="F848" s="2" t="s">
        <v>17</v>
      </c>
      <c r="G848" s="2" t="s">
        <v>24</v>
      </c>
      <c r="H848" s="2" t="s">
        <v>25</v>
      </c>
      <c r="I848" s="2" t="s">
        <v>41</v>
      </c>
      <c r="J848" s="4">
        <v>1</v>
      </c>
      <c r="K848" s="5">
        <v>138.19</v>
      </c>
      <c r="L848" s="6">
        <v>0.1</v>
      </c>
      <c r="M848" s="5">
        <v>124.37</v>
      </c>
      <c r="P848" t="str">
        <f>TEXT(Tableau2[[#This Row],[Date]],"mmmm aaaa")</f>
        <v>avril 2026</v>
      </c>
    </row>
    <row r="849" spans="1:16">
      <c r="A849" s="2" t="s">
        <v>936</v>
      </c>
      <c r="B849" s="3">
        <v>46137</v>
      </c>
      <c r="C849" s="2" t="s">
        <v>14</v>
      </c>
      <c r="D849" s="2" t="s">
        <v>15</v>
      </c>
      <c r="E849" s="2" t="s">
        <v>43</v>
      </c>
      <c r="F849" s="2" t="s">
        <v>17</v>
      </c>
      <c r="G849" s="2" t="s">
        <v>48</v>
      </c>
      <c r="H849" s="2" t="s">
        <v>77</v>
      </c>
      <c r="I849" s="2" t="s">
        <v>50</v>
      </c>
      <c r="J849" s="4">
        <v>4</v>
      </c>
      <c r="K849" s="5">
        <v>86.21</v>
      </c>
      <c r="L849" s="6">
        <v>0.3</v>
      </c>
      <c r="M849" s="5">
        <v>241.39</v>
      </c>
      <c r="P849" t="str">
        <f>TEXT(Tableau2[[#This Row],[Date]],"mmmm aaaa")</f>
        <v>avril 2026</v>
      </c>
    </row>
    <row r="850" spans="1:16">
      <c r="A850" s="2" t="s">
        <v>937</v>
      </c>
      <c r="B850" s="3">
        <v>46375</v>
      </c>
      <c r="C850" s="2" t="s">
        <v>63</v>
      </c>
      <c r="D850" s="2" t="s">
        <v>33</v>
      </c>
      <c r="E850" s="2" t="s">
        <v>16</v>
      </c>
      <c r="F850" s="2" t="s">
        <v>17</v>
      </c>
      <c r="G850" s="2" t="s">
        <v>29</v>
      </c>
      <c r="H850" s="2" t="s">
        <v>30</v>
      </c>
      <c r="I850" s="2" t="s">
        <v>58</v>
      </c>
      <c r="J850" s="4">
        <v>2</v>
      </c>
      <c r="K850" s="5">
        <v>24</v>
      </c>
      <c r="L850" s="6">
        <v>0.15</v>
      </c>
      <c r="M850" s="5">
        <v>40.799999999999997</v>
      </c>
      <c r="P850" t="str">
        <f>TEXT(Tableau2[[#This Row],[Date]],"mmmm aaaa")</f>
        <v>décembre 2026</v>
      </c>
    </row>
    <row r="851" spans="1:16">
      <c r="A851" s="2" t="s">
        <v>938</v>
      </c>
      <c r="B851" s="3">
        <v>46252</v>
      </c>
      <c r="C851" s="2" t="s">
        <v>57</v>
      </c>
      <c r="D851" s="2" t="s">
        <v>15</v>
      </c>
      <c r="E851" s="2" t="s">
        <v>43</v>
      </c>
      <c r="F851" s="2" t="s">
        <v>17</v>
      </c>
      <c r="G851" s="2" t="s">
        <v>18</v>
      </c>
      <c r="H851" s="2" t="s">
        <v>136</v>
      </c>
      <c r="I851" s="2" t="s">
        <v>26</v>
      </c>
      <c r="J851" s="4">
        <v>10</v>
      </c>
      <c r="K851" s="5">
        <v>31.09</v>
      </c>
      <c r="L851" s="6">
        <v>0</v>
      </c>
      <c r="M851" s="5">
        <v>310.89999999999998</v>
      </c>
      <c r="P851" t="str">
        <f>TEXT(Tableau2[[#This Row],[Date]],"mmmm aaaa")</f>
        <v>août 2026</v>
      </c>
    </row>
    <row r="852" spans="1:16">
      <c r="A852" s="2" t="s">
        <v>939</v>
      </c>
      <c r="B852" s="3">
        <v>46291</v>
      </c>
      <c r="C852" s="2" t="s">
        <v>79</v>
      </c>
      <c r="D852" s="2" t="s">
        <v>33</v>
      </c>
      <c r="E852" s="2" t="s">
        <v>43</v>
      </c>
      <c r="F852" s="2" t="s">
        <v>17</v>
      </c>
      <c r="G852" s="2" t="s">
        <v>18</v>
      </c>
      <c r="H852" s="2" t="s">
        <v>136</v>
      </c>
      <c r="I852" s="2" t="s">
        <v>58</v>
      </c>
      <c r="J852" s="4">
        <v>3</v>
      </c>
      <c r="K852" s="5">
        <v>34.21</v>
      </c>
      <c r="L852" s="6">
        <v>0.15</v>
      </c>
      <c r="M852" s="5">
        <v>87.24</v>
      </c>
      <c r="P852" t="str">
        <f>TEXT(Tableau2[[#This Row],[Date]],"mmmm aaaa")</f>
        <v>septembre 2026</v>
      </c>
    </row>
    <row r="853" spans="1:16">
      <c r="A853" s="2" t="s">
        <v>940</v>
      </c>
      <c r="B853" s="3">
        <v>46099</v>
      </c>
      <c r="C853" s="2" t="s">
        <v>94</v>
      </c>
      <c r="D853" s="2" t="s">
        <v>15</v>
      </c>
      <c r="E853" s="2" t="s">
        <v>34</v>
      </c>
      <c r="F853" s="2" t="s">
        <v>28</v>
      </c>
      <c r="G853" s="2" t="s">
        <v>54</v>
      </c>
      <c r="H853" s="2" t="s">
        <v>55</v>
      </c>
      <c r="I853" s="2" t="s">
        <v>41</v>
      </c>
      <c r="J853" s="4">
        <v>2</v>
      </c>
      <c r="K853" s="5">
        <v>152.97</v>
      </c>
      <c r="L853" s="6">
        <v>0</v>
      </c>
      <c r="M853" s="5">
        <v>305.94</v>
      </c>
      <c r="P853" t="str">
        <f>TEXT(Tableau2[[#This Row],[Date]],"mmmm aaaa")</f>
        <v>mars 2026</v>
      </c>
    </row>
    <row r="854" spans="1:16">
      <c r="A854" s="2" t="s">
        <v>941</v>
      </c>
      <c r="B854" s="3">
        <v>46179</v>
      </c>
      <c r="C854" s="2" t="s">
        <v>160</v>
      </c>
      <c r="D854" s="2" t="s">
        <v>33</v>
      </c>
      <c r="E854" s="2" t="s">
        <v>16</v>
      </c>
      <c r="F854" s="2" t="s">
        <v>17</v>
      </c>
      <c r="G854" s="2" t="s">
        <v>39</v>
      </c>
      <c r="H854" s="2" t="s">
        <v>95</v>
      </c>
      <c r="I854" s="2" t="s">
        <v>58</v>
      </c>
      <c r="J854" s="4">
        <v>9</v>
      </c>
      <c r="K854" s="5">
        <v>103.32</v>
      </c>
      <c r="L854" s="6">
        <v>0.3</v>
      </c>
      <c r="M854" s="5">
        <v>650.91999999999996</v>
      </c>
      <c r="P854" t="str">
        <f>TEXT(Tableau2[[#This Row],[Date]],"mmmm aaaa")</f>
        <v>juin 2026</v>
      </c>
    </row>
    <row r="855" spans="1:16">
      <c r="A855" s="2" t="s">
        <v>942</v>
      </c>
      <c r="B855" s="3">
        <v>46309</v>
      </c>
      <c r="C855" s="2" t="s">
        <v>32</v>
      </c>
      <c r="D855" s="2" t="s">
        <v>33</v>
      </c>
      <c r="E855" s="2" t="s">
        <v>38</v>
      </c>
      <c r="F855" s="2" t="s">
        <v>17</v>
      </c>
      <c r="G855" s="2" t="s">
        <v>18</v>
      </c>
      <c r="H855" s="2" t="s">
        <v>143</v>
      </c>
      <c r="I855" s="2" t="s">
        <v>36</v>
      </c>
      <c r="J855" s="4">
        <v>14</v>
      </c>
      <c r="K855" s="5">
        <v>67.2</v>
      </c>
      <c r="L855" s="6">
        <v>0</v>
      </c>
      <c r="M855" s="5">
        <v>940.8</v>
      </c>
      <c r="P855" t="str">
        <f>TEXT(Tableau2[[#This Row],[Date]],"mmmm aaaa")</f>
        <v>octobre 2026</v>
      </c>
    </row>
    <row r="856" spans="1:16">
      <c r="A856" s="2" t="s">
        <v>943</v>
      </c>
      <c r="B856" s="3">
        <v>46062</v>
      </c>
      <c r="C856" s="2" t="s">
        <v>90</v>
      </c>
      <c r="D856" s="2" t="s">
        <v>53</v>
      </c>
      <c r="E856" s="2" t="s">
        <v>16</v>
      </c>
      <c r="F856" s="2" t="s">
        <v>17</v>
      </c>
      <c r="G856" s="2" t="s">
        <v>48</v>
      </c>
      <c r="H856" s="2" t="s">
        <v>84</v>
      </c>
      <c r="I856" s="2" t="s">
        <v>20</v>
      </c>
      <c r="J856" s="4">
        <v>2</v>
      </c>
      <c r="K856" s="5">
        <v>87.09</v>
      </c>
      <c r="L856" s="6">
        <v>0</v>
      </c>
      <c r="M856" s="5">
        <v>174.18</v>
      </c>
      <c r="P856" t="str">
        <f>TEXT(Tableau2[[#This Row],[Date]],"mmmm aaaa")</f>
        <v>février 2026</v>
      </c>
    </row>
    <row r="857" spans="1:16">
      <c r="A857" s="2" t="s">
        <v>944</v>
      </c>
      <c r="B857" s="3">
        <v>46339</v>
      </c>
      <c r="C857" s="2" t="s">
        <v>57</v>
      </c>
      <c r="D857" s="2" t="s">
        <v>15</v>
      </c>
      <c r="E857" s="2" t="s">
        <v>34</v>
      </c>
      <c r="F857" s="2" t="s">
        <v>28</v>
      </c>
      <c r="G857" s="2" t="s">
        <v>39</v>
      </c>
      <c r="H857" s="2" t="s">
        <v>95</v>
      </c>
      <c r="I857" s="2" t="s">
        <v>36</v>
      </c>
      <c r="J857" s="4">
        <v>13</v>
      </c>
      <c r="K857" s="5">
        <v>105.45</v>
      </c>
      <c r="L857" s="6">
        <v>0.3</v>
      </c>
      <c r="M857" s="5">
        <v>959.6</v>
      </c>
      <c r="P857" t="str">
        <f>TEXT(Tableau2[[#This Row],[Date]],"mmmm aaaa")</f>
        <v>novembre 2026</v>
      </c>
    </row>
    <row r="858" spans="1:16">
      <c r="A858" s="2" t="s">
        <v>945</v>
      </c>
      <c r="B858" s="3">
        <v>46382</v>
      </c>
      <c r="C858" s="2" t="s">
        <v>57</v>
      </c>
      <c r="D858" s="2" t="s">
        <v>15</v>
      </c>
      <c r="E858" s="2" t="s">
        <v>16</v>
      </c>
      <c r="F858" s="2" t="s">
        <v>17</v>
      </c>
      <c r="G858" s="2" t="s">
        <v>29</v>
      </c>
      <c r="H858" s="2" t="s">
        <v>140</v>
      </c>
      <c r="I858" s="2" t="s">
        <v>41</v>
      </c>
      <c r="J858" s="4">
        <v>1</v>
      </c>
      <c r="K858" s="5">
        <v>47.63</v>
      </c>
      <c r="L858" s="6">
        <v>0.2</v>
      </c>
      <c r="M858" s="5">
        <v>38.1</v>
      </c>
      <c r="P858" t="str">
        <f>TEXT(Tableau2[[#This Row],[Date]],"mmmm aaaa")</f>
        <v>décembre 2026</v>
      </c>
    </row>
    <row r="859" spans="1:16">
      <c r="A859" s="2" t="s">
        <v>946</v>
      </c>
      <c r="B859" s="3">
        <v>46220</v>
      </c>
      <c r="C859" s="2" t="s">
        <v>52</v>
      </c>
      <c r="D859" s="2" t="s">
        <v>53</v>
      </c>
      <c r="E859" s="2" t="s">
        <v>43</v>
      </c>
      <c r="F859" s="2" t="s">
        <v>17</v>
      </c>
      <c r="G859" s="2" t="s">
        <v>24</v>
      </c>
      <c r="H859" s="2" t="s">
        <v>61</v>
      </c>
      <c r="I859" s="2" t="s">
        <v>41</v>
      </c>
      <c r="J859" s="4">
        <v>4</v>
      </c>
      <c r="K859" s="5">
        <v>221.63</v>
      </c>
      <c r="L859" s="6">
        <v>0</v>
      </c>
      <c r="M859" s="5">
        <v>886.52</v>
      </c>
      <c r="P859" t="str">
        <f>TEXT(Tableau2[[#This Row],[Date]],"mmmm aaaa")</f>
        <v>juillet 2026</v>
      </c>
    </row>
    <row r="860" spans="1:16">
      <c r="A860" s="2" t="s">
        <v>947</v>
      </c>
      <c r="B860" s="3">
        <v>46270</v>
      </c>
      <c r="C860" s="2" t="s">
        <v>134</v>
      </c>
      <c r="D860" s="2" t="s">
        <v>15</v>
      </c>
      <c r="E860" s="2" t="s">
        <v>34</v>
      </c>
      <c r="F860" s="2" t="s">
        <v>28</v>
      </c>
      <c r="G860" s="2" t="s">
        <v>24</v>
      </c>
      <c r="H860" s="2" t="s">
        <v>35</v>
      </c>
      <c r="I860" s="2" t="s">
        <v>75</v>
      </c>
      <c r="J860" s="4">
        <v>4</v>
      </c>
      <c r="K860" s="5">
        <v>179.89</v>
      </c>
      <c r="L860" s="6">
        <v>0</v>
      </c>
      <c r="M860" s="5">
        <v>719.56</v>
      </c>
      <c r="P860" t="str">
        <f>TEXT(Tableau2[[#This Row],[Date]],"mmmm aaaa")</f>
        <v>septembre 2026</v>
      </c>
    </row>
    <row r="861" spans="1:16">
      <c r="A861" s="2" t="s">
        <v>948</v>
      </c>
      <c r="B861" s="3">
        <v>46162</v>
      </c>
      <c r="C861" s="2" t="s">
        <v>22</v>
      </c>
      <c r="D861" s="2" t="s">
        <v>23</v>
      </c>
      <c r="E861" s="2" t="s">
        <v>16</v>
      </c>
      <c r="F861" s="2" t="s">
        <v>28</v>
      </c>
      <c r="G861" s="2" t="s">
        <v>48</v>
      </c>
      <c r="H861" s="2" t="s">
        <v>49</v>
      </c>
      <c r="I861" s="2" t="s">
        <v>26</v>
      </c>
      <c r="J861" s="4">
        <v>2</v>
      </c>
      <c r="K861" s="5">
        <v>61.86</v>
      </c>
      <c r="L861" s="6">
        <v>0</v>
      </c>
      <c r="M861" s="5">
        <v>123.72</v>
      </c>
      <c r="P861" t="str">
        <f>TEXT(Tableau2[[#This Row],[Date]],"mmmm aaaa")</f>
        <v>mai 2026</v>
      </c>
    </row>
    <row r="862" spans="1:16">
      <c r="A862" s="2" t="s">
        <v>949</v>
      </c>
      <c r="B862" s="3">
        <v>46127</v>
      </c>
      <c r="C862" s="2" t="s">
        <v>14</v>
      </c>
      <c r="D862" s="2" t="s">
        <v>15</v>
      </c>
      <c r="E862" s="2" t="s">
        <v>34</v>
      </c>
      <c r="F862" s="2" t="s">
        <v>17</v>
      </c>
      <c r="G862" s="2" t="s">
        <v>18</v>
      </c>
      <c r="H862" s="2" t="s">
        <v>143</v>
      </c>
      <c r="I862" s="2" t="s">
        <v>36</v>
      </c>
      <c r="J862" s="4">
        <v>4</v>
      </c>
      <c r="K862" s="5">
        <v>67.77</v>
      </c>
      <c r="L862" s="6">
        <v>0.1</v>
      </c>
      <c r="M862" s="5">
        <v>243.97</v>
      </c>
      <c r="P862" t="str">
        <f>TEXT(Tableau2[[#This Row],[Date]],"mmmm aaaa")</f>
        <v>avril 2026</v>
      </c>
    </row>
    <row r="863" spans="1:16">
      <c r="A863" s="2" t="s">
        <v>950</v>
      </c>
      <c r="B863" s="3">
        <v>46190</v>
      </c>
      <c r="C863" s="2" t="s">
        <v>134</v>
      </c>
      <c r="D863" s="2" t="s">
        <v>15</v>
      </c>
      <c r="E863" s="2" t="s">
        <v>43</v>
      </c>
      <c r="F863" s="2" t="s">
        <v>28</v>
      </c>
      <c r="G863" s="2" t="s">
        <v>18</v>
      </c>
      <c r="H863" s="2" t="s">
        <v>19</v>
      </c>
      <c r="I863" s="2" t="s">
        <v>75</v>
      </c>
      <c r="J863" s="4">
        <v>1</v>
      </c>
      <c r="K863" s="5">
        <v>52.47</v>
      </c>
      <c r="L863" s="6">
        <v>0</v>
      </c>
      <c r="M863" s="5">
        <v>52.47</v>
      </c>
      <c r="P863" t="str">
        <f>TEXT(Tableau2[[#This Row],[Date]],"mmmm aaaa")</f>
        <v>juin 2026</v>
      </c>
    </row>
    <row r="864" spans="1:16">
      <c r="A864" s="2" t="s">
        <v>951</v>
      </c>
      <c r="B864" s="3">
        <v>46074</v>
      </c>
      <c r="C864" s="2" t="s">
        <v>125</v>
      </c>
      <c r="D864" s="2" t="s">
        <v>23</v>
      </c>
      <c r="E864" s="2" t="s">
        <v>34</v>
      </c>
      <c r="F864" s="2" t="s">
        <v>17</v>
      </c>
      <c r="G864" s="2" t="s">
        <v>48</v>
      </c>
      <c r="H864" s="2" t="s">
        <v>84</v>
      </c>
      <c r="I864" s="2" t="s">
        <v>20</v>
      </c>
      <c r="J864" s="4">
        <v>3</v>
      </c>
      <c r="K864" s="5">
        <v>98.07</v>
      </c>
      <c r="L864" s="6">
        <v>0</v>
      </c>
      <c r="M864" s="5">
        <v>294.20999999999998</v>
      </c>
      <c r="P864" t="str">
        <f>TEXT(Tableau2[[#This Row],[Date]],"mmmm aaaa")</f>
        <v>février 2026</v>
      </c>
    </row>
    <row r="865" spans="1:16">
      <c r="A865" s="2" t="s">
        <v>952</v>
      </c>
      <c r="B865" s="3">
        <v>46136</v>
      </c>
      <c r="C865" s="2" t="s">
        <v>14</v>
      </c>
      <c r="D865" s="2" t="s">
        <v>15</v>
      </c>
      <c r="E865" s="2" t="s">
        <v>43</v>
      </c>
      <c r="F865" s="2" t="s">
        <v>17</v>
      </c>
      <c r="G865" s="2" t="s">
        <v>18</v>
      </c>
      <c r="H865" s="2" t="s">
        <v>19</v>
      </c>
      <c r="I865" s="2" t="s">
        <v>50</v>
      </c>
      <c r="J865" s="4">
        <v>2</v>
      </c>
      <c r="K865" s="5">
        <v>51.93</v>
      </c>
      <c r="L865" s="6">
        <v>0.05</v>
      </c>
      <c r="M865" s="5">
        <v>98.67</v>
      </c>
      <c r="P865" t="str">
        <f>TEXT(Tableau2[[#This Row],[Date]],"mmmm aaaa")</f>
        <v>avril 2026</v>
      </c>
    </row>
    <row r="866" spans="1:16">
      <c r="A866" s="2" t="s">
        <v>953</v>
      </c>
      <c r="B866" s="3">
        <v>46338</v>
      </c>
      <c r="C866" s="2" t="s">
        <v>106</v>
      </c>
      <c r="D866" s="2" t="s">
        <v>23</v>
      </c>
      <c r="E866" s="2" t="s">
        <v>34</v>
      </c>
      <c r="F866" s="2" t="s">
        <v>28</v>
      </c>
      <c r="G866" s="2" t="s">
        <v>48</v>
      </c>
      <c r="H866" s="2" t="s">
        <v>77</v>
      </c>
      <c r="I866" s="2" t="s">
        <v>26</v>
      </c>
      <c r="J866" s="4">
        <v>6</v>
      </c>
      <c r="K866" s="5">
        <v>85.6</v>
      </c>
      <c r="L866" s="6">
        <v>0</v>
      </c>
      <c r="M866" s="5">
        <v>513.6</v>
      </c>
      <c r="P866" t="str">
        <f>TEXT(Tableau2[[#This Row],[Date]],"mmmm aaaa")</f>
        <v>novembre 2026</v>
      </c>
    </row>
    <row r="867" spans="1:16">
      <c r="A867" s="2" t="s">
        <v>954</v>
      </c>
      <c r="B867" s="3">
        <v>46275</v>
      </c>
      <c r="C867" s="2" t="s">
        <v>125</v>
      </c>
      <c r="D867" s="2" t="s">
        <v>23</v>
      </c>
      <c r="E867" s="2" t="s">
        <v>43</v>
      </c>
      <c r="F867" s="2" t="s">
        <v>28</v>
      </c>
      <c r="G867" s="2" t="s">
        <v>48</v>
      </c>
      <c r="H867" s="2" t="s">
        <v>88</v>
      </c>
      <c r="I867" s="2" t="s">
        <v>45</v>
      </c>
      <c r="J867" s="4">
        <v>4</v>
      </c>
      <c r="K867" s="5">
        <v>75.7</v>
      </c>
      <c r="L867" s="6">
        <v>0</v>
      </c>
      <c r="M867" s="5">
        <v>302.8</v>
      </c>
      <c r="P867" t="str">
        <f>TEXT(Tableau2[[#This Row],[Date]],"mmmm aaaa")</f>
        <v>septembre 2026</v>
      </c>
    </row>
    <row r="868" spans="1:16">
      <c r="A868" s="2" t="s">
        <v>955</v>
      </c>
      <c r="B868" s="3">
        <v>46355</v>
      </c>
      <c r="C868" s="2" t="s">
        <v>160</v>
      </c>
      <c r="D868" s="2" t="s">
        <v>33</v>
      </c>
      <c r="E868" s="2" t="s">
        <v>34</v>
      </c>
      <c r="F868" s="2" t="s">
        <v>17</v>
      </c>
      <c r="G868" s="2" t="s">
        <v>18</v>
      </c>
      <c r="H868" s="2" t="s">
        <v>19</v>
      </c>
      <c r="I868" s="2" t="s">
        <v>58</v>
      </c>
      <c r="J868" s="4">
        <v>1</v>
      </c>
      <c r="K868" s="5">
        <v>53.07</v>
      </c>
      <c r="L868" s="6">
        <v>0</v>
      </c>
      <c r="M868" s="5">
        <v>53.07</v>
      </c>
      <c r="P868" t="str">
        <f>TEXT(Tableau2[[#This Row],[Date]],"mmmm aaaa")</f>
        <v>novembre 2026</v>
      </c>
    </row>
    <row r="869" spans="1:16">
      <c r="A869" s="2" t="s">
        <v>956</v>
      </c>
      <c r="B869" s="3">
        <v>46230</v>
      </c>
      <c r="C869" s="2" t="s">
        <v>116</v>
      </c>
      <c r="D869" s="2" t="s">
        <v>15</v>
      </c>
      <c r="E869" s="2" t="s">
        <v>38</v>
      </c>
      <c r="F869" s="2" t="s">
        <v>17</v>
      </c>
      <c r="G869" s="2" t="s">
        <v>54</v>
      </c>
      <c r="H869" s="2" t="s">
        <v>102</v>
      </c>
      <c r="I869" s="2" t="s">
        <v>50</v>
      </c>
      <c r="J869" s="4">
        <v>1</v>
      </c>
      <c r="K869" s="5">
        <v>203.17</v>
      </c>
      <c r="L869" s="6">
        <v>0.05</v>
      </c>
      <c r="M869" s="5">
        <v>193.01</v>
      </c>
      <c r="P869" t="str">
        <f>TEXT(Tableau2[[#This Row],[Date]],"mmmm aaaa")</f>
        <v>juillet 2026</v>
      </c>
    </row>
    <row r="870" spans="1:16">
      <c r="A870" s="2" t="s">
        <v>957</v>
      </c>
      <c r="B870" s="3">
        <v>46332</v>
      </c>
      <c r="C870" s="2" t="s">
        <v>63</v>
      </c>
      <c r="D870" s="2" t="s">
        <v>33</v>
      </c>
      <c r="E870" s="2" t="s">
        <v>34</v>
      </c>
      <c r="F870" s="2" t="s">
        <v>17</v>
      </c>
      <c r="G870" s="2" t="s">
        <v>54</v>
      </c>
      <c r="H870" s="2" t="s">
        <v>64</v>
      </c>
      <c r="I870" s="2" t="s">
        <v>50</v>
      </c>
      <c r="J870" s="4">
        <v>1</v>
      </c>
      <c r="K870" s="5">
        <v>87.4</v>
      </c>
      <c r="L870" s="6">
        <v>0</v>
      </c>
      <c r="M870" s="5">
        <v>87.4</v>
      </c>
      <c r="P870" t="str">
        <f>TEXT(Tableau2[[#This Row],[Date]],"mmmm aaaa")</f>
        <v>novembre 2026</v>
      </c>
    </row>
    <row r="871" spans="1:16">
      <c r="A871" s="2" t="s">
        <v>958</v>
      </c>
      <c r="B871" s="3">
        <v>46024</v>
      </c>
      <c r="C871" s="2" t="s">
        <v>90</v>
      </c>
      <c r="D871" s="2" t="s">
        <v>53</v>
      </c>
      <c r="E871" s="2" t="s">
        <v>34</v>
      </c>
      <c r="F871" s="2" t="s">
        <v>17</v>
      </c>
      <c r="G871" s="2" t="s">
        <v>29</v>
      </c>
      <c r="H871" s="2" t="s">
        <v>140</v>
      </c>
      <c r="I871" s="2" t="s">
        <v>41</v>
      </c>
      <c r="J871" s="4">
        <v>2</v>
      </c>
      <c r="K871" s="5">
        <v>49.77</v>
      </c>
      <c r="L871" s="6">
        <v>0</v>
      </c>
      <c r="M871" s="5">
        <v>99.54</v>
      </c>
      <c r="P871" t="str">
        <f>TEXT(Tableau2[[#This Row],[Date]],"mmmm aaaa")</f>
        <v>janvier 2026</v>
      </c>
    </row>
    <row r="872" spans="1:16">
      <c r="A872" s="2" t="s">
        <v>959</v>
      </c>
      <c r="B872" s="3">
        <v>46259</v>
      </c>
      <c r="C872" s="2" t="s">
        <v>151</v>
      </c>
      <c r="D872" s="2" t="s">
        <v>15</v>
      </c>
      <c r="E872" s="2" t="s">
        <v>43</v>
      </c>
      <c r="F872" s="2" t="s">
        <v>28</v>
      </c>
      <c r="G872" s="2" t="s">
        <v>48</v>
      </c>
      <c r="H872" s="2" t="s">
        <v>88</v>
      </c>
      <c r="I872" s="2" t="s">
        <v>58</v>
      </c>
      <c r="J872" s="4">
        <v>2</v>
      </c>
      <c r="K872" s="5">
        <v>71.760000000000005</v>
      </c>
      <c r="L872" s="6">
        <v>0</v>
      </c>
      <c r="M872" s="5">
        <v>143.52000000000001</v>
      </c>
      <c r="P872" t="str">
        <f>TEXT(Tableau2[[#This Row],[Date]],"mmmm aaaa")</f>
        <v>août 2026</v>
      </c>
    </row>
    <row r="873" spans="1:16">
      <c r="A873" s="2" t="s">
        <v>960</v>
      </c>
      <c r="B873" s="3">
        <v>46345</v>
      </c>
      <c r="C873" s="2" t="s">
        <v>160</v>
      </c>
      <c r="D873" s="2" t="s">
        <v>33</v>
      </c>
      <c r="E873" s="2" t="s">
        <v>34</v>
      </c>
      <c r="F873" s="2" t="s">
        <v>17</v>
      </c>
      <c r="G873" s="2" t="s">
        <v>24</v>
      </c>
      <c r="H873" s="2" t="s">
        <v>82</v>
      </c>
      <c r="I873" s="2" t="s">
        <v>26</v>
      </c>
      <c r="J873" s="4">
        <v>1</v>
      </c>
      <c r="K873" s="5">
        <v>311.43</v>
      </c>
      <c r="L873" s="6">
        <v>0</v>
      </c>
      <c r="M873" s="5">
        <v>311.43</v>
      </c>
      <c r="P873" t="str">
        <f>TEXT(Tableau2[[#This Row],[Date]],"mmmm aaaa")</f>
        <v>novembre 2026</v>
      </c>
    </row>
    <row r="874" spans="1:16">
      <c r="A874" s="2" t="s">
        <v>961</v>
      </c>
      <c r="B874" s="3">
        <v>46085</v>
      </c>
      <c r="C874" s="2" t="s">
        <v>90</v>
      </c>
      <c r="D874" s="2" t="s">
        <v>53</v>
      </c>
      <c r="E874" s="2" t="s">
        <v>34</v>
      </c>
      <c r="F874" s="2" t="s">
        <v>28</v>
      </c>
      <c r="G874" s="2" t="s">
        <v>18</v>
      </c>
      <c r="H874" s="2" t="s">
        <v>143</v>
      </c>
      <c r="I874" s="2" t="s">
        <v>58</v>
      </c>
      <c r="J874" s="4">
        <v>2</v>
      </c>
      <c r="K874" s="5">
        <v>68.150000000000006</v>
      </c>
      <c r="L874" s="6">
        <v>0</v>
      </c>
      <c r="M874" s="5">
        <v>136.30000000000001</v>
      </c>
      <c r="P874" t="str">
        <f>TEXT(Tableau2[[#This Row],[Date]],"mmmm aaaa")</f>
        <v>mars 2026</v>
      </c>
    </row>
    <row r="875" spans="1:16">
      <c r="A875" s="2" t="s">
        <v>962</v>
      </c>
      <c r="B875" s="3">
        <v>46091</v>
      </c>
      <c r="C875" s="2" t="s">
        <v>123</v>
      </c>
      <c r="D875" s="2" t="s">
        <v>53</v>
      </c>
      <c r="E875" s="2" t="s">
        <v>38</v>
      </c>
      <c r="F875" s="2" t="s">
        <v>17</v>
      </c>
      <c r="G875" s="2" t="s">
        <v>39</v>
      </c>
      <c r="H875" s="2" t="s">
        <v>71</v>
      </c>
      <c r="I875" s="2" t="s">
        <v>26</v>
      </c>
      <c r="J875" s="4">
        <v>1</v>
      </c>
      <c r="K875" s="5">
        <v>111.77</v>
      </c>
      <c r="L875" s="6">
        <v>0</v>
      </c>
      <c r="M875" s="5">
        <v>111.77</v>
      </c>
      <c r="P875" t="str">
        <f>TEXT(Tableau2[[#This Row],[Date]],"mmmm aaaa")</f>
        <v>mars 2026</v>
      </c>
    </row>
    <row r="876" spans="1:16">
      <c r="A876" s="2" t="s">
        <v>963</v>
      </c>
      <c r="B876" s="3">
        <v>46325</v>
      </c>
      <c r="C876" s="2" t="s">
        <v>32</v>
      </c>
      <c r="D876" s="2" t="s">
        <v>33</v>
      </c>
      <c r="E876" s="2" t="s">
        <v>43</v>
      </c>
      <c r="F876" s="2" t="s">
        <v>28</v>
      </c>
      <c r="G876" s="2" t="s">
        <v>48</v>
      </c>
      <c r="H876" s="2" t="s">
        <v>49</v>
      </c>
      <c r="I876" s="2" t="s">
        <v>58</v>
      </c>
      <c r="J876" s="4">
        <v>2</v>
      </c>
      <c r="K876" s="5">
        <v>55.13</v>
      </c>
      <c r="L876" s="6">
        <v>0</v>
      </c>
      <c r="M876" s="5">
        <v>110.26</v>
      </c>
      <c r="P876" t="str">
        <f>TEXT(Tableau2[[#This Row],[Date]],"mmmm aaaa")</f>
        <v>octobre 2026</v>
      </c>
    </row>
    <row r="877" spans="1:16">
      <c r="A877" s="2" t="s">
        <v>964</v>
      </c>
      <c r="B877" s="3">
        <v>46165</v>
      </c>
      <c r="C877" s="2" t="s">
        <v>119</v>
      </c>
      <c r="D877" s="2" t="s">
        <v>15</v>
      </c>
      <c r="E877" s="2" t="s">
        <v>16</v>
      </c>
      <c r="F877" s="2" t="s">
        <v>28</v>
      </c>
      <c r="G877" s="2" t="s">
        <v>29</v>
      </c>
      <c r="H877" s="2" t="s">
        <v>44</v>
      </c>
      <c r="I877" s="2" t="s">
        <v>50</v>
      </c>
      <c r="J877" s="4">
        <v>5</v>
      </c>
      <c r="K877" s="5">
        <v>39.14</v>
      </c>
      <c r="L877" s="6">
        <v>0.2</v>
      </c>
      <c r="M877" s="5">
        <v>156.56</v>
      </c>
      <c r="P877" t="str">
        <f>TEXT(Tableau2[[#This Row],[Date]],"mmmm aaaa")</f>
        <v>mai 2026</v>
      </c>
    </row>
    <row r="878" spans="1:16">
      <c r="A878" s="2" t="s">
        <v>965</v>
      </c>
      <c r="B878" s="3">
        <v>46371</v>
      </c>
      <c r="C878" s="2" t="s">
        <v>123</v>
      </c>
      <c r="D878" s="2" t="s">
        <v>53</v>
      </c>
      <c r="E878" s="2" t="s">
        <v>16</v>
      </c>
      <c r="F878" s="2" t="s">
        <v>28</v>
      </c>
      <c r="G878" s="2" t="s">
        <v>18</v>
      </c>
      <c r="H878" s="2" t="s">
        <v>158</v>
      </c>
      <c r="I878" s="2" t="s">
        <v>36</v>
      </c>
      <c r="J878" s="4">
        <v>18</v>
      </c>
      <c r="K878" s="5">
        <v>48.54</v>
      </c>
      <c r="L878" s="6">
        <v>0.05</v>
      </c>
      <c r="M878" s="5">
        <v>830.03</v>
      </c>
      <c r="P878" t="str">
        <f>TEXT(Tableau2[[#This Row],[Date]],"mmmm aaaa")</f>
        <v>décembre 2026</v>
      </c>
    </row>
    <row r="879" spans="1:16">
      <c r="A879" s="2" t="s">
        <v>966</v>
      </c>
      <c r="B879" s="3">
        <v>46338</v>
      </c>
      <c r="C879" s="2" t="s">
        <v>22</v>
      </c>
      <c r="D879" s="2" t="s">
        <v>23</v>
      </c>
      <c r="E879" s="2" t="s">
        <v>43</v>
      </c>
      <c r="F879" s="2" t="s">
        <v>28</v>
      </c>
      <c r="G879" s="2" t="s">
        <v>48</v>
      </c>
      <c r="H879" s="2" t="s">
        <v>77</v>
      </c>
      <c r="I879" s="2" t="s">
        <v>26</v>
      </c>
      <c r="J879" s="4">
        <v>5</v>
      </c>
      <c r="K879" s="5">
        <v>89.25</v>
      </c>
      <c r="L879" s="6">
        <v>0</v>
      </c>
      <c r="M879" s="5">
        <v>446.25</v>
      </c>
      <c r="P879" t="str">
        <f>TEXT(Tableau2[[#This Row],[Date]],"mmmm aaaa")</f>
        <v>novembre 2026</v>
      </c>
    </row>
    <row r="880" spans="1:16">
      <c r="A880" s="2" t="s">
        <v>967</v>
      </c>
      <c r="B880" s="3">
        <v>46137</v>
      </c>
      <c r="C880" s="2" t="s">
        <v>178</v>
      </c>
      <c r="D880" s="2" t="s">
        <v>15</v>
      </c>
      <c r="E880" s="2" t="s">
        <v>16</v>
      </c>
      <c r="F880" s="2" t="s">
        <v>28</v>
      </c>
      <c r="G880" s="2" t="s">
        <v>54</v>
      </c>
      <c r="H880" s="2" t="s">
        <v>102</v>
      </c>
      <c r="I880" s="2" t="s">
        <v>45</v>
      </c>
      <c r="J880" s="4">
        <v>2</v>
      </c>
      <c r="K880" s="5">
        <v>203.61</v>
      </c>
      <c r="L880" s="6">
        <v>0</v>
      </c>
      <c r="M880" s="5">
        <v>407.22</v>
      </c>
      <c r="P880" t="str">
        <f>TEXT(Tableau2[[#This Row],[Date]],"mmmm aaaa")</f>
        <v>avril 2026</v>
      </c>
    </row>
    <row r="881" spans="1:16">
      <c r="A881" s="2" t="s">
        <v>968</v>
      </c>
      <c r="B881" s="3">
        <v>46072</v>
      </c>
      <c r="C881" s="2" t="s">
        <v>22</v>
      </c>
      <c r="D881" s="2" t="s">
        <v>23</v>
      </c>
      <c r="E881" s="2" t="s">
        <v>43</v>
      </c>
      <c r="F881" s="2" t="s">
        <v>17</v>
      </c>
      <c r="G881" s="2" t="s">
        <v>54</v>
      </c>
      <c r="H881" s="2" t="s">
        <v>55</v>
      </c>
      <c r="I881" s="2" t="s">
        <v>45</v>
      </c>
      <c r="J881" s="4">
        <v>8</v>
      </c>
      <c r="K881" s="5">
        <v>156.13</v>
      </c>
      <c r="L881" s="6">
        <v>0</v>
      </c>
      <c r="M881" s="5">
        <v>1249.04</v>
      </c>
      <c r="P881" t="str">
        <f>TEXT(Tableau2[[#This Row],[Date]],"mmmm aaaa")</f>
        <v>février 2026</v>
      </c>
    </row>
    <row r="882" spans="1:16">
      <c r="A882" s="2" t="s">
        <v>969</v>
      </c>
      <c r="B882" s="3">
        <v>46326</v>
      </c>
      <c r="C882" s="2" t="s">
        <v>22</v>
      </c>
      <c r="D882" s="2" t="s">
        <v>23</v>
      </c>
      <c r="E882" s="2" t="s">
        <v>38</v>
      </c>
      <c r="F882" s="2" t="s">
        <v>28</v>
      </c>
      <c r="G882" s="2" t="s">
        <v>39</v>
      </c>
      <c r="H882" s="2" t="s">
        <v>40</v>
      </c>
      <c r="I882" s="2" t="s">
        <v>41</v>
      </c>
      <c r="J882" s="4">
        <v>3</v>
      </c>
      <c r="K882" s="5">
        <v>129.02000000000001</v>
      </c>
      <c r="L882" s="6">
        <v>0.05</v>
      </c>
      <c r="M882" s="5">
        <v>367.71</v>
      </c>
      <c r="P882" t="str">
        <f>TEXT(Tableau2[[#This Row],[Date]],"mmmm aaaa")</f>
        <v>octobre 2026</v>
      </c>
    </row>
    <row r="883" spans="1:16">
      <c r="A883" s="2" t="s">
        <v>970</v>
      </c>
      <c r="B883" s="3">
        <v>46236</v>
      </c>
      <c r="C883" s="2" t="s">
        <v>22</v>
      </c>
      <c r="D883" s="2" t="s">
        <v>23</v>
      </c>
      <c r="E883" s="2" t="s">
        <v>43</v>
      </c>
      <c r="F883" s="2" t="s">
        <v>17</v>
      </c>
      <c r="G883" s="2" t="s">
        <v>48</v>
      </c>
      <c r="H883" s="2" t="s">
        <v>77</v>
      </c>
      <c r="I883" s="2" t="s">
        <v>36</v>
      </c>
      <c r="J883" s="4">
        <v>6</v>
      </c>
      <c r="K883" s="5">
        <v>90.26</v>
      </c>
      <c r="L883" s="6">
        <v>0</v>
      </c>
      <c r="M883" s="5">
        <v>541.55999999999995</v>
      </c>
      <c r="P883" t="str">
        <f>TEXT(Tableau2[[#This Row],[Date]],"mmmm aaaa")</f>
        <v>août 2026</v>
      </c>
    </row>
    <row r="884" spans="1:16">
      <c r="A884" s="2" t="s">
        <v>971</v>
      </c>
      <c r="B884" s="3">
        <v>46336</v>
      </c>
      <c r="C884" s="2" t="s">
        <v>57</v>
      </c>
      <c r="D884" s="2" t="s">
        <v>15</v>
      </c>
      <c r="E884" s="2" t="s">
        <v>16</v>
      </c>
      <c r="F884" s="2" t="s">
        <v>17</v>
      </c>
      <c r="G884" s="2" t="s">
        <v>24</v>
      </c>
      <c r="H884" s="2" t="s">
        <v>35</v>
      </c>
      <c r="I884" s="2" t="s">
        <v>26</v>
      </c>
      <c r="J884" s="4">
        <v>5</v>
      </c>
      <c r="K884" s="5">
        <v>181.26</v>
      </c>
      <c r="L884" s="6">
        <v>0</v>
      </c>
      <c r="M884" s="5">
        <v>906.3</v>
      </c>
      <c r="P884" t="str">
        <f>TEXT(Tableau2[[#This Row],[Date]],"mmmm aaaa")</f>
        <v>novembre 2026</v>
      </c>
    </row>
    <row r="885" spans="1:16">
      <c r="A885" s="2" t="s">
        <v>972</v>
      </c>
      <c r="B885" s="3">
        <v>46337</v>
      </c>
      <c r="C885" s="2" t="s">
        <v>63</v>
      </c>
      <c r="D885" s="2" t="s">
        <v>33</v>
      </c>
      <c r="E885" s="2" t="s">
        <v>34</v>
      </c>
      <c r="F885" s="2" t="s">
        <v>17</v>
      </c>
      <c r="G885" s="2" t="s">
        <v>24</v>
      </c>
      <c r="H885" s="2" t="s">
        <v>61</v>
      </c>
      <c r="I885" s="2" t="s">
        <v>45</v>
      </c>
      <c r="J885" s="4">
        <v>8</v>
      </c>
      <c r="K885" s="5">
        <v>228.91</v>
      </c>
      <c r="L885" s="6">
        <v>0</v>
      </c>
      <c r="M885" s="5">
        <v>1831.28</v>
      </c>
      <c r="P885" t="str">
        <f>TEXT(Tableau2[[#This Row],[Date]],"mmmm aaaa")</f>
        <v>novembre 2026</v>
      </c>
    </row>
    <row r="886" spans="1:16">
      <c r="A886" s="2" t="s">
        <v>973</v>
      </c>
      <c r="B886" s="3">
        <v>46296</v>
      </c>
      <c r="C886" s="2" t="s">
        <v>14</v>
      </c>
      <c r="D886" s="2" t="s">
        <v>15</v>
      </c>
      <c r="E886" s="2" t="s">
        <v>43</v>
      </c>
      <c r="F886" s="2" t="s">
        <v>17</v>
      </c>
      <c r="G886" s="2" t="s">
        <v>18</v>
      </c>
      <c r="H886" s="2" t="s">
        <v>136</v>
      </c>
      <c r="I886" s="2" t="s">
        <v>58</v>
      </c>
      <c r="J886" s="4">
        <v>2</v>
      </c>
      <c r="K886" s="5">
        <v>33.619999999999997</v>
      </c>
      <c r="L886" s="6">
        <v>0</v>
      </c>
      <c r="M886" s="5">
        <v>67.239999999999995</v>
      </c>
      <c r="P886" t="str">
        <f>TEXT(Tableau2[[#This Row],[Date]],"mmmm aaaa")</f>
        <v>octobre 2026</v>
      </c>
    </row>
    <row r="887" spans="1:16">
      <c r="A887" s="2" t="s">
        <v>974</v>
      </c>
      <c r="B887" s="3">
        <v>46089</v>
      </c>
      <c r="C887" s="2" t="s">
        <v>90</v>
      </c>
      <c r="D887" s="2" t="s">
        <v>53</v>
      </c>
      <c r="E887" s="2" t="s">
        <v>38</v>
      </c>
      <c r="F887" s="2" t="s">
        <v>17</v>
      </c>
      <c r="G887" s="2" t="s">
        <v>39</v>
      </c>
      <c r="H887" s="2" t="s">
        <v>95</v>
      </c>
      <c r="I887" s="2" t="s">
        <v>26</v>
      </c>
      <c r="J887" s="4">
        <v>4</v>
      </c>
      <c r="K887" s="5">
        <v>98.26</v>
      </c>
      <c r="L887" s="6">
        <v>0</v>
      </c>
      <c r="M887" s="5">
        <v>393.04</v>
      </c>
      <c r="P887" t="str">
        <f>TEXT(Tableau2[[#This Row],[Date]],"mmmm aaaa")</f>
        <v>mars 2026</v>
      </c>
    </row>
    <row r="888" spans="1:16">
      <c r="A888" s="2" t="s">
        <v>975</v>
      </c>
      <c r="B888" s="3">
        <v>46135</v>
      </c>
      <c r="C888" s="2" t="s">
        <v>441</v>
      </c>
      <c r="D888" s="2" t="s">
        <v>23</v>
      </c>
      <c r="E888" s="2" t="s">
        <v>16</v>
      </c>
      <c r="F888" s="2" t="s">
        <v>28</v>
      </c>
      <c r="G888" s="2" t="s">
        <v>24</v>
      </c>
      <c r="H888" s="2" t="s">
        <v>82</v>
      </c>
      <c r="I888" s="2" t="s">
        <v>26</v>
      </c>
      <c r="J888" s="4">
        <v>3</v>
      </c>
      <c r="K888" s="5">
        <v>308.60000000000002</v>
      </c>
      <c r="L888" s="6">
        <v>0</v>
      </c>
      <c r="M888" s="5">
        <v>925.8</v>
      </c>
      <c r="P888" t="str">
        <f>TEXT(Tableau2[[#This Row],[Date]],"mmmm aaaa")</f>
        <v>avril 2026</v>
      </c>
    </row>
    <row r="889" spans="1:16">
      <c r="A889" s="2" t="s">
        <v>976</v>
      </c>
      <c r="B889" s="3">
        <v>46129</v>
      </c>
      <c r="C889" s="2" t="s">
        <v>22</v>
      </c>
      <c r="D889" s="2" t="s">
        <v>23</v>
      </c>
      <c r="E889" s="2" t="s">
        <v>16</v>
      </c>
      <c r="F889" s="2" t="s">
        <v>28</v>
      </c>
      <c r="G889" s="2" t="s">
        <v>39</v>
      </c>
      <c r="H889" s="2" t="s">
        <v>40</v>
      </c>
      <c r="I889" s="2" t="s">
        <v>58</v>
      </c>
      <c r="J889" s="4">
        <v>6</v>
      </c>
      <c r="K889" s="5">
        <v>137.63</v>
      </c>
      <c r="L889" s="6">
        <v>0</v>
      </c>
      <c r="M889" s="5">
        <v>825.78</v>
      </c>
      <c r="P889" t="str">
        <f>TEXT(Tableau2[[#This Row],[Date]],"mmmm aaaa")</f>
        <v>avril 2026</v>
      </c>
    </row>
    <row r="890" spans="1:16">
      <c r="A890" s="2" t="s">
        <v>977</v>
      </c>
      <c r="B890" s="3">
        <v>46105</v>
      </c>
      <c r="C890" s="2" t="s">
        <v>63</v>
      </c>
      <c r="D890" s="2" t="s">
        <v>33</v>
      </c>
      <c r="E890" s="2" t="s">
        <v>38</v>
      </c>
      <c r="F890" s="2" t="s">
        <v>17</v>
      </c>
      <c r="G890" s="2" t="s">
        <v>29</v>
      </c>
      <c r="H890" s="2" t="s">
        <v>30</v>
      </c>
      <c r="I890" s="2" t="s">
        <v>45</v>
      </c>
      <c r="J890" s="4">
        <v>1</v>
      </c>
      <c r="K890" s="5">
        <v>26.17</v>
      </c>
      <c r="L890" s="6">
        <v>0.2</v>
      </c>
      <c r="M890" s="5">
        <v>20.94</v>
      </c>
      <c r="P890" t="str">
        <f>TEXT(Tableau2[[#This Row],[Date]],"mmmm aaaa")</f>
        <v>mars 2026</v>
      </c>
    </row>
    <row r="891" spans="1:16">
      <c r="A891" s="2" t="s">
        <v>978</v>
      </c>
      <c r="B891" s="3">
        <v>46259</v>
      </c>
      <c r="C891" s="2" t="s">
        <v>90</v>
      </c>
      <c r="D891" s="2" t="s">
        <v>53</v>
      </c>
      <c r="E891" s="2" t="s">
        <v>16</v>
      </c>
      <c r="F891" s="2" t="s">
        <v>28</v>
      </c>
      <c r="G891" s="2" t="s">
        <v>29</v>
      </c>
      <c r="H891" s="2" t="s">
        <v>44</v>
      </c>
      <c r="I891" s="2" t="s">
        <v>75</v>
      </c>
      <c r="J891" s="4">
        <v>2</v>
      </c>
      <c r="K891" s="5">
        <v>40.950000000000003</v>
      </c>
      <c r="L891" s="6">
        <v>0</v>
      </c>
      <c r="M891" s="5">
        <v>81.900000000000006</v>
      </c>
      <c r="P891" t="str">
        <f>TEXT(Tableau2[[#This Row],[Date]],"mmmm aaaa")</f>
        <v>août 2026</v>
      </c>
    </row>
    <row r="892" spans="1:16">
      <c r="A892" s="2" t="s">
        <v>979</v>
      </c>
      <c r="B892" s="3">
        <v>46134</v>
      </c>
      <c r="C892" s="2" t="s">
        <v>164</v>
      </c>
      <c r="D892" s="2" t="s">
        <v>53</v>
      </c>
      <c r="E892" s="2" t="s">
        <v>38</v>
      </c>
      <c r="F892" s="2" t="s">
        <v>17</v>
      </c>
      <c r="G892" s="2" t="s">
        <v>48</v>
      </c>
      <c r="H892" s="2" t="s">
        <v>49</v>
      </c>
      <c r="I892" s="2" t="s">
        <v>75</v>
      </c>
      <c r="J892" s="4">
        <v>16</v>
      </c>
      <c r="K892" s="5">
        <v>59.18</v>
      </c>
      <c r="L892" s="6">
        <v>0</v>
      </c>
      <c r="M892" s="5">
        <v>946.88</v>
      </c>
      <c r="P892" t="str">
        <f>TEXT(Tableau2[[#This Row],[Date]],"mmmm aaaa")</f>
        <v>avril 2026</v>
      </c>
    </row>
    <row r="893" spans="1:16">
      <c r="A893" s="2" t="s">
        <v>980</v>
      </c>
      <c r="B893" s="3">
        <v>46342</v>
      </c>
      <c r="C893" s="2" t="s">
        <v>22</v>
      </c>
      <c r="D893" s="2" t="s">
        <v>23</v>
      </c>
      <c r="E893" s="2" t="s">
        <v>43</v>
      </c>
      <c r="F893" s="2" t="s">
        <v>17</v>
      </c>
      <c r="G893" s="2" t="s">
        <v>29</v>
      </c>
      <c r="H893" s="2" t="s">
        <v>44</v>
      </c>
      <c r="I893" s="2" t="s">
        <v>50</v>
      </c>
      <c r="J893" s="4">
        <v>4</v>
      </c>
      <c r="K893" s="5">
        <v>38.58</v>
      </c>
      <c r="L893" s="6">
        <v>0</v>
      </c>
      <c r="M893" s="5">
        <v>154.32</v>
      </c>
      <c r="P893" t="str">
        <f>TEXT(Tableau2[[#This Row],[Date]],"mmmm aaaa")</f>
        <v>novembre 2026</v>
      </c>
    </row>
    <row r="894" spans="1:16">
      <c r="A894" s="2" t="s">
        <v>981</v>
      </c>
      <c r="B894" s="3">
        <v>46348</v>
      </c>
      <c r="C894" s="2" t="s">
        <v>66</v>
      </c>
      <c r="D894" s="2" t="s">
        <v>23</v>
      </c>
      <c r="E894" s="2" t="s">
        <v>16</v>
      </c>
      <c r="F894" s="2" t="s">
        <v>28</v>
      </c>
      <c r="G894" s="2" t="s">
        <v>18</v>
      </c>
      <c r="H894" s="2" t="s">
        <v>19</v>
      </c>
      <c r="I894" s="2" t="s">
        <v>36</v>
      </c>
      <c r="J894" s="4">
        <v>4</v>
      </c>
      <c r="K894" s="5">
        <v>53.41</v>
      </c>
      <c r="L894" s="6">
        <v>0</v>
      </c>
      <c r="M894" s="5">
        <v>213.64</v>
      </c>
      <c r="P894" t="str">
        <f>TEXT(Tableau2[[#This Row],[Date]],"mmmm aaaa")</f>
        <v>novembre 2026</v>
      </c>
    </row>
    <row r="895" spans="1:16">
      <c r="A895" s="2" t="s">
        <v>982</v>
      </c>
      <c r="B895" s="3">
        <v>46282</v>
      </c>
      <c r="C895" s="2" t="s">
        <v>79</v>
      </c>
      <c r="D895" s="2" t="s">
        <v>33</v>
      </c>
      <c r="E895" s="2" t="s">
        <v>43</v>
      </c>
      <c r="F895" s="2" t="s">
        <v>28</v>
      </c>
      <c r="G895" s="2" t="s">
        <v>29</v>
      </c>
      <c r="H895" s="2" t="s">
        <v>30</v>
      </c>
      <c r="I895" s="2" t="s">
        <v>41</v>
      </c>
      <c r="J895" s="4">
        <v>5</v>
      </c>
      <c r="K895" s="5">
        <v>26.53</v>
      </c>
      <c r="L895" s="6">
        <v>0</v>
      </c>
      <c r="M895" s="5">
        <v>132.65</v>
      </c>
      <c r="P895" t="str">
        <f>TEXT(Tableau2[[#This Row],[Date]],"mmmm aaaa")</f>
        <v>septembre 2026</v>
      </c>
    </row>
    <row r="896" spans="1:16">
      <c r="A896" s="2" t="s">
        <v>983</v>
      </c>
      <c r="B896" s="3">
        <v>46310</v>
      </c>
      <c r="C896" s="2" t="s">
        <v>57</v>
      </c>
      <c r="D896" s="2" t="s">
        <v>15</v>
      </c>
      <c r="E896" s="2" t="s">
        <v>34</v>
      </c>
      <c r="F896" s="2" t="s">
        <v>28</v>
      </c>
      <c r="G896" s="2" t="s">
        <v>48</v>
      </c>
      <c r="H896" s="2" t="s">
        <v>49</v>
      </c>
      <c r="I896" s="2" t="s">
        <v>36</v>
      </c>
      <c r="J896" s="4">
        <v>1</v>
      </c>
      <c r="K896" s="5">
        <v>57.27</v>
      </c>
      <c r="L896" s="6">
        <v>0</v>
      </c>
      <c r="M896" s="5">
        <v>57.27</v>
      </c>
      <c r="P896" t="str">
        <f>TEXT(Tableau2[[#This Row],[Date]],"mmmm aaaa")</f>
        <v>octobre 2026</v>
      </c>
    </row>
    <row r="897" spans="1:16">
      <c r="A897" s="2" t="s">
        <v>984</v>
      </c>
      <c r="B897" s="3">
        <v>46332</v>
      </c>
      <c r="C897" s="2" t="s">
        <v>134</v>
      </c>
      <c r="D897" s="2" t="s">
        <v>15</v>
      </c>
      <c r="E897" s="2" t="s">
        <v>43</v>
      </c>
      <c r="F897" s="2" t="s">
        <v>17</v>
      </c>
      <c r="G897" s="2" t="s">
        <v>24</v>
      </c>
      <c r="H897" s="2" t="s">
        <v>61</v>
      </c>
      <c r="I897" s="2" t="s">
        <v>75</v>
      </c>
      <c r="J897" s="4">
        <v>5</v>
      </c>
      <c r="K897" s="5">
        <v>245.44</v>
      </c>
      <c r="L897" s="6">
        <v>0</v>
      </c>
      <c r="M897" s="5">
        <v>1227.2</v>
      </c>
      <c r="P897" t="str">
        <f>TEXT(Tableau2[[#This Row],[Date]],"mmmm aaaa")</f>
        <v>novembre 2026</v>
      </c>
    </row>
    <row r="898" spans="1:16">
      <c r="A898" s="2" t="s">
        <v>985</v>
      </c>
      <c r="B898" s="3">
        <v>46372</v>
      </c>
      <c r="C898" s="2" t="s">
        <v>52</v>
      </c>
      <c r="D898" s="2" t="s">
        <v>53</v>
      </c>
      <c r="E898" s="2" t="s">
        <v>38</v>
      </c>
      <c r="F898" s="2" t="s">
        <v>28</v>
      </c>
      <c r="G898" s="2" t="s">
        <v>18</v>
      </c>
      <c r="H898" s="2" t="s">
        <v>19</v>
      </c>
      <c r="I898" s="2" t="s">
        <v>45</v>
      </c>
      <c r="J898" s="4">
        <v>1</v>
      </c>
      <c r="K898" s="5">
        <v>53.4</v>
      </c>
      <c r="L898" s="6">
        <v>0.1</v>
      </c>
      <c r="M898" s="5">
        <v>48.06</v>
      </c>
      <c r="P898" t="str">
        <f>TEXT(Tableau2[[#This Row],[Date]],"mmmm aaaa")</f>
        <v>décembre 2026</v>
      </c>
    </row>
    <row r="899" spans="1:16">
      <c r="A899" s="2" t="s">
        <v>986</v>
      </c>
      <c r="B899" s="3">
        <v>46203</v>
      </c>
      <c r="C899" s="2" t="s">
        <v>106</v>
      </c>
      <c r="D899" s="2" t="s">
        <v>23</v>
      </c>
      <c r="E899" s="2" t="s">
        <v>34</v>
      </c>
      <c r="F899" s="2" t="s">
        <v>17</v>
      </c>
      <c r="G899" s="2" t="s">
        <v>48</v>
      </c>
      <c r="H899" s="2" t="s">
        <v>77</v>
      </c>
      <c r="I899" s="2" t="s">
        <v>41</v>
      </c>
      <c r="J899" s="4">
        <v>1</v>
      </c>
      <c r="K899" s="5">
        <v>77.47</v>
      </c>
      <c r="L899" s="6">
        <v>0.15</v>
      </c>
      <c r="M899" s="5">
        <v>65.849999999999994</v>
      </c>
      <c r="P899" t="str">
        <f>TEXT(Tableau2[[#This Row],[Date]],"mmmm aaaa")</f>
        <v>juin 2026</v>
      </c>
    </row>
    <row r="900" spans="1:16">
      <c r="A900" s="2" t="s">
        <v>987</v>
      </c>
      <c r="B900" s="3">
        <v>46356</v>
      </c>
      <c r="C900" s="2" t="s">
        <v>116</v>
      </c>
      <c r="D900" s="2" t="s">
        <v>15</v>
      </c>
      <c r="E900" s="2" t="s">
        <v>34</v>
      </c>
      <c r="F900" s="2" t="s">
        <v>28</v>
      </c>
      <c r="G900" s="2" t="s">
        <v>48</v>
      </c>
      <c r="H900" s="2" t="s">
        <v>49</v>
      </c>
      <c r="I900" s="2" t="s">
        <v>41</v>
      </c>
      <c r="J900" s="4">
        <v>4</v>
      </c>
      <c r="K900" s="5">
        <v>54.56</v>
      </c>
      <c r="L900" s="6">
        <v>0</v>
      </c>
      <c r="M900" s="5">
        <v>218.24</v>
      </c>
      <c r="P900" t="str">
        <f>TEXT(Tableau2[[#This Row],[Date]],"mmmm aaaa")</f>
        <v>novembre 2026</v>
      </c>
    </row>
    <row r="901" spans="1:16">
      <c r="A901" s="2" t="s">
        <v>988</v>
      </c>
      <c r="B901" s="3">
        <v>46060</v>
      </c>
      <c r="C901" s="2" t="s">
        <v>14</v>
      </c>
      <c r="D901" s="2" t="s">
        <v>15</v>
      </c>
      <c r="E901" s="2" t="s">
        <v>34</v>
      </c>
      <c r="F901" s="2" t="s">
        <v>28</v>
      </c>
      <c r="G901" s="2" t="s">
        <v>24</v>
      </c>
      <c r="H901" s="2" t="s">
        <v>61</v>
      </c>
      <c r="I901" s="2" t="s">
        <v>41</v>
      </c>
      <c r="J901" s="4">
        <v>1</v>
      </c>
      <c r="K901" s="5">
        <v>223.01</v>
      </c>
      <c r="L901" s="6">
        <v>0.1</v>
      </c>
      <c r="M901" s="5">
        <v>200.71</v>
      </c>
      <c r="P901" t="str">
        <f>TEXT(Tableau2[[#This Row],[Date]],"mmmm aaaa")</f>
        <v>février 2026</v>
      </c>
    </row>
    <row r="902" spans="1:16">
      <c r="A902" s="2" t="s">
        <v>989</v>
      </c>
      <c r="B902" s="3">
        <v>46151</v>
      </c>
      <c r="C902" s="2" t="s">
        <v>63</v>
      </c>
      <c r="D902" s="2" t="s">
        <v>33</v>
      </c>
      <c r="E902" s="2" t="s">
        <v>34</v>
      </c>
      <c r="F902" s="2" t="s">
        <v>17</v>
      </c>
      <c r="G902" s="2" t="s">
        <v>48</v>
      </c>
      <c r="H902" s="2" t="s">
        <v>88</v>
      </c>
      <c r="I902" s="2" t="s">
        <v>36</v>
      </c>
      <c r="J902" s="4">
        <v>2</v>
      </c>
      <c r="K902" s="5">
        <v>76.84</v>
      </c>
      <c r="L902" s="6">
        <v>0</v>
      </c>
      <c r="M902" s="5">
        <v>153.68</v>
      </c>
      <c r="P902" t="str">
        <f>TEXT(Tableau2[[#This Row],[Date]],"mmmm aaaa")</f>
        <v>mai 2026</v>
      </c>
    </row>
    <row r="903" spans="1:16">
      <c r="A903" s="2" t="s">
        <v>990</v>
      </c>
      <c r="B903" s="3">
        <v>46238</v>
      </c>
      <c r="C903" s="2" t="s">
        <v>57</v>
      </c>
      <c r="D903" s="2" t="s">
        <v>15</v>
      </c>
      <c r="E903" s="2" t="s">
        <v>38</v>
      </c>
      <c r="F903" s="2" t="s">
        <v>28</v>
      </c>
      <c r="G903" s="2" t="s">
        <v>39</v>
      </c>
      <c r="H903" s="2" t="s">
        <v>71</v>
      </c>
      <c r="I903" s="2" t="s">
        <v>75</v>
      </c>
      <c r="J903" s="4">
        <v>2</v>
      </c>
      <c r="K903" s="5">
        <v>110.75</v>
      </c>
      <c r="L903" s="6">
        <v>0.05</v>
      </c>
      <c r="M903" s="5">
        <v>210.42</v>
      </c>
      <c r="P903" t="str">
        <f>TEXT(Tableau2[[#This Row],[Date]],"mmmm aaaa")</f>
        <v>août 2026</v>
      </c>
    </row>
    <row r="904" spans="1:16">
      <c r="A904" s="2" t="s">
        <v>991</v>
      </c>
      <c r="B904" s="3">
        <v>46292</v>
      </c>
      <c r="C904" s="2" t="s">
        <v>130</v>
      </c>
      <c r="D904" s="2" t="s">
        <v>53</v>
      </c>
      <c r="E904" s="2" t="s">
        <v>16</v>
      </c>
      <c r="F904" s="2" t="s">
        <v>17</v>
      </c>
      <c r="G904" s="2" t="s">
        <v>29</v>
      </c>
      <c r="H904" s="2" t="s">
        <v>99</v>
      </c>
      <c r="I904" s="2" t="s">
        <v>50</v>
      </c>
      <c r="J904" s="4">
        <v>1</v>
      </c>
      <c r="K904" s="5">
        <v>63.8</v>
      </c>
      <c r="L904" s="6">
        <v>0.3</v>
      </c>
      <c r="M904" s="5">
        <v>44.66</v>
      </c>
      <c r="P904" t="str">
        <f>TEXT(Tableau2[[#This Row],[Date]],"mmmm aaaa")</f>
        <v>septembre 2026</v>
      </c>
    </row>
    <row r="905" spans="1:16">
      <c r="A905" s="2" t="s">
        <v>992</v>
      </c>
      <c r="B905" s="3">
        <v>46139</v>
      </c>
      <c r="C905" s="2" t="s">
        <v>47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143</v>
      </c>
      <c r="I905" s="2" t="s">
        <v>26</v>
      </c>
      <c r="J905" s="4">
        <v>2</v>
      </c>
      <c r="K905" s="5">
        <v>68.739999999999995</v>
      </c>
      <c r="L905" s="6">
        <v>0</v>
      </c>
      <c r="M905" s="5">
        <v>137.47999999999999</v>
      </c>
      <c r="P905" t="str">
        <f>TEXT(Tableau2[[#This Row],[Date]],"mmmm aaaa")</f>
        <v>avril 2026</v>
      </c>
    </row>
    <row r="906" spans="1:16">
      <c r="A906" s="2" t="s">
        <v>993</v>
      </c>
      <c r="B906" s="3">
        <v>46081</v>
      </c>
      <c r="C906" s="2" t="s">
        <v>160</v>
      </c>
      <c r="D906" s="2" t="s">
        <v>33</v>
      </c>
      <c r="E906" s="2" t="s">
        <v>16</v>
      </c>
      <c r="F906" s="2" t="s">
        <v>17</v>
      </c>
      <c r="G906" s="2" t="s">
        <v>54</v>
      </c>
      <c r="H906" s="2" t="s">
        <v>55</v>
      </c>
      <c r="I906" s="2" t="s">
        <v>50</v>
      </c>
      <c r="J906" s="4">
        <v>8</v>
      </c>
      <c r="K906" s="5">
        <v>160.66999999999999</v>
      </c>
      <c r="L906" s="6">
        <v>0</v>
      </c>
      <c r="M906" s="5">
        <v>1285.3599999999999</v>
      </c>
      <c r="P906" t="str">
        <f>TEXT(Tableau2[[#This Row],[Date]],"mmmm aaaa")</f>
        <v>février 2026</v>
      </c>
    </row>
    <row r="907" spans="1:16">
      <c r="A907" s="2" t="s">
        <v>994</v>
      </c>
      <c r="B907" s="3">
        <v>46115</v>
      </c>
      <c r="C907" s="2" t="s">
        <v>156</v>
      </c>
      <c r="D907" s="2" t="s">
        <v>15</v>
      </c>
      <c r="E907" s="2" t="s">
        <v>34</v>
      </c>
      <c r="F907" s="2" t="s">
        <v>17</v>
      </c>
      <c r="G907" s="2" t="s">
        <v>39</v>
      </c>
      <c r="H907" s="2" t="s">
        <v>71</v>
      </c>
      <c r="I907" s="2" t="s">
        <v>26</v>
      </c>
      <c r="J907" s="4">
        <v>4</v>
      </c>
      <c r="K907" s="5">
        <v>126.36</v>
      </c>
      <c r="L907" s="6">
        <v>0</v>
      </c>
      <c r="M907" s="5">
        <v>505.44</v>
      </c>
      <c r="P907" t="str">
        <f>TEXT(Tableau2[[#This Row],[Date]],"mmmm aaaa")</f>
        <v>avril 2026</v>
      </c>
    </row>
    <row r="908" spans="1:16">
      <c r="A908" s="2" t="s">
        <v>995</v>
      </c>
      <c r="B908" s="3">
        <v>46227</v>
      </c>
      <c r="C908" s="2" t="s">
        <v>60</v>
      </c>
      <c r="D908" s="2" t="s">
        <v>33</v>
      </c>
      <c r="E908" s="2" t="s">
        <v>34</v>
      </c>
      <c r="F908" s="2" t="s">
        <v>17</v>
      </c>
      <c r="G908" s="2" t="s">
        <v>39</v>
      </c>
      <c r="H908" s="2" t="s">
        <v>95</v>
      </c>
      <c r="I908" s="2" t="s">
        <v>20</v>
      </c>
      <c r="J908" s="4">
        <v>4</v>
      </c>
      <c r="K908" s="5">
        <v>100.34</v>
      </c>
      <c r="L908" s="6">
        <v>0</v>
      </c>
      <c r="M908" s="5">
        <v>401.36</v>
      </c>
      <c r="P908" t="str">
        <f>TEXT(Tableau2[[#This Row],[Date]],"mmmm aaaa")</f>
        <v>juillet 2026</v>
      </c>
    </row>
    <row r="909" spans="1:16">
      <c r="A909" s="2" t="s">
        <v>996</v>
      </c>
      <c r="B909" s="3">
        <v>46213</v>
      </c>
      <c r="C909" s="2" t="s">
        <v>63</v>
      </c>
      <c r="D909" s="2" t="s">
        <v>33</v>
      </c>
      <c r="E909" s="2" t="s">
        <v>16</v>
      </c>
      <c r="F909" s="2" t="s">
        <v>28</v>
      </c>
      <c r="G909" s="2" t="s">
        <v>24</v>
      </c>
      <c r="H909" s="2" t="s">
        <v>61</v>
      </c>
      <c r="I909" s="2" t="s">
        <v>50</v>
      </c>
      <c r="J909" s="4">
        <v>1</v>
      </c>
      <c r="K909" s="5">
        <v>230.52</v>
      </c>
      <c r="L909" s="6">
        <v>0</v>
      </c>
      <c r="M909" s="5">
        <v>230.52</v>
      </c>
      <c r="P909" t="str">
        <f>TEXT(Tableau2[[#This Row],[Date]],"mmmm aaaa")</f>
        <v>juillet 2026</v>
      </c>
    </row>
    <row r="910" spans="1:16">
      <c r="A910" s="2" t="s">
        <v>997</v>
      </c>
      <c r="B910" s="3">
        <v>46335</v>
      </c>
      <c r="C910" s="2" t="s">
        <v>156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2" t="s">
        <v>45</v>
      </c>
      <c r="J910" s="4">
        <v>2</v>
      </c>
      <c r="K910" s="5">
        <v>52.36</v>
      </c>
      <c r="L910" s="6">
        <v>0</v>
      </c>
      <c r="M910" s="5">
        <v>104.72</v>
      </c>
      <c r="P910" t="str">
        <f>TEXT(Tableau2[[#This Row],[Date]],"mmmm aaaa")</f>
        <v>novembre 2026</v>
      </c>
    </row>
    <row r="911" spans="1:16">
      <c r="A911" s="2" t="s">
        <v>998</v>
      </c>
      <c r="B911" s="3">
        <v>46286</v>
      </c>
      <c r="C911" s="2" t="s">
        <v>90</v>
      </c>
      <c r="D911" s="2" t="s">
        <v>53</v>
      </c>
      <c r="E911" s="2" t="s">
        <v>16</v>
      </c>
      <c r="F911" s="2" t="s">
        <v>28</v>
      </c>
      <c r="G911" s="2" t="s">
        <v>24</v>
      </c>
      <c r="H911" s="2" t="s">
        <v>82</v>
      </c>
      <c r="I911" s="2" t="s">
        <v>45</v>
      </c>
      <c r="J911" s="4">
        <v>2</v>
      </c>
      <c r="K911" s="5">
        <v>295.22000000000003</v>
      </c>
      <c r="L911" s="6">
        <v>0</v>
      </c>
      <c r="M911" s="5">
        <v>590.44000000000005</v>
      </c>
      <c r="P911" t="str">
        <f>TEXT(Tableau2[[#This Row],[Date]],"mmmm aaaa")</f>
        <v>septembre 2026</v>
      </c>
    </row>
    <row r="912" spans="1:16">
      <c r="A912" s="2" t="s">
        <v>999</v>
      </c>
      <c r="B912" s="3">
        <v>46051</v>
      </c>
      <c r="C912" s="2" t="s">
        <v>101</v>
      </c>
      <c r="D912" s="2" t="s">
        <v>33</v>
      </c>
      <c r="E912" s="2" t="s">
        <v>34</v>
      </c>
      <c r="F912" s="2" t="s">
        <v>17</v>
      </c>
      <c r="G912" s="2" t="s">
        <v>48</v>
      </c>
      <c r="H912" s="2" t="s">
        <v>88</v>
      </c>
      <c r="I912" s="2" t="s">
        <v>58</v>
      </c>
      <c r="J912" s="4">
        <v>2</v>
      </c>
      <c r="K912" s="5">
        <v>78.349999999999994</v>
      </c>
      <c r="L912" s="6">
        <v>0.05</v>
      </c>
      <c r="M912" s="5">
        <v>148.86000000000001</v>
      </c>
      <c r="P912" t="str">
        <f>TEXT(Tableau2[[#This Row],[Date]],"mmmm aaaa")</f>
        <v>janvier 2026</v>
      </c>
    </row>
    <row r="913" spans="1:16">
      <c r="A913" s="2" t="s">
        <v>1000</v>
      </c>
      <c r="B913" s="3">
        <v>46249</v>
      </c>
      <c r="C913" s="2" t="s">
        <v>52</v>
      </c>
      <c r="D913" s="2" t="s">
        <v>53</v>
      </c>
      <c r="E913" s="2" t="s">
        <v>16</v>
      </c>
      <c r="F913" s="2" t="s">
        <v>28</v>
      </c>
      <c r="G913" s="2" t="s">
        <v>29</v>
      </c>
      <c r="H913" s="2" t="s">
        <v>44</v>
      </c>
      <c r="I913" s="2" t="s">
        <v>36</v>
      </c>
      <c r="J913" s="4">
        <v>3</v>
      </c>
      <c r="K913" s="5">
        <v>37.020000000000003</v>
      </c>
      <c r="L913" s="6">
        <v>0</v>
      </c>
      <c r="M913" s="5">
        <v>111.06</v>
      </c>
      <c r="P913" t="str">
        <f>TEXT(Tableau2[[#This Row],[Date]],"mmmm aaaa")</f>
        <v>août 2026</v>
      </c>
    </row>
    <row r="914" spans="1:16">
      <c r="A914" s="2" t="s">
        <v>1001</v>
      </c>
      <c r="B914" s="3">
        <v>46371</v>
      </c>
      <c r="C914" s="2" t="s">
        <v>169</v>
      </c>
      <c r="D914" s="2" t="s">
        <v>33</v>
      </c>
      <c r="E914" s="2" t="s">
        <v>34</v>
      </c>
      <c r="F914" s="2" t="s">
        <v>17</v>
      </c>
      <c r="G914" s="2" t="s">
        <v>39</v>
      </c>
      <c r="H914" s="2" t="s">
        <v>95</v>
      </c>
      <c r="I914" s="2" t="s">
        <v>58</v>
      </c>
      <c r="J914" s="4">
        <v>2</v>
      </c>
      <c r="K914" s="5">
        <v>95.93</v>
      </c>
      <c r="L914" s="6">
        <v>0.1</v>
      </c>
      <c r="M914" s="5">
        <v>172.67</v>
      </c>
      <c r="P914" t="str">
        <f>TEXT(Tableau2[[#This Row],[Date]],"mmmm aaaa")</f>
        <v>décembre 2026</v>
      </c>
    </row>
    <row r="915" spans="1:16">
      <c r="A915" s="2" t="s">
        <v>1002</v>
      </c>
      <c r="B915" s="3">
        <v>46069</v>
      </c>
      <c r="C915" s="2" t="s">
        <v>32</v>
      </c>
      <c r="D915" s="2" t="s">
        <v>33</v>
      </c>
      <c r="E915" s="2" t="s">
        <v>43</v>
      </c>
      <c r="F915" s="2" t="s">
        <v>28</v>
      </c>
      <c r="G915" s="2" t="s">
        <v>24</v>
      </c>
      <c r="H915" s="2" t="s">
        <v>25</v>
      </c>
      <c r="I915" s="2" t="s">
        <v>50</v>
      </c>
      <c r="J915" s="4">
        <v>4</v>
      </c>
      <c r="K915" s="5">
        <v>132.38</v>
      </c>
      <c r="L915" s="6">
        <v>0.2</v>
      </c>
      <c r="M915" s="5">
        <v>423.62</v>
      </c>
      <c r="P915" t="str">
        <f>TEXT(Tableau2[[#This Row],[Date]],"mmmm aaaa")</f>
        <v>février 2026</v>
      </c>
    </row>
    <row r="916" spans="1:16">
      <c r="A916" s="2" t="s">
        <v>1003</v>
      </c>
      <c r="B916" s="3">
        <v>46081</v>
      </c>
      <c r="C916" s="2" t="s">
        <v>90</v>
      </c>
      <c r="D916" s="2" t="s">
        <v>53</v>
      </c>
      <c r="E916" s="2" t="s">
        <v>16</v>
      </c>
      <c r="F916" s="2" t="s">
        <v>28</v>
      </c>
      <c r="G916" s="2" t="s">
        <v>48</v>
      </c>
      <c r="H916" s="2" t="s">
        <v>88</v>
      </c>
      <c r="I916" s="2" t="s">
        <v>45</v>
      </c>
      <c r="J916" s="4">
        <v>4</v>
      </c>
      <c r="K916" s="5">
        <v>70.12</v>
      </c>
      <c r="L916" s="6">
        <v>0.2</v>
      </c>
      <c r="M916" s="5">
        <v>224.38</v>
      </c>
      <c r="P916" t="str">
        <f>TEXT(Tableau2[[#This Row],[Date]],"mmmm aaaa")</f>
        <v>février 2026</v>
      </c>
    </row>
    <row r="917" spans="1:16">
      <c r="A917" s="2" t="s">
        <v>1004</v>
      </c>
      <c r="B917" s="3">
        <v>46184</v>
      </c>
      <c r="C917" s="2" t="s">
        <v>119</v>
      </c>
      <c r="D917" s="2" t="s">
        <v>15</v>
      </c>
      <c r="E917" s="2" t="s">
        <v>34</v>
      </c>
      <c r="F917" s="2" t="s">
        <v>17</v>
      </c>
      <c r="G917" s="2" t="s">
        <v>18</v>
      </c>
      <c r="H917" s="2" t="s">
        <v>143</v>
      </c>
      <c r="I917" s="2" t="s">
        <v>45</v>
      </c>
      <c r="J917" s="4">
        <v>7</v>
      </c>
      <c r="K917" s="5">
        <v>72.16</v>
      </c>
      <c r="L917" s="6">
        <v>0</v>
      </c>
      <c r="M917" s="5">
        <v>505.12</v>
      </c>
      <c r="P917" t="str">
        <f>TEXT(Tableau2[[#This Row],[Date]],"mmmm aaaa")</f>
        <v>juin 2026</v>
      </c>
    </row>
    <row r="918" spans="1:16">
      <c r="A918" s="2" t="s">
        <v>1005</v>
      </c>
      <c r="B918" s="3">
        <v>46336</v>
      </c>
      <c r="C918" s="2" t="s">
        <v>66</v>
      </c>
      <c r="D918" s="2" t="s">
        <v>23</v>
      </c>
      <c r="E918" s="2" t="s">
        <v>16</v>
      </c>
      <c r="F918" s="2" t="s">
        <v>28</v>
      </c>
      <c r="G918" s="2" t="s">
        <v>18</v>
      </c>
      <c r="H918" s="2" t="s">
        <v>158</v>
      </c>
      <c r="I918" s="2" t="s">
        <v>58</v>
      </c>
      <c r="J918" s="4">
        <v>4</v>
      </c>
      <c r="K918" s="5">
        <v>45.52</v>
      </c>
      <c r="L918" s="6">
        <v>0.05</v>
      </c>
      <c r="M918" s="5">
        <v>172.98</v>
      </c>
      <c r="P918" t="str">
        <f>TEXT(Tableau2[[#This Row],[Date]],"mmmm aaaa")</f>
        <v>novembre 2026</v>
      </c>
    </row>
    <row r="919" spans="1:16">
      <c r="A919" s="2" t="s">
        <v>1006</v>
      </c>
      <c r="B919" s="3">
        <v>46037</v>
      </c>
      <c r="C919" s="2" t="s">
        <v>116</v>
      </c>
      <c r="D919" s="2" t="s">
        <v>15</v>
      </c>
      <c r="E919" s="2" t="s">
        <v>16</v>
      </c>
      <c r="F919" s="2" t="s">
        <v>28</v>
      </c>
      <c r="G919" s="2" t="s">
        <v>24</v>
      </c>
      <c r="H919" s="2" t="s">
        <v>35</v>
      </c>
      <c r="I919" s="2" t="s">
        <v>50</v>
      </c>
      <c r="J919" s="4">
        <v>1</v>
      </c>
      <c r="K919" s="5">
        <v>176.94</v>
      </c>
      <c r="L919" s="6">
        <v>0</v>
      </c>
      <c r="M919" s="5">
        <v>176.94</v>
      </c>
      <c r="P919" t="str">
        <f>TEXT(Tableau2[[#This Row],[Date]],"mmmm aaaa")</f>
        <v>janvier 2026</v>
      </c>
    </row>
    <row r="920" spans="1:16">
      <c r="A920" s="2" t="s">
        <v>1007</v>
      </c>
      <c r="B920" s="3">
        <v>46099</v>
      </c>
      <c r="C920" s="2" t="s">
        <v>52</v>
      </c>
      <c r="D920" s="2" t="s">
        <v>53</v>
      </c>
      <c r="E920" s="2" t="s">
        <v>34</v>
      </c>
      <c r="F920" s="2" t="s">
        <v>17</v>
      </c>
      <c r="G920" s="2" t="s">
        <v>24</v>
      </c>
      <c r="H920" s="2" t="s">
        <v>61</v>
      </c>
      <c r="I920" s="2" t="s">
        <v>41</v>
      </c>
      <c r="J920" s="4">
        <v>1</v>
      </c>
      <c r="K920" s="5">
        <v>237.44</v>
      </c>
      <c r="L920" s="6">
        <v>0</v>
      </c>
      <c r="M920" s="5">
        <v>237.44</v>
      </c>
      <c r="P920" t="str">
        <f>TEXT(Tableau2[[#This Row],[Date]],"mmmm aaaa")</f>
        <v>mars 2026</v>
      </c>
    </row>
    <row r="921" spans="1:16">
      <c r="A921" s="2" t="s">
        <v>1008</v>
      </c>
      <c r="B921" s="3">
        <v>46324</v>
      </c>
      <c r="C921" s="2" t="s">
        <v>22</v>
      </c>
      <c r="D921" s="2" t="s">
        <v>23</v>
      </c>
      <c r="E921" s="2" t="s">
        <v>16</v>
      </c>
      <c r="F921" s="2" t="s">
        <v>17</v>
      </c>
      <c r="G921" s="2" t="s">
        <v>48</v>
      </c>
      <c r="H921" s="2" t="s">
        <v>88</v>
      </c>
      <c r="I921" s="2" t="s">
        <v>36</v>
      </c>
      <c r="J921" s="4">
        <v>2</v>
      </c>
      <c r="K921" s="5">
        <v>70.459999999999994</v>
      </c>
      <c r="L921" s="6">
        <v>0.15</v>
      </c>
      <c r="M921" s="5">
        <v>119.78</v>
      </c>
      <c r="P921" t="str">
        <f>TEXT(Tableau2[[#This Row],[Date]],"mmmm aaaa")</f>
        <v>octobre 2026</v>
      </c>
    </row>
    <row r="922" spans="1:16">
      <c r="A922" s="2" t="s">
        <v>1009</v>
      </c>
      <c r="B922" s="3">
        <v>46331</v>
      </c>
      <c r="C922" s="2" t="s">
        <v>130</v>
      </c>
      <c r="D922" s="2" t="s">
        <v>53</v>
      </c>
      <c r="E922" s="2" t="s">
        <v>43</v>
      </c>
      <c r="F922" s="2" t="s">
        <v>17</v>
      </c>
      <c r="G922" s="2" t="s">
        <v>29</v>
      </c>
      <c r="H922" s="2" t="s">
        <v>30</v>
      </c>
      <c r="I922" s="2" t="s">
        <v>41</v>
      </c>
      <c r="J922" s="4">
        <v>13</v>
      </c>
      <c r="K922" s="5">
        <v>27.32</v>
      </c>
      <c r="L922" s="6">
        <v>0.05</v>
      </c>
      <c r="M922" s="5">
        <v>337.4</v>
      </c>
      <c r="P922" t="str">
        <f>TEXT(Tableau2[[#This Row],[Date]],"mmmm aaaa")</f>
        <v>novembre 2026</v>
      </c>
    </row>
    <row r="923" spans="1:16">
      <c r="A923" s="2" t="s">
        <v>1010</v>
      </c>
      <c r="B923" s="3">
        <v>46047</v>
      </c>
      <c r="C923" s="2" t="s">
        <v>134</v>
      </c>
      <c r="D923" s="2" t="s">
        <v>15</v>
      </c>
      <c r="E923" s="2" t="s">
        <v>43</v>
      </c>
      <c r="F923" s="2" t="s">
        <v>28</v>
      </c>
      <c r="G923" s="2" t="s">
        <v>29</v>
      </c>
      <c r="H923" s="2" t="s">
        <v>30</v>
      </c>
      <c r="I923" s="2" t="s">
        <v>26</v>
      </c>
      <c r="J923" s="4">
        <v>1</v>
      </c>
      <c r="K923" s="5">
        <v>26.62</v>
      </c>
      <c r="L923" s="6">
        <v>0</v>
      </c>
      <c r="M923" s="5">
        <v>26.62</v>
      </c>
      <c r="P923" t="str">
        <f>TEXT(Tableau2[[#This Row],[Date]],"mmmm aaaa")</f>
        <v>janvier 2026</v>
      </c>
    </row>
    <row r="924" spans="1:16">
      <c r="A924" s="2" t="s">
        <v>1011</v>
      </c>
      <c r="B924" s="3">
        <v>46283</v>
      </c>
      <c r="C924" s="2" t="s">
        <v>94</v>
      </c>
      <c r="D924" s="2" t="s">
        <v>15</v>
      </c>
      <c r="E924" s="2" t="s">
        <v>34</v>
      </c>
      <c r="F924" s="2" t="s">
        <v>17</v>
      </c>
      <c r="G924" s="2" t="s">
        <v>48</v>
      </c>
      <c r="H924" s="2" t="s">
        <v>84</v>
      </c>
      <c r="I924" s="2" t="s">
        <v>50</v>
      </c>
      <c r="J924" s="4">
        <v>5</v>
      </c>
      <c r="K924" s="5">
        <v>94.67</v>
      </c>
      <c r="L924" s="6">
        <v>0.15</v>
      </c>
      <c r="M924" s="5">
        <v>402.35</v>
      </c>
      <c r="P924" t="str">
        <f>TEXT(Tableau2[[#This Row],[Date]],"mmmm aaaa")</f>
        <v>septembre 2026</v>
      </c>
    </row>
    <row r="925" spans="1:16">
      <c r="A925" s="2" t="s">
        <v>1012</v>
      </c>
      <c r="B925" s="3">
        <v>46146</v>
      </c>
      <c r="C925" s="2" t="s">
        <v>22</v>
      </c>
      <c r="D925" s="2" t="s">
        <v>23</v>
      </c>
      <c r="E925" s="2" t="s">
        <v>34</v>
      </c>
      <c r="F925" s="2" t="s">
        <v>17</v>
      </c>
      <c r="G925" s="2" t="s">
        <v>18</v>
      </c>
      <c r="H925" s="2" t="s">
        <v>143</v>
      </c>
      <c r="I925" s="2" t="s">
        <v>26</v>
      </c>
      <c r="J925" s="4">
        <v>2</v>
      </c>
      <c r="K925" s="5">
        <v>64.569999999999993</v>
      </c>
      <c r="L925" s="6">
        <v>0</v>
      </c>
      <c r="M925" s="5">
        <v>129.13999999999999</v>
      </c>
      <c r="P925" t="str">
        <f>TEXT(Tableau2[[#This Row],[Date]],"mmmm aaaa")</f>
        <v>mai 2026</v>
      </c>
    </row>
    <row r="926" spans="1:16">
      <c r="A926" s="2" t="s">
        <v>1013</v>
      </c>
      <c r="B926" s="3">
        <v>46278</v>
      </c>
      <c r="C926" s="2" t="s">
        <v>63</v>
      </c>
      <c r="D926" s="2" t="s">
        <v>33</v>
      </c>
      <c r="E926" s="2" t="s">
        <v>34</v>
      </c>
      <c r="F926" s="2" t="s">
        <v>17</v>
      </c>
      <c r="G926" s="2" t="s">
        <v>48</v>
      </c>
      <c r="H926" s="2" t="s">
        <v>77</v>
      </c>
      <c r="I926" s="2" t="s">
        <v>41</v>
      </c>
      <c r="J926" s="4">
        <v>1</v>
      </c>
      <c r="K926" s="5">
        <v>88.26</v>
      </c>
      <c r="L926" s="6">
        <v>0</v>
      </c>
      <c r="M926" s="5">
        <v>88.26</v>
      </c>
      <c r="P926" t="str">
        <f>TEXT(Tableau2[[#This Row],[Date]],"mmmm aaaa")</f>
        <v>septembre 2026</v>
      </c>
    </row>
    <row r="927" spans="1:16">
      <c r="A927" s="2" t="s">
        <v>1014</v>
      </c>
      <c r="B927" s="3">
        <v>46038</v>
      </c>
      <c r="C927" s="2" t="s">
        <v>156</v>
      </c>
      <c r="D927" s="2" t="s">
        <v>15</v>
      </c>
      <c r="E927" s="2" t="s">
        <v>34</v>
      </c>
      <c r="F927" s="2" t="s">
        <v>28</v>
      </c>
      <c r="G927" s="2" t="s">
        <v>18</v>
      </c>
      <c r="H927" s="2" t="s">
        <v>158</v>
      </c>
      <c r="I927" s="2" t="s">
        <v>36</v>
      </c>
      <c r="J927" s="4">
        <v>2</v>
      </c>
      <c r="K927" s="5">
        <v>49.01</v>
      </c>
      <c r="L927" s="6">
        <v>0</v>
      </c>
      <c r="M927" s="5">
        <v>98.02</v>
      </c>
      <c r="P927" t="str">
        <f>TEXT(Tableau2[[#This Row],[Date]],"mmmm aaaa")</f>
        <v>janvier 2026</v>
      </c>
    </row>
    <row r="928" spans="1:16">
      <c r="A928" s="2" t="s">
        <v>1015</v>
      </c>
      <c r="B928" s="3">
        <v>46234</v>
      </c>
      <c r="C928" s="2" t="s">
        <v>116</v>
      </c>
      <c r="D928" s="2" t="s">
        <v>15</v>
      </c>
      <c r="E928" s="2" t="s">
        <v>34</v>
      </c>
      <c r="F928" s="2" t="s">
        <v>17</v>
      </c>
      <c r="G928" s="2" t="s">
        <v>18</v>
      </c>
      <c r="H928" s="2" t="s">
        <v>19</v>
      </c>
      <c r="I928" s="2" t="s">
        <v>20</v>
      </c>
      <c r="J928" s="4">
        <v>2</v>
      </c>
      <c r="K928" s="5">
        <v>58.28</v>
      </c>
      <c r="L928" s="6">
        <v>0</v>
      </c>
      <c r="M928" s="5">
        <v>116.56</v>
      </c>
      <c r="P928" t="str">
        <f>TEXT(Tableau2[[#This Row],[Date]],"mmmm aaaa")</f>
        <v>juillet 2026</v>
      </c>
    </row>
    <row r="929" spans="1:16">
      <c r="A929" s="2" t="s">
        <v>1016</v>
      </c>
      <c r="B929" s="3">
        <v>46206</v>
      </c>
      <c r="C929" s="2" t="s">
        <v>94</v>
      </c>
      <c r="D929" s="2" t="s">
        <v>15</v>
      </c>
      <c r="E929" s="2" t="s">
        <v>34</v>
      </c>
      <c r="F929" s="2" t="s">
        <v>28</v>
      </c>
      <c r="G929" s="2" t="s">
        <v>18</v>
      </c>
      <c r="H929" s="2" t="s">
        <v>19</v>
      </c>
      <c r="I929" s="2" t="s">
        <v>36</v>
      </c>
      <c r="J929" s="4">
        <v>2</v>
      </c>
      <c r="K929" s="5">
        <v>50.12</v>
      </c>
      <c r="L929" s="6">
        <v>0</v>
      </c>
      <c r="M929" s="5">
        <v>100.24</v>
      </c>
      <c r="P929" t="str">
        <f>TEXT(Tableau2[[#This Row],[Date]],"mmmm aaaa")</f>
        <v>juillet 2026</v>
      </c>
    </row>
    <row r="930" spans="1:16">
      <c r="A930" s="2" t="s">
        <v>1017</v>
      </c>
      <c r="B930" s="3">
        <v>46342</v>
      </c>
      <c r="C930" s="2" t="s">
        <v>125</v>
      </c>
      <c r="D930" s="2" t="s">
        <v>23</v>
      </c>
      <c r="E930" s="2" t="s">
        <v>38</v>
      </c>
      <c r="F930" s="2" t="s">
        <v>17</v>
      </c>
      <c r="G930" s="2" t="s">
        <v>39</v>
      </c>
      <c r="H930" s="2" t="s">
        <v>95</v>
      </c>
      <c r="I930" s="2" t="s">
        <v>41</v>
      </c>
      <c r="J930" s="4">
        <v>1</v>
      </c>
      <c r="K930" s="5">
        <v>105.21</v>
      </c>
      <c r="L930" s="6">
        <v>0</v>
      </c>
      <c r="M930" s="5">
        <v>105.21</v>
      </c>
      <c r="P930" t="str">
        <f>TEXT(Tableau2[[#This Row],[Date]],"mmmm aaaa")</f>
        <v>novembre 2026</v>
      </c>
    </row>
    <row r="931" spans="1:16">
      <c r="A931" s="2" t="s">
        <v>1018</v>
      </c>
      <c r="B931" s="3">
        <v>46278</v>
      </c>
      <c r="C931" s="2" t="s">
        <v>66</v>
      </c>
      <c r="D931" s="2" t="s">
        <v>23</v>
      </c>
      <c r="E931" s="2" t="s">
        <v>16</v>
      </c>
      <c r="F931" s="2" t="s">
        <v>17</v>
      </c>
      <c r="G931" s="2" t="s">
        <v>24</v>
      </c>
      <c r="H931" s="2" t="s">
        <v>35</v>
      </c>
      <c r="I931" s="2" t="s">
        <v>75</v>
      </c>
      <c r="J931" s="4">
        <v>2</v>
      </c>
      <c r="K931" s="5">
        <v>167.19</v>
      </c>
      <c r="L931" s="6">
        <v>0.3</v>
      </c>
      <c r="M931" s="5">
        <v>234.07</v>
      </c>
      <c r="P931" t="str">
        <f>TEXT(Tableau2[[#This Row],[Date]],"mmmm aaaa")</f>
        <v>septembre 2026</v>
      </c>
    </row>
    <row r="932" spans="1:16">
      <c r="A932" s="2" t="s">
        <v>1019</v>
      </c>
      <c r="B932" s="3">
        <v>46163</v>
      </c>
      <c r="C932" s="2" t="s">
        <v>63</v>
      </c>
      <c r="D932" s="2" t="s">
        <v>33</v>
      </c>
      <c r="E932" s="2" t="s">
        <v>34</v>
      </c>
      <c r="F932" s="2" t="s">
        <v>17</v>
      </c>
      <c r="G932" s="2" t="s">
        <v>54</v>
      </c>
      <c r="H932" s="2" t="s">
        <v>102</v>
      </c>
      <c r="I932" s="2" t="s">
        <v>50</v>
      </c>
      <c r="J932" s="4">
        <v>1</v>
      </c>
      <c r="K932" s="5">
        <v>209.09</v>
      </c>
      <c r="L932" s="6">
        <v>0.05</v>
      </c>
      <c r="M932" s="5">
        <v>198.64</v>
      </c>
      <c r="P932" t="str">
        <f>TEXT(Tableau2[[#This Row],[Date]],"mmmm aaaa")</f>
        <v>mai 2026</v>
      </c>
    </row>
    <row r="933" spans="1:16">
      <c r="A933" s="2" t="s">
        <v>1020</v>
      </c>
      <c r="B933" s="3">
        <v>46076</v>
      </c>
      <c r="C933" s="2" t="s">
        <v>156</v>
      </c>
      <c r="D933" s="2" t="s">
        <v>15</v>
      </c>
      <c r="E933" s="2" t="s">
        <v>43</v>
      </c>
      <c r="F933" s="2" t="s">
        <v>17</v>
      </c>
      <c r="G933" s="2" t="s">
        <v>24</v>
      </c>
      <c r="H933" s="2" t="s">
        <v>35</v>
      </c>
      <c r="I933" s="2" t="s">
        <v>41</v>
      </c>
      <c r="J933" s="4">
        <v>1</v>
      </c>
      <c r="K933" s="5">
        <v>161.53</v>
      </c>
      <c r="L933" s="6">
        <v>0</v>
      </c>
      <c r="M933" s="5">
        <v>161.53</v>
      </c>
      <c r="P933" t="str">
        <f>TEXT(Tableau2[[#This Row],[Date]],"mmmm aaaa")</f>
        <v>février 2026</v>
      </c>
    </row>
    <row r="934" spans="1:16">
      <c r="A934" s="2" t="s">
        <v>1021</v>
      </c>
      <c r="B934" s="3">
        <v>46305</v>
      </c>
      <c r="C934" s="2" t="s">
        <v>22</v>
      </c>
      <c r="D934" s="2" t="s">
        <v>23</v>
      </c>
      <c r="E934" s="2" t="s">
        <v>43</v>
      </c>
      <c r="F934" s="2" t="s">
        <v>17</v>
      </c>
      <c r="G934" s="2" t="s">
        <v>18</v>
      </c>
      <c r="H934" s="2" t="s">
        <v>158</v>
      </c>
      <c r="I934" s="2" t="s">
        <v>26</v>
      </c>
      <c r="J934" s="4">
        <v>4</v>
      </c>
      <c r="K934" s="5">
        <v>43.21</v>
      </c>
      <c r="L934" s="6">
        <v>0</v>
      </c>
      <c r="M934" s="5">
        <v>172.84</v>
      </c>
      <c r="P934" t="str">
        <f>TEXT(Tableau2[[#This Row],[Date]],"mmmm aaaa")</f>
        <v>octobre 2026</v>
      </c>
    </row>
    <row r="935" spans="1:16">
      <c r="A935" s="2" t="s">
        <v>1022</v>
      </c>
      <c r="B935" s="3">
        <v>46281</v>
      </c>
      <c r="C935" s="2" t="s">
        <v>106</v>
      </c>
      <c r="D935" s="2" t="s">
        <v>23</v>
      </c>
      <c r="E935" s="2" t="s">
        <v>34</v>
      </c>
      <c r="F935" s="2" t="s">
        <v>28</v>
      </c>
      <c r="G935" s="2" t="s">
        <v>24</v>
      </c>
      <c r="H935" s="2" t="s">
        <v>35</v>
      </c>
      <c r="I935" s="2" t="s">
        <v>58</v>
      </c>
      <c r="J935" s="4">
        <v>1</v>
      </c>
      <c r="K935" s="5">
        <v>180.69</v>
      </c>
      <c r="L935" s="6">
        <v>0</v>
      </c>
      <c r="M935" s="5">
        <v>180.69</v>
      </c>
      <c r="P935" t="str">
        <f>TEXT(Tableau2[[#This Row],[Date]],"mmmm aaaa")</f>
        <v>septembre 2026</v>
      </c>
    </row>
    <row r="936" spans="1:16">
      <c r="A936" s="2" t="s">
        <v>1023</v>
      </c>
      <c r="B936" s="3">
        <v>46185</v>
      </c>
      <c r="C936" s="2" t="s">
        <v>14</v>
      </c>
      <c r="D936" s="2" t="s">
        <v>15</v>
      </c>
      <c r="E936" s="2" t="s">
        <v>43</v>
      </c>
      <c r="F936" s="2" t="s">
        <v>17</v>
      </c>
      <c r="G936" s="2" t="s">
        <v>54</v>
      </c>
      <c r="H936" s="2" t="s">
        <v>64</v>
      </c>
      <c r="I936" s="2" t="s">
        <v>26</v>
      </c>
      <c r="J936" s="4">
        <v>5</v>
      </c>
      <c r="K936" s="5">
        <v>95.71</v>
      </c>
      <c r="L936" s="6">
        <v>0</v>
      </c>
      <c r="M936" s="5">
        <v>478.55</v>
      </c>
      <c r="P936" t="str">
        <f>TEXT(Tableau2[[#This Row],[Date]],"mmmm aaaa")</f>
        <v>juin 2026</v>
      </c>
    </row>
    <row r="937" spans="1:16">
      <c r="A937" s="2" t="s">
        <v>1024</v>
      </c>
      <c r="B937" s="3">
        <v>46101</v>
      </c>
      <c r="C937" s="2" t="s">
        <v>178</v>
      </c>
      <c r="D937" s="2" t="s">
        <v>15</v>
      </c>
      <c r="E937" s="2" t="s">
        <v>43</v>
      </c>
      <c r="F937" s="2" t="s">
        <v>17</v>
      </c>
      <c r="G937" s="2" t="s">
        <v>29</v>
      </c>
      <c r="H937" s="2" t="s">
        <v>44</v>
      </c>
      <c r="I937" s="2" t="s">
        <v>58</v>
      </c>
      <c r="J937" s="4">
        <v>3</v>
      </c>
      <c r="K937" s="5">
        <v>39.950000000000003</v>
      </c>
      <c r="L937" s="6">
        <v>0</v>
      </c>
      <c r="M937" s="5">
        <v>119.85</v>
      </c>
      <c r="P937" t="str">
        <f>TEXT(Tableau2[[#This Row],[Date]],"mmmm aaaa")</f>
        <v>mars 2026</v>
      </c>
    </row>
    <row r="938" spans="1:16">
      <c r="A938" s="2" t="s">
        <v>1025</v>
      </c>
      <c r="B938" s="3">
        <v>46228</v>
      </c>
      <c r="C938" s="2" t="s">
        <v>47</v>
      </c>
      <c r="D938" s="2" t="s">
        <v>15</v>
      </c>
      <c r="E938" s="2" t="s">
        <v>38</v>
      </c>
      <c r="F938" s="2" t="s">
        <v>28</v>
      </c>
      <c r="G938" s="2" t="s">
        <v>24</v>
      </c>
      <c r="H938" s="2" t="s">
        <v>35</v>
      </c>
      <c r="I938" s="2" t="s">
        <v>41</v>
      </c>
      <c r="J938" s="4">
        <v>3</v>
      </c>
      <c r="K938" s="5">
        <v>159.82</v>
      </c>
      <c r="L938" s="6">
        <v>0.1</v>
      </c>
      <c r="M938" s="5">
        <v>431.51</v>
      </c>
      <c r="P938" t="str">
        <f>TEXT(Tableau2[[#This Row],[Date]],"mmmm aaaa")</f>
        <v>juillet 2026</v>
      </c>
    </row>
    <row r="939" spans="1:16">
      <c r="A939" s="2" t="s">
        <v>1026</v>
      </c>
      <c r="B939" s="3">
        <v>46108</v>
      </c>
      <c r="C939" s="2" t="s">
        <v>63</v>
      </c>
      <c r="D939" s="2" t="s">
        <v>33</v>
      </c>
      <c r="E939" s="2" t="s">
        <v>16</v>
      </c>
      <c r="F939" s="2" t="s">
        <v>17</v>
      </c>
      <c r="G939" s="2" t="s">
        <v>54</v>
      </c>
      <c r="H939" s="2" t="s">
        <v>64</v>
      </c>
      <c r="I939" s="2" t="s">
        <v>20</v>
      </c>
      <c r="J939" s="4">
        <v>2</v>
      </c>
      <c r="K939" s="5">
        <v>91.54</v>
      </c>
      <c r="L939" s="6">
        <v>0.1</v>
      </c>
      <c r="M939" s="5">
        <v>164.77</v>
      </c>
      <c r="P939" t="str">
        <f>TEXT(Tableau2[[#This Row],[Date]],"mmmm aaaa")</f>
        <v>mars 2026</v>
      </c>
    </row>
    <row r="940" spans="1:16">
      <c r="A940" s="2" t="s">
        <v>1027</v>
      </c>
      <c r="B940" s="3">
        <v>46182</v>
      </c>
      <c r="C940" s="2" t="s">
        <v>119</v>
      </c>
      <c r="D940" s="2" t="s">
        <v>15</v>
      </c>
      <c r="E940" s="2" t="s">
        <v>16</v>
      </c>
      <c r="F940" s="2" t="s">
        <v>28</v>
      </c>
      <c r="G940" s="2" t="s">
        <v>29</v>
      </c>
      <c r="H940" s="2" t="s">
        <v>99</v>
      </c>
      <c r="I940" s="2" t="s">
        <v>58</v>
      </c>
      <c r="J940" s="4">
        <v>1</v>
      </c>
      <c r="K940" s="5">
        <v>64.900000000000006</v>
      </c>
      <c r="L940" s="6">
        <v>0</v>
      </c>
      <c r="M940" s="5">
        <v>64.900000000000006</v>
      </c>
      <c r="P940" t="str">
        <f>TEXT(Tableau2[[#This Row],[Date]],"mmmm aaaa")</f>
        <v>juin 2026</v>
      </c>
    </row>
    <row r="941" spans="1:16">
      <c r="A941" s="2" t="s">
        <v>1028</v>
      </c>
      <c r="B941" s="3">
        <v>46129</v>
      </c>
      <c r="C941" s="2" t="s">
        <v>94</v>
      </c>
      <c r="D941" s="2" t="s">
        <v>15</v>
      </c>
      <c r="E941" s="2" t="s">
        <v>34</v>
      </c>
      <c r="F941" s="2" t="s">
        <v>17</v>
      </c>
      <c r="G941" s="2" t="s">
        <v>18</v>
      </c>
      <c r="H941" s="2" t="s">
        <v>136</v>
      </c>
      <c r="I941" s="2" t="s">
        <v>58</v>
      </c>
      <c r="J941" s="4">
        <v>2</v>
      </c>
      <c r="K941" s="5">
        <v>31.31</v>
      </c>
      <c r="L941" s="6">
        <v>0</v>
      </c>
      <c r="M941" s="5">
        <v>62.62</v>
      </c>
      <c r="P941" t="str">
        <f>TEXT(Tableau2[[#This Row],[Date]],"mmmm aaaa")</f>
        <v>avril 2026</v>
      </c>
    </row>
    <row r="942" spans="1:16">
      <c r="A942" s="2" t="s">
        <v>1029</v>
      </c>
      <c r="B942" s="3">
        <v>46199</v>
      </c>
      <c r="C942" s="2" t="s">
        <v>14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136</v>
      </c>
      <c r="I942" s="2" t="s">
        <v>41</v>
      </c>
      <c r="J942" s="4">
        <v>1</v>
      </c>
      <c r="K942" s="5">
        <v>31.52</v>
      </c>
      <c r="L942" s="6">
        <v>0.1</v>
      </c>
      <c r="M942" s="5">
        <v>28.37</v>
      </c>
      <c r="P942" t="str">
        <f>TEXT(Tableau2[[#This Row],[Date]],"mmmm aaaa")</f>
        <v>juin 2026</v>
      </c>
    </row>
    <row r="943" spans="1:16">
      <c r="A943" s="2" t="s">
        <v>1030</v>
      </c>
      <c r="B943" s="3">
        <v>46315</v>
      </c>
      <c r="C943" s="2" t="s">
        <v>123</v>
      </c>
      <c r="D943" s="2" t="s">
        <v>53</v>
      </c>
      <c r="E943" s="2" t="s">
        <v>34</v>
      </c>
      <c r="F943" s="2" t="s">
        <v>17</v>
      </c>
      <c r="G943" s="2" t="s">
        <v>48</v>
      </c>
      <c r="H943" s="2" t="s">
        <v>84</v>
      </c>
      <c r="I943" s="2" t="s">
        <v>58</v>
      </c>
      <c r="J943" s="4">
        <v>1</v>
      </c>
      <c r="K943" s="5">
        <v>85.81</v>
      </c>
      <c r="L943" s="6">
        <v>0.15</v>
      </c>
      <c r="M943" s="5">
        <v>72.94</v>
      </c>
      <c r="P943" t="str">
        <f>TEXT(Tableau2[[#This Row],[Date]],"mmmm aaaa")</f>
        <v>octobre 2026</v>
      </c>
    </row>
    <row r="944" spans="1:16">
      <c r="A944" s="2" t="s">
        <v>1031</v>
      </c>
      <c r="B944" s="3">
        <v>46103</v>
      </c>
      <c r="C944" s="2" t="s">
        <v>119</v>
      </c>
      <c r="D944" s="2" t="s">
        <v>15</v>
      </c>
      <c r="E944" s="2" t="s">
        <v>34</v>
      </c>
      <c r="F944" s="2" t="s">
        <v>28</v>
      </c>
      <c r="G944" s="2" t="s">
        <v>48</v>
      </c>
      <c r="H944" s="2" t="s">
        <v>84</v>
      </c>
      <c r="I944" s="2" t="s">
        <v>45</v>
      </c>
      <c r="J944" s="4">
        <v>3</v>
      </c>
      <c r="K944" s="5">
        <v>95.21</v>
      </c>
      <c r="L944" s="6">
        <v>0</v>
      </c>
      <c r="M944" s="5">
        <v>285.63</v>
      </c>
      <c r="P944" t="str">
        <f>TEXT(Tableau2[[#This Row],[Date]],"mmmm aaaa")</f>
        <v>mars 2026</v>
      </c>
    </row>
    <row r="945" spans="1:16">
      <c r="A945" s="2" t="s">
        <v>1032</v>
      </c>
      <c r="B945" s="3">
        <v>46242</v>
      </c>
      <c r="C945" s="2" t="s">
        <v>22</v>
      </c>
      <c r="D945" s="2" t="s">
        <v>23</v>
      </c>
      <c r="E945" s="2" t="s">
        <v>43</v>
      </c>
      <c r="F945" s="2" t="s">
        <v>17</v>
      </c>
      <c r="G945" s="2" t="s">
        <v>48</v>
      </c>
      <c r="H945" s="2" t="s">
        <v>88</v>
      </c>
      <c r="I945" s="2" t="s">
        <v>26</v>
      </c>
      <c r="J945" s="4">
        <v>3</v>
      </c>
      <c r="K945" s="5">
        <v>81.7</v>
      </c>
      <c r="L945" s="6">
        <v>0.1</v>
      </c>
      <c r="M945" s="5">
        <v>220.59</v>
      </c>
      <c r="P945" t="str">
        <f>TEXT(Tableau2[[#This Row],[Date]],"mmmm aaaa")</f>
        <v>août 2026</v>
      </c>
    </row>
    <row r="946" spans="1:16">
      <c r="A946" s="2" t="s">
        <v>1033</v>
      </c>
      <c r="B946" s="3">
        <v>46328</v>
      </c>
      <c r="C946" s="2" t="s">
        <v>125</v>
      </c>
      <c r="D946" s="2" t="s">
        <v>23</v>
      </c>
      <c r="E946" s="2" t="s">
        <v>16</v>
      </c>
      <c r="F946" s="2" t="s">
        <v>28</v>
      </c>
      <c r="G946" s="2" t="s">
        <v>24</v>
      </c>
      <c r="H946" s="2" t="s">
        <v>82</v>
      </c>
      <c r="I946" s="2" t="s">
        <v>26</v>
      </c>
      <c r="J946" s="4">
        <v>4</v>
      </c>
      <c r="K946" s="5">
        <v>285.19</v>
      </c>
      <c r="L946" s="6">
        <v>0.05</v>
      </c>
      <c r="M946" s="5">
        <v>1083.72</v>
      </c>
      <c r="P946" t="str">
        <f>TEXT(Tableau2[[#This Row],[Date]],"mmmm aaaa")</f>
        <v>novembre 2026</v>
      </c>
    </row>
    <row r="947" spans="1:16">
      <c r="A947" s="2" t="s">
        <v>1034</v>
      </c>
      <c r="B947" s="3">
        <v>46369</v>
      </c>
      <c r="C947" s="2" t="s">
        <v>22</v>
      </c>
      <c r="D947" s="2" t="s">
        <v>23</v>
      </c>
      <c r="E947" s="2" t="s">
        <v>38</v>
      </c>
      <c r="F947" s="2" t="s">
        <v>17</v>
      </c>
      <c r="G947" s="2" t="s">
        <v>54</v>
      </c>
      <c r="H947" s="2" t="s">
        <v>64</v>
      </c>
      <c r="I947" s="2" t="s">
        <v>50</v>
      </c>
      <c r="J947" s="4">
        <v>3</v>
      </c>
      <c r="K947" s="5">
        <v>90.48</v>
      </c>
      <c r="L947" s="6">
        <v>0.1</v>
      </c>
      <c r="M947" s="5">
        <v>244.3</v>
      </c>
      <c r="P947" t="str">
        <f>TEXT(Tableau2[[#This Row],[Date]],"mmmm aaaa")</f>
        <v>décembre 2026</v>
      </c>
    </row>
    <row r="948" spans="1:16">
      <c r="A948" s="2" t="s">
        <v>1035</v>
      </c>
      <c r="B948" s="3">
        <v>46077</v>
      </c>
      <c r="C948" s="2" t="s">
        <v>47</v>
      </c>
      <c r="D948" s="2" t="s">
        <v>15</v>
      </c>
      <c r="E948" s="2" t="s">
        <v>16</v>
      </c>
      <c r="F948" s="2" t="s">
        <v>28</v>
      </c>
      <c r="G948" s="2" t="s">
        <v>18</v>
      </c>
      <c r="H948" s="2" t="s">
        <v>143</v>
      </c>
      <c r="I948" s="2" t="s">
        <v>58</v>
      </c>
      <c r="J948" s="4">
        <v>1</v>
      </c>
      <c r="K948" s="5">
        <v>72.41</v>
      </c>
      <c r="L948" s="6">
        <v>0</v>
      </c>
      <c r="M948" s="5">
        <v>72.41</v>
      </c>
      <c r="P948" t="str">
        <f>TEXT(Tableau2[[#This Row],[Date]],"mmmm aaaa")</f>
        <v>février 2026</v>
      </c>
    </row>
    <row r="949" spans="1:16">
      <c r="A949" s="2" t="s">
        <v>1036</v>
      </c>
      <c r="B949" s="3">
        <v>46262</v>
      </c>
      <c r="C949" s="2" t="s">
        <v>47</v>
      </c>
      <c r="D949" s="2" t="s">
        <v>15</v>
      </c>
      <c r="E949" s="2" t="s">
        <v>34</v>
      </c>
      <c r="F949" s="2" t="s">
        <v>17</v>
      </c>
      <c r="G949" s="2" t="s">
        <v>54</v>
      </c>
      <c r="H949" s="2" t="s">
        <v>55</v>
      </c>
      <c r="I949" s="2" t="s">
        <v>75</v>
      </c>
      <c r="J949" s="4">
        <v>5</v>
      </c>
      <c r="K949" s="5">
        <v>166.18</v>
      </c>
      <c r="L949" s="6">
        <v>0</v>
      </c>
      <c r="M949" s="5">
        <v>830.9</v>
      </c>
      <c r="P949" t="str">
        <f>TEXT(Tableau2[[#This Row],[Date]],"mmmm aaaa")</f>
        <v>août 2026</v>
      </c>
    </row>
    <row r="950" spans="1:16">
      <c r="A950" s="2" t="s">
        <v>1037</v>
      </c>
      <c r="B950" s="3">
        <v>46031</v>
      </c>
      <c r="C950" s="2" t="s">
        <v>63</v>
      </c>
      <c r="D950" s="2" t="s">
        <v>33</v>
      </c>
      <c r="E950" s="2" t="s">
        <v>16</v>
      </c>
      <c r="F950" s="2" t="s">
        <v>28</v>
      </c>
      <c r="G950" s="2" t="s">
        <v>54</v>
      </c>
      <c r="H950" s="2" t="s">
        <v>55</v>
      </c>
      <c r="I950" s="2" t="s">
        <v>58</v>
      </c>
      <c r="J950" s="4">
        <v>1</v>
      </c>
      <c r="K950" s="5">
        <v>160.06</v>
      </c>
      <c r="L950" s="6">
        <v>0.05</v>
      </c>
      <c r="M950" s="5">
        <v>152.06</v>
      </c>
      <c r="P950" t="str">
        <f>TEXT(Tableau2[[#This Row],[Date]],"mmmm aaaa")</f>
        <v>janvier 2026</v>
      </c>
    </row>
    <row r="951" spans="1:16">
      <c r="A951" s="2" t="s">
        <v>1038</v>
      </c>
      <c r="B951" s="3">
        <v>46181</v>
      </c>
      <c r="C951" s="2" t="s">
        <v>116</v>
      </c>
      <c r="D951" s="2" t="s">
        <v>15</v>
      </c>
      <c r="E951" s="2" t="s">
        <v>43</v>
      </c>
      <c r="F951" s="2" t="s">
        <v>17</v>
      </c>
      <c r="G951" s="2" t="s">
        <v>54</v>
      </c>
      <c r="H951" s="2" t="s">
        <v>102</v>
      </c>
      <c r="I951" s="2" t="s">
        <v>50</v>
      </c>
      <c r="J951" s="4">
        <v>1</v>
      </c>
      <c r="K951" s="5">
        <v>207.76</v>
      </c>
      <c r="L951" s="6">
        <v>0</v>
      </c>
      <c r="M951" s="5">
        <v>207.76</v>
      </c>
      <c r="P951" t="str">
        <f>TEXT(Tableau2[[#This Row],[Date]],"mmmm aaaa")</f>
        <v>juin 2026</v>
      </c>
    </row>
    <row r="952" spans="1:16">
      <c r="A952" s="2" t="s">
        <v>1039</v>
      </c>
      <c r="B952" s="3">
        <v>46165</v>
      </c>
      <c r="C952" s="2" t="s">
        <v>90</v>
      </c>
      <c r="D952" s="2" t="s">
        <v>53</v>
      </c>
      <c r="E952" s="2" t="s">
        <v>34</v>
      </c>
      <c r="F952" s="2" t="s">
        <v>28</v>
      </c>
      <c r="G952" s="2" t="s">
        <v>18</v>
      </c>
      <c r="H952" s="2" t="s">
        <v>19</v>
      </c>
      <c r="I952" s="2" t="s">
        <v>50</v>
      </c>
      <c r="J952" s="4">
        <v>3</v>
      </c>
      <c r="K952" s="5">
        <v>53.31</v>
      </c>
      <c r="L952" s="6">
        <v>0.3</v>
      </c>
      <c r="M952" s="5">
        <v>111.95</v>
      </c>
      <c r="P952" t="str">
        <f>TEXT(Tableau2[[#This Row],[Date]],"mmmm aaaa")</f>
        <v>mai 2026</v>
      </c>
    </row>
    <row r="953" spans="1:16">
      <c r="A953" s="2" t="s">
        <v>1040</v>
      </c>
      <c r="B953" s="3">
        <v>46309</v>
      </c>
      <c r="C953" s="2" t="s">
        <v>57</v>
      </c>
      <c r="D953" s="2" t="s">
        <v>15</v>
      </c>
      <c r="E953" s="2" t="s">
        <v>43</v>
      </c>
      <c r="F953" s="2" t="s">
        <v>17</v>
      </c>
      <c r="G953" s="2" t="s">
        <v>24</v>
      </c>
      <c r="H953" s="2" t="s">
        <v>25</v>
      </c>
      <c r="I953" s="2" t="s">
        <v>36</v>
      </c>
      <c r="J953" s="4">
        <v>3</v>
      </c>
      <c r="K953" s="5">
        <v>133.79</v>
      </c>
      <c r="L953" s="6">
        <v>0</v>
      </c>
      <c r="M953" s="5">
        <v>401.37</v>
      </c>
      <c r="P953" t="str">
        <f>TEXT(Tableau2[[#This Row],[Date]],"mmmm aaaa")</f>
        <v>octobre 2026</v>
      </c>
    </row>
    <row r="954" spans="1:16">
      <c r="A954" s="2" t="s">
        <v>1041</v>
      </c>
      <c r="B954" s="3">
        <v>46083</v>
      </c>
      <c r="C954" s="2" t="s">
        <v>86</v>
      </c>
      <c r="D954" s="2" t="s">
        <v>53</v>
      </c>
      <c r="E954" s="2" t="s">
        <v>38</v>
      </c>
      <c r="F954" s="2" t="s">
        <v>28</v>
      </c>
      <c r="G954" s="2" t="s">
        <v>29</v>
      </c>
      <c r="H954" s="2" t="s">
        <v>99</v>
      </c>
      <c r="I954" s="2" t="s">
        <v>20</v>
      </c>
      <c r="J954" s="4">
        <v>5</v>
      </c>
      <c r="K954" s="5">
        <v>58.24</v>
      </c>
      <c r="L954" s="6">
        <v>0.15</v>
      </c>
      <c r="M954" s="5">
        <v>247.52</v>
      </c>
      <c r="P954" t="str">
        <f>TEXT(Tableau2[[#This Row],[Date]],"mmmm aaaa")</f>
        <v>mars 2026</v>
      </c>
    </row>
    <row r="955" spans="1:16">
      <c r="A955" s="2" t="s">
        <v>1042</v>
      </c>
      <c r="B955" s="3">
        <v>46270</v>
      </c>
      <c r="C955" s="2" t="s">
        <v>79</v>
      </c>
      <c r="D955" s="2" t="s">
        <v>33</v>
      </c>
      <c r="E955" s="2" t="s">
        <v>43</v>
      </c>
      <c r="F955" s="2" t="s">
        <v>17</v>
      </c>
      <c r="G955" s="2" t="s">
        <v>29</v>
      </c>
      <c r="H955" s="2" t="s">
        <v>30</v>
      </c>
      <c r="I955" s="2" t="s">
        <v>26</v>
      </c>
      <c r="J955" s="4">
        <v>1</v>
      </c>
      <c r="K955" s="5">
        <v>24.68</v>
      </c>
      <c r="L955" s="6">
        <v>0</v>
      </c>
      <c r="M955" s="5">
        <v>24.68</v>
      </c>
      <c r="P955" t="str">
        <f>TEXT(Tableau2[[#This Row],[Date]],"mmmm aaaa")</f>
        <v>septembre 2026</v>
      </c>
    </row>
    <row r="956" spans="1:16">
      <c r="A956" s="2" t="s">
        <v>1043</v>
      </c>
      <c r="B956" s="3">
        <v>46219</v>
      </c>
      <c r="C956" s="2" t="s">
        <v>164</v>
      </c>
      <c r="D956" s="2" t="s">
        <v>53</v>
      </c>
      <c r="E956" s="2" t="s">
        <v>16</v>
      </c>
      <c r="F956" s="2" t="s">
        <v>28</v>
      </c>
      <c r="G956" s="2" t="s">
        <v>39</v>
      </c>
      <c r="H956" s="2" t="s">
        <v>71</v>
      </c>
      <c r="I956" s="2" t="s">
        <v>45</v>
      </c>
      <c r="J956" s="4">
        <v>1</v>
      </c>
      <c r="K956" s="5">
        <v>114.58</v>
      </c>
      <c r="L956" s="6">
        <v>0</v>
      </c>
      <c r="M956" s="5">
        <v>114.58</v>
      </c>
      <c r="P956" t="str">
        <f>TEXT(Tableau2[[#This Row],[Date]],"mmmm aaaa")</f>
        <v>juillet 2026</v>
      </c>
    </row>
    <row r="957" spans="1:16">
      <c r="A957" s="2" t="s">
        <v>1044</v>
      </c>
      <c r="B957" s="3">
        <v>46261</v>
      </c>
      <c r="C957" s="2" t="s">
        <v>151</v>
      </c>
      <c r="D957" s="2" t="s">
        <v>15</v>
      </c>
      <c r="E957" s="2" t="s">
        <v>38</v>
      </c>
      <c r="F957" s="2" t="s">
        <v>28</v>
      </c>
      <c r="G957" s="2" t="s">
        <v>18</v>
      </c>
      <c r="H957" s="2" t="s">
        <v>136</v>
      </c>
      <c r="I957" s="2" t="s">
        <v>45</v>
      </c>
      <c r="J957" s="4">
        <v>8</v>
      </c>
      <c r="K957" s="5">
        <v>32.53</v>
      </c>
      <c r="L957" s="6">
        <v>0.1</v>
      </c>
      <c r="M957" s="5">
        <v>234.22</v>
      </c>
      <c r="P957" t="str">
        <f>TEXT(Tableau2[[#This Row],[Date]],"mmmm aaaa")</f>
        <v>août 2026</v>
      </c>
    </row>
    <row r="958" spans="1:16">
      <c r="A958" s="2" t="s">
        <v>1045</v>
      </c>
      <c r="B958" s="3">
        <v>46023</v>
      </c>
      <c r="C958" s="2" t="s">
        <v>178</v>
      </c>
      <c r="D958" s="2" t="s">
        <v>15</v>
      </c>
      <c r="E958" s="2" t="s">
        <v>34</v>
      </c>
      <c r="F958" s="2" t="s">
        <v>17</v>
      </c>
      <c r="G958" s="2" t="s">
        <v>24</v>
      </c>
      <c r="H958" s="2" t="s">
        <v>82</v>
      </c>
      <c r="I958" s="2" t="s">
        <v>58</v>
      </c>
      <c r="J958" s="4">
        <v>1</v>
      </c>
      <c r="K958" s="5">
        <v>280.11</v>
      </c>
      <c r="L958" s="6">
        <v>0</v>
      </c>
      <c r="M958" s="5">
        <v>280.11</v>
      </c>
      <c r="P958" t="str">
        <f>TEXT(Tableau2[[#This Row],[Date]],"mmmm aaaa")</f>
        <v>janvier 2026</v>
      </c>
    </row>
    <row r="959" spans="1:16">
      <c r="A959" s="2" t="s">
        <v>1046</v>
      </c>
      <c r="B959" s="3">
        <v>46046</v>
      </c>
      <c r="C959" s="2" t="s">
        <v>156</v>
      </c>
      <c r="D959" s="2" t="s">
        <v>15</v>
      </c>
      <c r="E959" s="2" t="s">
        <v>16</v>
      </c>
      <c r="F959" s="2" t="s">
        <v>28</v>
      </c>
      <c r="G959" s="2" t="s">
        <v>24</v>
      </c>
      <c r="H959" s="2" t="s">
        <v>82</v>
      </c>
      <c r="I959" s="2" t="s">
        <v>20</v>
      </c>
      <c r="J959" s="4">
        <v>3</v>
      </c>
      <c r="K959" s="5">
        <v>299.3</v>
      </c>
      <c r="L959" s="6">
        <v>0</v>
      </c>
      <c r="M959" s="5">
        <v>897.9</v>
      </c>
      <c r="P959" t="str">
        <f>TEXT(Tableau2[[#This Row],[Date]],"mmmm aaaa")</f>
        <v>janvier 2026</v>
      </c>
    </row>
    <row r="960" spans="1:16">
      <c r="A960" s="2" t="s">
        <v>1047</v>
      </c>
      <c r="B960" s="3">
        <v>46166</v>
      </c>
      <c r="C960" s="2" t="s">
        <v>116</v>
      </c>
      <c r="D960" s="2" t="s">
        <v>15</v>
      </c>
      <c r="E960" s="2" t="s">
        <v>43</v>
      </c>
      <c r="F960" s="2" t="s">
        <v>17</v>
      </c>
      <c r="G960" s="2" t="s">
        <v>24</v>
      </c>
      <c r="H960" s="2" t="s">
        <v>25</v>
      </c>
      <c r="I960" s="2" t="s">
        <v>75</v>
      </c>
      <c r="J960" s="4">
        <v>2</v>
      </c>
      <c r="K960" s="5">
        <v>131.52000000000001</v>
      </c>
      <c r="L960" s="6">
        <v>0</v>
      </c>
      <c r="M960" s="5">
        <v>263.04000000000002</v>
      </c>
      <c r="P960" t="str">
        <f>TEXT(Tableau2[[#This Row],[Date]],"mmmm aaaa")</f>
        <v>mai 2026</v>
      </c>
    </row>
    <row r="961" spans="1:16">
      <c r="A961" s="2" t="s">
        <v>1048</v>
      </c>
      <c r="B961" s="3">
        <v>46084</v>
      </c>
      <c r="C961" s="2" t="s">
        <v>22</v>
      </c>
      <c r="D961" s="2" t="s">
        <v>23</v>
      </c>
      <c r="E961" s="2" t="s">
        <v>43</v>
      </c>
      <c r="F961" s="2" t="s">
        <v>28</v>
      </c>
      <c r="G961" s="2" t="s">
        <v>18</v>
      </c>
      <c r="H961" s="2" t="s">
        <v>19</v>
      </c>
      <c r="I961" s="2" t="s">
        <v>75</v>
      </c>
      <c r="J961" s="4">
        <v>8</v>
      </c>
      <c r="K961" s="5">
        <v>50.1</v>
      </c>
      <c r="L961" s="6">
        <v>0</v>
      </c>
      <c r="M961" s="5">
        <v>400.8</v>
      </c>
      <c r="P961" t="str">
        <f>TEXT(Tableau2[[#This Row],[Date]],"mmmm aaaa")</f>
        <v>mars 2026</v>
      </c>
    </row>
    <row r="962" spans="1:16">
      <c r="A962" s="2" t="s">
        <v>1049</v>
      </c>
      <c r="B962" s="3">
        <v>46300</v>
      </c>
      <c r="C962" s="2" t="s">
        <v>164</v>
      </c>
      <c r="D962" s="2" t="s">
        <v>53</v>
      </c>
      <c r="E962" s="2" t="s">
        <v>34</v>
      </c>
      <c r="F962" s="2" t="s">
        <v>28</v>
      </c>
      <c r="G962" s="2" t="s">
        <v>54</v>
      </c>
      <c r="H962" s="2" t="s">
        <v>55</v>
      </c>
      <c r="I962" s="2" t="s">
        <v>41</v>
      </c>
      <c r="J962" s="4">
        <v>2</v>
      </c>
      <c r="K962" s="5">
        <v>169.68</v>
      </c>
      <c r="L962" s="6">
        <v>0.15</v>
      </c>
      <c r="M962" s="5">
        <v>288.45999999999998</v>
      </c>
      <c r="P962" t="str">
        <f>TEXT(Tableau2[[#This Row],[Date]],"mmmm aaaa")</f>
        <v>octobre 2026</v>
      </c>
    </row>
    <row r="963" spans="1:16">
      <c r="A963" s="2" t="s">
        <v>1050</v>
      </c>
      <c r="B963" s="3">
        <v>46265</v>
      </c>
      <c r="C963" s="2" t="s">
        <v>79</v>
      </c>
      <c r="D963" s="2" t="s">
        <v>33</v>
      </c>
      <c r="E963" s="2" t="s">
        <v>43</v>
      </c>
      <c r="F963" s="2" t="s">
        <v>17</v>
      </c>
      <c r="G963" s="2" t="s">
        <v>48</v>
      </c>
      <c r="H963" s="2" t="s">
        <v>77</v>
      </c>
      <c r="I963" s="2" t="s">
        <v>36</v>
      </c>
      <c r="J963" s="4">
        <v>2</v>
      </c>
      <c r="K963" s="5">
        <v>78.150000000000006</v>
      </c>
      <c r="L963" s="6">
        <v>0</v>
      </c>
      <c r="M963" s="5">
        <v>156.30000000000001</v>
      </c>
      <c r="P963" t="str">
        <f>TEXT(Tableau2[[#This Row],[Date]],"mmmm aaaa")</f>
        <v>août 2026</v>
      </c>
    </row>
    <row r="964" spans="1:16">
      <c r="A964" s="2" t="s">
        <v>1051</v>
      </c>
      <c r="B964" s="3">
        <v>46067</v>
      </c>
      <c r="C964" s="2" t="s">
        <v>63</v>
      </c>
      <c r="D964" s="2" t="s">
        <v>33</v>
      </c>
      <c r="E964" s="2" t="s">
        <v>16</v>
      </c>
      <c r="F964" s="2" t="s">
        <v>28</v>
      </c>
      <c r="G964" s="2" t="s">
        <v>48</v>
      </c>
      <c r="H964" s="2" t="s">
        <v>84</v>
      </c>
      <c r="I964" s="2" t="s">
        <v>20</v>
      </c>
      <c r="J964" s="4">
        <v>1</v>
      </c>
      <c r="K964" s="5">
        <v>96.68</v>
      </c>
      <c r="L964" s="6">
        <v>0</v>
      </c>
      <c r="M964" s="5">
        <v>96.68</v>
      </c>
      <c r="P964" t="str">
        <f>TEXT(Tableau2[[#This Row],[Date]],"mmmm aaaa")</f>
        <v>février 2026</v>
      </c>
    </row>
    <row r="965" spans="1:16">
      <c r="A965" s="2" t="s">
        <v>1052</v>
      </c>
      <c r="B965" s="3">
        <v>46092</v>
      </c>
      <c r="C965" s="2" t="s">
        <v>79</v>
      </c>
      <c r="D965" s="2" t="s">
        <v>33</v>
      </c>
      <c r="E965" s="2" t="s">
        <v>34</v>
      </c>
      <c r="F965" s="2" t="s">
        <v>28</v>
      </c>
      <c r="G965" s="2" t="s">
        <v>24</v>
      </c>
      <c r="H965" s="2" t="s">
        <v>61</v>
      </c>
      <c r="I965" s="2" t="s">
        <v>36</v>
      </c>
      <c r="J965" s="4">
        <v>1</v>
      </c>
      <c r="K965" s="5">
        <v>242.5</v>
      </c>
      <c r="L965" s="6">
        <v>0.2</v>
      </c>
      <c r="M965" s="5">
        <v>194</v>
      </c>
      <c r="P965" t="str">
        <f>TEXT(Tableau2[[#This Row],[Date]],"mmmm aaaa")</f>
        <v>mars 2026</v>
      </c>
    </row>
    <row r="966" spans="1:16">
      <c r="A966" s="2" t="s">
        <v>1053</v>
      </c>
      <c r="B966" s="3">
        <v>46147</v>
      </c>
      <c r="C966" s="2" t="s">
        <v>79</v>
      </c>
      <c r="D966" s="2" t="s">
        <v>33</v>
      </c>
      <c r="E966" s="2" t="s">
        <v>43</v>
      </c>
      <c r="F966" s="2" t="s">
        <v>17</v>
      </c>
      <c r="G966" s="2" t="s">
        <v>18</v>
      </c>
      <c r="H966" s="2" t="s">
        <v>143</v>
      </c>
      <c r="I966" s="2" t="s">
        <v>58</v>
      </c>
      <c r="J966" s="4">
        <v>8</v>
      </c>
      <c r="K966" s="5">
        <v>72.239999999999995</v>
      </c>
      <c r="L966" s="6">
        <v>0</v>
      </c>
      <c r="M966" s="5">
        <v>577.91999999999996</v>
      </c>
      <c r="P966" t="str">
        <f>TEXT(Tableau2[[#This Row],[Date]],"mmmm aaaa")</f>
        <v>mai 2026</v>
      </c>
    </row>
    <row r="967" spans="1:16">
      <c r="A967" s="2" t="s">
        <v>1054</v>
      </c>
      <c r="B967" s="3">
        <v>46133</v>
      </c>
      <c r="C967" s="2" t="s">
        <v>52</v>
      </c>
      <c r="D967" s="2" t="s">
        <v>53</v>
      </c>
      <c r="E967" s="2" t="s">
        <v>16</v>
      </c>
      <c r="F967" s="2" t="s">
        <v>28</v>
      </c>
      <c r="G967" s="2" t="s">
        <v>39</v>
      </c>
      <c r="H967" s="2" t="s">
        <v>71</v>
      </c>
      <c r="I967" s="2" t="s">
        <v>20</v>
      </c>
      <c r="J967" s="4">
        <v>9</v>
      </c>
      <c r="K967" s="5">
        <v>113.83</v>
      </c>
      <c r="L967" s="6">
        <v>0.05</v>
      </c>
      <c r="M967" s="5">
        <v>973.25</v>
      </c>
      <c r="P967" t="str">
        <f>TEXT(Tableau2[[#This Row],[Date]],"mmmm aaaa")</f>
        <v>avril 2026</v>
      </c>
    </row>
    <row r="968" spans="1:16">
      <c r="A968" s="2" t="s">
        <v>1055</v>
      </c>
      <c r="B968" s="3">
        <v>46213</v>
      </c>
      <c r="C968" s="2" t="s">
        <v>52</v>
      </c>
      <c r="D968" s="2" t="s">
        <v>53</v>
      </c>
      <c r="E968" s="2" t="s">
        <v>16</v>
      </c>
      <c r="F968" s="2" t="s">
        <v>17</v>
      </c>
      <c r="G968" s="2" t="s">
        <v>48</v>
      </c>
      <c r="H968" s="2" t="s">
        <v>88</v>
      </c>
      <c r="I968" s="2" t="s">
        <v>45</v>
      </c>
      <c r="J968" s="4">
        <v>2</v>
      </c>
      <c r="K968" s="5">
        <v>73.33</v>
      </c>
      <c r="L968" s="6">
        <v>0.05</v>
      </c>
      <c r="M968" s="5">
        <v>139.33000000000001</v>
      </c>
      <c r="P968" t="str">
        <f>TEXT(Tableau2[[#This Row],[Date]],"mmmm aaaa")</f>
        <v>juillet 2026</v>
      </c>
    </row>
    <row r="969" spans="1:16">
      <c r="A969" s="2" t="s">
        <v>1056</v>
      </c>
      <c r="B969" s="3">
        <v>46226</v>
      </c>
      <c r="C969" s="2" t="s">
        <v>130</v>
      </c>
      <c r="D969" s="2" t="s">
        <v>53</v>
      </c>
      <c r="E969" s="2" t="s">
        <v>16</v>
      </c>
      <c r="F969" s="2" t="s">
        <v>17</v>
      </c>
      <c r="G969" s="2" t="s">
        <v>18</v>
      </c>
      <c r="H969" s="2" t="s">
        <v>136</v>
      </c>
      <c r="I969" s="2" t="s">
        <v>50</v>
      </c>
      <c r="J969" s="4">
        <v>3</v>
      </c>
      <c r="K969" s="5">
        <v>34.25</v>
      </c>
      <c r="L969" s="6">
        <v>0</v>
      </c>
      <c r="M969" s="5">
        <v>102.75</v>
      </c>
      <c r="P969" t="str">
        <f>TEXT(Tableau2[[#This Row],[Date]],"mmmm aaaa")</f>
        <v>juillet 2026</v>
      </c>
    </row>
    <row r="970" spans="1:16">
      <c r="A970" s="2" t="s">
        <v>1057</v>
      </c>
      <c r="B970" s="3">
        <v>46313</v>
      </c>
      <c r="C970" s="2" t="s">
        <v>164</v>
      </c>
      <c r="D970" s="2" t="s">
        <v>53</v>
      </c>
      <c r="E970" s="2" t="s">
        <v>34</v>
      </c>
      <c r="F970" s="2" t="s">
        <v>17</v>
      </c>
      <c r="G970" s="2" t="s">
        <v>48</v>
      </c>
      <c r="H970" s="2" t="s">
        <v>49</v>
      </c>
      <c r="I970" s="2" t="s">
        <v>20</v>
      </c>
      <c r="J970" s="4">
        <v>14</v>
      </c>
      <c r="K970" s="5">
        <v>54.03</v>
      </c>
      <c r="L970" s="6">
        <v>0.05</v>
      </c>
      <c r="M970" s="5">
        <v>718.6</v>
      </c>
      <c r="P970" t="str">
        <f>TEXT(Tableau2[[#This Row],[Date]],"mmmm aaaa")</f>
        <v>octobre 2026</v>
      </c>
    </row>
    <row r="971" spans="1:16">
      <c r="A971" s="2" t="s">
        <v>1058</v>
      </c>
      <c r="B971" s="3">
        <v>46290</v>
      </c>
      <c r="C971" s="2" t="s">
        <v>130</v>
      </c>
      <c r="D971" s="2" t="s">
        <v>53</v>
      </c>
      <c r="E971" s="2" t="s">
        <v>38</v>
      </c>
      <c r="F971" s="2" t="s">
        <v>17</v>
      </c>
      <c r="G971" s="2" t="s">
        <v>39</v>
      </c>
      <c r="H971" s="2" t="s">
        <v>40</v>
      </c>
      <c r="I971" s="2" t="s">
        <v>41</v>
      </c>
      <c r="J971" s="4">
        <v>4</v>
      </c>
      <c r="K971" s="5">
        <v>123.58</v>
      </c>
      <c r="L971" s="6">
        <v>0</v>
      </c>
      <c r="M971" s="5">
        <v>494.32</v>
      </c>
      <c r="P971" t="str">
        <f>TEXT(Tableau2[[#This Row],[Date]],"mmmm aaaa")</f>
        <v>septembre 2026</v>
      </c>
    </row>
    <row r="972" spans="1:16">
      <c r="A972" s="2" t="s">
        <v>1059</v>
      </c>
      <c r="B972" s="3">
        <v>46132</v>
      </c>
      <c r="C972" s="2" t="s">
        <v>125</v>
      </c>
      <c r="D972" s="2" t="s">
        <v>23</v>
      </c>
      <c r="E972" s="2" t="s">
        <v>16</v>
      </c>
      <c r="F972" s="2" t="s">
        <v>28</v>
      </c>
      <c r="G972" s="2" t="s">
        <v>24</v>
      </c>
      <c r="H972" s="2" t="s">
        <v>61</v>
      </c>
      <c r="I972" s="2" t="s">
        <v>36</v>
      </c>
      <c r="J972" s="4">
        <v>2</v>
      </c>
      <c r="K972" s="5">
        <v>220.75</v>
      </c>
      <c r="L972" s="6">
        <v>0.05</v>
      </c>
      <c r="M972" s="5">
        <v>419.42</v>
      </c>
      <c r="P972" t="str">
        <f>TEXT(Tableau2[[#This Row],[Date]],"mmmm aaaa")</f>
        <v>avril 2026</v>
      </c>
    </row>
    <row r="973" spans="1:16">
      <c r="A973" s="2" t="s">
        <v>1060</v>
      </c>
      <c r="B973" s="3">
        <v>46048</v>
      </c>
      <c r="C973" s="2" t="s">
        <v>66</v>
      </c>
      <c r="D973" s="2" t="s">
        <v>23</v>
      </c>
      <c r="E973" s="2" t="s">
        <v>16</v>
      </c>
      <c r="F973" s="2" t="s">
        <v>17</v>
      </c>
      <c r="G973" s="2" t="s">
        <v>24</v>
      </c>
      <c r="H973" s="2" t="s">
        <v>61</v>
      </c>
      <c r="I973" s="2" t="s">
        <v>26</v>
      </c>
      <c r="J973" s="4">
        <v>1</v>
      </c>
      <c r="K973" s="5">
        <v>241.72</v>
      </c>
      <c r="L973" s="6">
        <v>0</v>
      </c>
      <c r="M973" s="5">
        <v>241.72</v>
      </c>
      <c r="P973" t="str">
        <f>TEXT(Tableau2[[#This Row],[Date]],"mmmm aaaa")</f>
        <v>janvier 2026</v>
      </c>
    </row>
    <row r="974" spans="1:16">
      <c r="A974" s="2" t="s">
        <v>1061</v>
      </c>
      <c r="B974" s="3">
        <v>46299</v>
      </c>
      <c r="C974" s="2" t="s">
        <v>101</v>
      </c>
      <c r="D974" s="2" t="s">
        <v>33</v>
      </c>
      <c r="E974" s="2" t="s">
        <v>34</v>
      </c>
      <c r="F974" s="2" t="s">
        <v>17</v>
      </c>
      <c r="G974" s="2" t="s">
        <v>18</v>
      </c>
      <c r="H974" s="2" t="s">
        <v>19</v>
      </c>
      <c r="I974" s="2" t="s">
        <v>45</v>
      </c>
      <c r="J974" s="4">
        <v>1</v>
      </c>
      <c r="K974" s="5">
        <v>51.86</v>
      </c>
      <c r="L974" s="6">
        <v>0.1</v>
      </c>
      <c r="M974" s="5">
        <v>46.67</v>
      </c>
      <c r="P974" t="str">
        <f>TEXT(Tableau2[[#This Row],[Date]],"mmmm aaaa")</f>
        <v>octobre 2026</v>
      </c>
    </row>
    <row r="975" spans="1:16">
      <c r="A975" s="2" t="s">
        <v>1062</v>
      </c>
      <c r="B975" s="3">
        <v>46259</v>
      </c>
      <c r="C975" s="2" t="s">
        <v>178</v>
      </c>
      <c r="D975" s="2" t="s">
        <v>15</v>
      </c>
      <c r="E975" s="2" t="s">
        <v>16</v>
      </c>
      <c r="F975" s="2" t="s">
        <v>28</v>
      </c>
      <c r="G975" s="2" t="s">
        <v>54</v>
      </c>
      <c r="H975" s="2" t="s">
        <v>55</v>
      </c>
      <c r="I975" s="2" t="s">
        <v>20</v>
      </c>
      <c r="J975" s="4">
        <v>2</v>
      </c>
      <c r="K975" s="5">
        <v>146.31</v>
      </c>
      <c r="L975" s="6">
        <v>0.05</v>
      </c>
      <c r="M975" s="5">
        <v>277.99</v>
      </c>
      <c r="P975" t="str">
        <f>TEXT(Tableau2[[#This Row],[Date]],"mmmm aaaa")</f>
        <v>août 2026</v>
      </c>
    </row>
    <row r="976" spans="1:16">
      <c r="A976" s="2" t="s">
        <v>1063</v>
      </c>
      <c r="B976" s="3">
        <v>46294</v>
      </c>
      <c r="C976" s="2" t="s">
        <v>57</v>
      </c>
      <c r="D976" s="2" t="s">
        <v>15</v>
      </c>
      <c r="E976" s="2" t="s">
        <v>16</v>
      </c>
      <c r="F976" s="2" t="s">
        <v>28</v>
      </c>
      <c r="G976" s="2" t="s">
        <v>54</v>
      </c>
      <c r="H976" s="2" t="s">
        <v>55</v>
      </c>
      <c r="I976" s="2" t="s">
        <v>41</v>
      </c>
      <c r="J976" s="4">
        <v>2</v>
      </c>
      <c r="K976" s="5">
        <v>154.37</v>
      </c>
      <c r="L976" s="6">
        <v>0</v>
      </c>
      <c r="M976" s="5">
        <v>308.74</v>
      </c>
      <c r="P976" t="str">
        <f>TEXT(Tableau2[[#This Row],[Date]],"mmmm aaaa")</f>
        <v>septembre 2026</v>
      </c>
    </row>
    <row r="977" spans="1:16">
      <c r="A977" s="2" t="s">
        <v>1064</v>
      </c>
      <c r="B977" s="3">
        <v>46206</v>
      </c>
      <c r="C977" s="2" t="s">
        <v>116</v>
      </c>
      <c r="D977" s="2" t="s">
        <v>15</v>
      </c>
      <c r="E977" s="2" t="s">
        <v>34</v>
      </c>
      <c r="F977" s="2" t="s">
        <v>28</v>
      </c>
      <c r="G977" s="2" t="s">
        <v>18</v>
      </c>
      <c r="H977" s="2" t="s">
        <v>19</v>
      </c>
      <c r="I977" s="2" t="s">
        <v>20</v>
      </c>
      <c r="J977" s="4">
        <v>5</v>
      </c>
      <c r="K977" s="5">
        <v>55.45</v>
      </c>
      <c r="L977" s="6">
        <v>0</v>
      </c>
      <c r="M977" s="5">
        <v>277.25</v>
      </c>
      <c r="P977" t="str">
        <f>TEXT(Tableau2[[#This Row],[Date]],"mmmm aaaa")</f>
        <v>juillet 2026</v>
      </c>
    </row>
    <row r="978" spans="1:16">
      <c r="A978" s="2" t="s">
        <v>1065</v>
      </c>
      <c r="B978" s="3">
        <v>46162</v>
      </c>
      <c r="C978" s="2" t="s">
        <v>63</v>
      </c>
      <c r="D978" s="2" t="s">
        <v>33</v>
      </c>
      <c r="E978" s="2" t="s">
        <v>16</v>
      </c>
      <c r="F978" s="2" t="s">
        <v>17</v>
      </c>
      <c r="G978" s="2" t="s">
        <v>18</v>
      </c>
      <c r="H978" s="2" t="s">
        <v>136</v>
      </c>
      <c r="I978" s="2" t="s">
        <v>41</v>
      </c>
      <c r="J978" s="4">
        <v>1</v>
      </c>
      <c r="K978" s="5">
        <v>31.51</v>
      </c>
      <c r="L978" s="6">
        <v>0</v>
      </c>
      <c r="M978" s="5">
        <v>31.51</v>
      </c>
      <c r="P978" t="str">
        <f>TEXT(Tableau2[[#This Row],[Date]],"mmmm aaaa")</f>
        <v>mai 2026</v>
      </c>
    </row>
    <row r="979" spans="1:16">
      <c r="A979" s="2" t="s">
        <v>1066</v>
      </c>
      <c r="B979" s="3">
        <v>46246</v>
      </c>
      <c r="C979" s="2" t="s">
        <v>14</v>
      </c>
      <c r="D979" s="2" t="s">
        <v>15</v>
      </c>
      <c r="E979" s="2" t="s">
        <v>34</v>
      </c>
      <c r="F979" s="2" t="s">
        <v>28</v>
      </c>
      <c r="G979" s="2" t="s">
        <v>24</v>
      </c>
      <c r="H979" s="2" t="s">
        <v>61</v>
      </c>
      <c r="I979" s="2" t="s">
        <v>36</v>
      </c>
      <c r="J979" s="4">
        <v>3</v>
      </c>
      <c r="K979" s="5">
        <v>253.11</v>
      </c>
      <c r="L979" s="6">
        <v>0</v>
      </c>
      <c r="M979" s="5">
        <v>759.33</v>
      </c>
      <c r="P979" t="str">
        <f>TEXT(Tableau2[[#This Row],[Date]],"mmmm aaaa")</f>
        <v>août 2026</v>
      </c>
    </row>
    <row r="980" spans="1:16">
      <c r="A980" s="2" t="s">
        <v>1067</v>
      </c>
      <c r="B980" s="3">
        <v>46225</v>
      </c>
      <c r="C980" s="2" t="s">
        <v>86</v>
      </c>
      <c r="D980" s="2" t="s">
        <v>53</v>
      </c>
      <c r="E980" s="2" t="s">
        <v>16</v>
      </c>
      <c r="F980" s="2" t="s">
        <v>17</v>
      </c>
      <c r="G980" s="2" t="s">
        <v>48</v>
      </c>
      <c r="H980" s="2" t="s">
        <v>49</v>
      </c>
      <c r="I980" s="2" t="s">
        <v>20</v>
      </c>
      <c r="J980" s="4">
        <v>1</v>
      </c>
      <c r="K980" s="5">
        <v>55.61</v>
      </c>
      <c r="L980" s="6">
        <v>0</v>
      </c>
      <c r="M980" s="5">
        <v>55.61</v>
      </c>
      <c r="P980" t="str">
        <f>TEXT(Tableau2[[#This Row],[Date]],"mmmm aaaa")</f>
        <v>juillet 2026</v>
      </c>
    </row>
    <row r="981" spans="1:16">
      <c r="A981" s="2" t="s">
        <v>1068</v>
      </c>
      <c r="B981" s="3">
        <v>46107</v>
      </c>
      <c r="C981" s="2" t="s">
        <v>106</v>
      </c>
      <c r="D981" s="2" t="s">
        <v>23</v>
      </c>
      <c r="E981" s="2" t="s">
        <v>16</v>
      </c>
      <c r="F981" s="2" t="s">
        <v>17</v>
      </c>
      <c r="G981" s="2" t="s">
        <v>24</v>
      </c>
      <c r="H981" s="2" t="s">
        <v>82</v>
      </c>
      <c r="I981" s="2" t="s">
        <v>58</v>
      </c>
      <c r="J981" s="4">
        <v>1</v>
      </c>
      <c r="K981" s="5">
        <v>308.58</v>
      </c>
      <c r="L981" s="6">
        <v>0</v>
      </c>
      <c r="M981" s="5">
        <v>308.58</v>
      </c>
      <c r="P981" t="str">
        <f>TEXT(Tableau2[[#This Row],[Date]],"mmmm aaaa")</f>
        <v>mars 2026</v>
      </c>
    </row>
    <row r="982" spans="1:16">
      <c r="A982" s="2" t="s">
        <v>1069</v>
      </c>
      <c r="B982" s="3">
        <v>46268</v>
      </c>
      <c r="C982" s="2" t="s">
        <v>169</v>
      </c>
      <c r="D982" s="2" t="s">
        <v>33</v>
      </c>
      <c r="E982" s="2" t="s">
        <v>34</v>
      </c>
      <c r="F982" s="2" t="s">
        <v>28</v>
      </c>
      <c r="G982" s="2" t="s">
        <v>24</v>
      </c>
      <c r="H982" s="2" t="s">
        <v>61</v>
      </c>
      <c r="I982" s="2" t="s">
        <v>50</v>
      </c>
      <c r="J982" s="4">
        <v>6</v>
      </c>
      <c r="K982" s="5">
        <v>231.43</v>
      </c>
      <c r="L982" s="6">
        <v>0</v>
      </c>
      <c r="M982" s="5">
        <v>1388.58</v>
      </c>
      <c r="P982" t="str">
        <f>TEXT(Tableau2[[#This Row],[Date]],"mmmm aaaa")</f>
        <v>septembre 2026</v>
      </c>
    </row>
    <row r="983" spans="1:16">
      <c r="A983" s="2" t="s">
        <v>1070</v>
      </c>
      <c r="B983" s="3">
        <v>46271</v>
      </c>
      <c r="C983" s="2" t="s">
        <v>66</v>
      </c>
      <c r="D983" s="2" t="s">
        <v>23</v>
      </c>
      <c r="E983" s="2" t="s">
        <v>16</v>
      </c>
      <c r="F983" s="2" t="s">
        <v>17</v>
      </c>
      <c r="G983" s="2" t="s">
        <v>24</v>
      </c>
      <c r="H983" s="2" t="s">
        <v>82</v>
      </c>
      <c r="I983" s="2" t="s">
        <v>58</v>
      </c>
      <c r="J983" s="4">
        <v>1</v>
      </c>
      <c r="K983" s="5">
        <v>277.57</v>
      </c>
      <c r="L983" s="6">
        <v>0</v>
      </c>
      <c r="M983" s="5">
        <v>277.57</v>
      </c>
      <c r="P983" t="str">
        <f>TEXT(Tableau2[[#This Row],[Date]],"mmmm aaaa")</f>
        <v>septembre 2026</v>
      </c>
    </row>
    <row r="984" spans="1:16">
      <c r="A984" s="2" t="s">
        <v>1071</v>
      </c>
      <c r="B984" s="3">
        <v>46257</v>
      </c>
      <c r="C984" s="2" t="s">
        <v>169</v>
      </c>
      <c r="D984" s="2" t="s">
        <v>33</v>
      </c>
      <c r="E984" s="2" t="s">
        <v>16</v>
      </c>
      <c r="F984" s="2" t="s">
        <v>28</v>
      </c>
      <c r="G984" s="2" t="s">
        <v>39</v>
      </c>
      <c r="H984" s="2" t="s">
        <v>95</v>
      </c>
      <c r="I984" s="2" t="s">
        <v>75</v>
      </c>
      <c r="J984" s="4">
        <v>1</v>
      </c>
      <c r="K984" s="5">
        <v>96.36</v>
      </c>
      <c r="L984" s="6">
        <v>0</v>
      </c>
      <c r="M984" s="5">
        <v>96.36</v>
      </c>
      <c r="P984" t="str">
        <f>TEXT(Tableau2[[#This Row],[Date]],"mmmm aaaa")</f>
        <v>août 2026</v>
      </c>
    </row>
    <row r="985" spans="1:16">
      <c r="A985" s="2" t="s">
        <v>1072</v>
      </c>
      <c r="B985" s="3">
        <v>46372</v>
      </c>
      <c r="C985" s="2" t="s">
        <v>57</v>
      </c>
      <c r="D985" s="2" t="s">
        <v>15</v>
      </c>
      <c r="E985" s="2" t="s">
        <v>34</v>
      </c>
      <c r="F985" s="2" t="s">
        <v>17</v>
      </c>
      <c r="G985" s="2" t="s">
        <v>24</v>
      </c>
      <c r="H985" s="2" t="s">
        <v>25</v>
      </c>
      <c r="I985" s="2" t="s">
        <v>41</v>
      </c>
      <c r="J985" s="4">
        <v>10</v>
      </c>
      <c r="K985" s="5">
        <v>127.56</v>
      </c>
      <c r="L985" s="6">
        <v>0</v>
      </c>
      <c r="M985" s="5">
        <v>1275.5999999999999</v>
      </c>
      <c r="P985" t="str">
        <f>TEXT(Tableau2[[#This Row],[Date]],"mmmm aaaa")</f>
        <v>décembre 2026</v>
      </c>
    </row>
    <row r="986" spans="1:16">
      <c r="A986" s="2" t="s">
        <v>1073</v>
      </c>
      <c r="B986" s="3">
        <v>46157</v>
      </c>
      <c r="C986" s="2" t="s">
        <v>160</v>
      </c>
      <c r="D986" s="2" t="s">
        <v>33</v>
      </c>
      <c r="E986" s="2" t="s">
        <v>34</v>
      </c>
      <c r="F986" s="2" t="s">
        <v>28</v>
      </c>
      <c r="G986" s="2" t="s">
        <v>48</v>
      </c>
      <c r="H986" s="2" t="s">
        <v>77</v>
      </c>
      <c r="I986" s="2" t="s">
        <v>26</v>
      </c>
      <c r="J986" s="4">
        <v>8</v>
      </c>
      <c r="K986" s="5">
        <v>90.63</v>
      </c>
      <c r="L986" s="6">
        <v>0</v>
      </c>
      <c r="M986" s="5">
        <v>725.04</v>
      </c>
      <c r="P986" t="str">
        <f>TEXT(Tableau2[[#This Row],[Date]],"mmmm aaaa")</f>
        <v>mai 2026</v>
      </c>
    </row>
    <row r="987" spans="1:16">
      <c r="A987" s="2" t="s">
        <v>1074</v>
      </c>
      <c r="B987" s="3">
        <v>46256</v>
      </c>
      <c r="C987" s="2" t="s">
        <v>86</v>
      </c>
      <c r="D987" s="2" t="s">
        <v>53</v>
      </c>
      <c r="E987" s="2" t="s">
        <v>16</v>
      </c>
      <c r="F987" s="2" t="s">
        <v>28</v>
      </c>
      <c r="G987" s="2" t="s">
        <v>48</v>
      </c>
      <c r="H987" s="2" t="s">
        <v>84</v>
      </c>
      <c r="I987" s="2" t="s">
        <v>45</v>
      </c>
      <c r="J987" s="4">
        <v>1</v>
      </c>
      <c r="K987" s="5">
        <v>86.14</v>
      </c>
      <c r="L987" s="6">
        <v>0.05</v>
      </c>
      <c r="M987" s="5">
        <v>81.83</v>
      </c>
      <c r="P987" t="str">
        <f>TEXT(Tableau2[[#This Row],[Date]],"mmmm aaaa")</f>
        <v>août 2026</v>
      </c>
    </row>
    <row r="988" spans="1:16">
      <c r="A988" s="2" t="s">
        <v>1075</v>
      </c>
      <c r="B988" s="3">
        <v>46130</v>
      </c>
      <c r="C988" s="2" t="s">
        <v>94</v>
      </c>
      <c r="D988" s="2" t="s">
        <v>15</v>
      </c>
      <c r="E988" s="2" t="s">
        <v>16</v>
      </c>
      <c r="F988" s="2" t="s">
        <v>28</v>
      </c>
      <c r="G988" s="2" t="s">
        <v>24</v>
      </c>
      <c r="H988" s="2" t="s">
        <v>25</v>
      </c>
      <c r="I988" s="2" t="s">
        <v>20</v>
      </c>
      <c r="J988" s="4">
        <v>2</v>
      </c>
      <c r="K988" s="5">
        <v>127.94</v>
      </c>
      <c r="L988" s="6">
        <v>0</v>
      </c>
      <c r="M988" s="5">
        <v>255.88</v>
      </c>
      <c r="P988" t="str">
        <f>TEXT(Tableau2[[#This Row],[Date]],"mmmm aaaa")</f>
        <v>avril 2026</v>
      </c>
    </row>
    <row r="989" spans="1:16">
      <c r="A989" s="2" t="s">
        <v>1076</v>
      </c>
      <c r="B989" s="3">
        <v>46168</v>
      </c>
      <c r="C989" s="2" t="s">
        <v>52</v>
      </c>
      <c r="D989" s="2" t="s">
        <v>53</v>
      </c>
      <c r="E989" s="2" t="s">
        <v>38</v>
      </c>
      <c r="F989" s="2" t="s">
        <v>28</v>
      </c>
      <c r="G989" s="2" t="s">
        <v>24</v>
      </c>
      <c r="H989" s="2" t="s">
        <v>35</v>
      </c>
      <c r="I989" s="2" t="s">
        <v>45</v>
      </c>
      <c r="J989" s="4">
        <v>1</v>
      </c>
      <c r="K989" s="5">
        <v>169.88</v>
      </c>
      <c r="L989" s="6">
        <v>0</v>
      </c>
      <c r="M989" s="5">
        <v>169.88</v>
      </c>
      <c r="P989" t="str">
        <f>TEXT(Tableau2[[#This Row],[Date]],"mmmm aaaa")</f>
        <v>mai 2026</v>
      </c>
    </row>
    <row r="990" spans="1:16">
      <c r="A990" s="2" t="s">
        <v>1077</v>
      </c>
      <c r="B990" s="3">
        <v>46306</v>
      </c>
      <c r="C990" s="2" t="s">
        <v>79</v>
      </c>
      <c r="D990" s="2" t="s">
        <v>33</v>
      </c>
      <c r="E990" s="2" t="s">
        <v>34</v>
      </c>
      <c r="F990" s="2" t="s">
        <v>28</v>
      </c>
      <c r="G990" s="2" t="s">
        <v>24</v>
      </c>
      <c r="H990" s="2" t="s">
        <v>25</v>
      </c>
      <c r="I990" s="2" t="s">
        <v>75</v>
      </c>
      <c r="J990" s="4">
        <v>1</v>
      </c>
      <c r="K990" s="5">
        <v>132.91</v>
      </c>
      <c r="L990" s="6">
        <v>0</v>
      </c>
      <c r="M990" s="5">
        <v>132.91</v>
      </c>
      <c r="P990" t="str">
        <f>TEXT(Tableau2[[#This Row],[Date]],"mmmm aaaa")</f>
        <v>octobre 2026</v>
      </c>
    </row>
    <row r="991" spans="1:16">
      <c r="A991" s="2" t="s">
        <v>1078</v>
      </c>
      <c r="B991" s="3">
        <v>46304</v>
      </c>
      <c r="C991" s="2" t="s">
        <v>130</v>
      </c>
      <c r="D991" s="2" t="s">
        <v>53</v>
      </c>
      <c r="E991" s="2" t="s">
        <v>16</v>
      </c>
      <c r="F991" s="2" t="s">
        <v>17</v>
      </c>
      <c r="G991" s="2" t="s">
        <v>54</v>
      </c>
      <c r="H991" s="2" t="s">
        <v>55</v>
      </c>
      <c r="I991" s="2" t="s">
        <v>20</v>
      </c>
      <c r="J991" s="4">
        <v>1</v>
      </c>
      <c r="K991" s="5">
        <v>153.94</v>
      </c>
      <c r="L991" s="6">
        <v>0</v>
      </c>
      <c r="M991" s="5">
        <v>153.94</v>
      </c>
      <c r="P991" t="str">
        <f>TEXT(Tableau2[[#This Row],[Date]],"mmmm aaaa")</f>
        <v>octobre 2026</v>
      </c>
    </row>
    <row r="992" spans="1:16">
      <c r="A992" s="2" t="s">
        <v>1079</v>
      </c>
      <c r="B992" s="3">
        <v>46332</v>
      </c>
      <c r="C992" s="2" t="s">
        <v>94</v>
      </c>
      <c r="D992" s="2" t="s">
        <v>15</v>
      </c>
      <c r="E992" s="2" t="s">
        <v>34</v>
      </c>
      <c r="F992" s="2" t="s">
        <v>17</v>
      </c>
      <c r="G992" s="2" t="s">
        <v>18</v>
      </c>
      <c r="H992" s="2" t="s">
        <v>136</v>
      </c>
      <c r="I992" s="2" t="s">
        <v>75</v>
      </c>
      <c r="J992" s="4">
        <v>4</v>
      </c>
      <c r="K992" s="5">
        <v>31.72</v>
      </c>
      <c r="L992" s="6">
        <v>0</v>
      </c>
      <c r="M992" s="5">
        <v>126.88</v>
      </c>
      <c r="P992" t="str">
        <f>TEXT(Tableau2[[#This Row],[Date]],"mmmm aaaa")</f>
        <v>novembre 2026</v>
      </c>
    </row>
    <row r="993" spans="1:16">
      <c r="A993" s="2" t="s">
        <v>1080</v>
      </c>
      <c r="B993" s="3">
        <v>46062</v>
      </c>
      <c r="C993" s="2" t="s">
        <v>57</v>
      </c>
      <c r="D993" s="2" t="s">
        <v>15</v>
      </c>
      <c r="E993" s="2" t="s">
        <v>16</v>
      </c>
      <c r="F993" s="2" t="s">
        <v>17</v>
      </c>
      <c r="G993" s="2" t="s">
        <v>24</v>
      </c>
      <c r="H993" s="2" t="s">
        <v>61</v>
      </c>
      <c r="I993" s="2" t="s">
        <v>50</v>
      </c>
      <c r="J993" s="4">
        <v>4</v>
      </c>
      <c r="K993" s="5">
        <v>221.99</v>
      </c>
      <c r="L993" s="6">
        <v>0.3</v>
      </c>
      <c r="M993" s="5">
        <v>621.57000000000005</v>
      </c>
      <c r="P993" t="str">
        <f>TEXT(Tableau2[[#This Row],[Date]],"mmmm aaaa")</f>
        <v>février 2026</v>
      </c>
    </row>
    <row r="994" spans="1:16">
      <c r="A994" s="2" t="s">
        <v>1081</v>
      </c>
      <c r="B994" s="3">
        <v>46104</v>
      </c>
      <c r="C994" s="2" t="s">
        <v>63</v>
      </c>
      <c r="D994" s="2" t="s">
        <v>33</v>
      </c>
      <c r="E994" s="2" t="s">
        <v>16</v>
      </c>
      <c r="F994" s="2" t="s">
        <v>17</v>
      </c>
      <c r="G994" s="2" t="s">
        <v>18</v>
      </c>
      <c r="H994" s="2" t="s">
        <v>143</v>
      </c>
      <c r="I994" s="2" t="s">
        <v>45</v>
      </c>
      <c r="J994" s="4">
        <v>3</v>
      </c>
      <c r="K994" s="5">
        <v>65.790000000000006</v>
      </c>
      <c r="L994" s="6">
        <v>0</v>
      </c>
      <c r="M994" s="5">
        <v>197.37</v>
      </c>
      <c r="P994" t="str">
        <f>TEXT(Tableau2[[#This Row],[Date]],"mmmm aaaa")</f>
        <v>mars 2026</v>
      </c>
    </row>
    <row r="995" spans="1:16">
      <c r="A995" s="2" t="s">
        <v>1082</v>
      </c>
      <c r="B995" s="3">
        <v>46354</v>
      </c>
      <c r="C995" s="2" t="s">
        <v>63</v>
      </c>
      <c r="D995" s="2" t="s">
        <v>33</v>
      </c>
      <c r="E995" s="2" t="s">
        <v>16</v>
      </c>
      <c r="F995" s="2" t="s">
        <v>28</v>
      </c>
      <c r="G995" s="2" t="s">
        <v>54</v>
      </c>
      <c r="H995" s="2" t="s">
        <v>55</v>
      </c>
      <c r="I995" s="2" t="s">
        <v>41</v>
      </c>
      <c r="J995" s="4">
        <v>6</v>
      </c>
      <c r="K995" s="5">
        <v>166.79</v>
      </c>
      <c r="L995" s="6">
        <v>0.15</v>
      </c>
      <c r="M995" s="5">
        <v>850.63</v>
      </c>
      <c r="P995" t="str">
        <f>TEXT(Tableau2[[#This Row],[Date]],"mmmm aaaa")</f>
        <v>novembre 2026</v>
      </c>
    </row>
    <row r="996" spans="1:16">
      <c r="A996" s="2" t="s">
        <v>1083</v>
      </c>
      <c r="B996" s="3">
        <v>46335</v>
      </c>
      <c r="C996" s="2" t="s">
        <v>14</v>
      </c>
      <c r="D996" s="2" t="s">
        <v>15</v>
      </c>
      <c r="E996" s="2" t="s">
        <v>16</v>
      </c>
      <c r="F996" s="2" t="s">
        <v>28</v>
      </c>
      <c r="G996" s="2" t="s">
        <v>48</v>
      </c>
      <c r="H996" s="2" t="s">
        <v>84</v>
      </c>
      <c r="I996" s="2" t="s">
        <v>36</v>
      </c>
      <c r="J996" s="4">
        <v>1</v>
      </c>
      <c r="K996" s="5">
        <v>95.53</v>
      </c>
      <c r="L996" s="6">
        <v>0</v>
      </c>
      <c r="M996" s="5">
        <v>95.53</v>
      </c>
      <c r="P996" t="str">
        <f>TEXT(Tableau2[[#This Row],[Date]],"mmmm aaaa")</f>
        <v>novembre 2026</v>
      </c>
    </row>
    <row r="997" spans="1:16">
      <c r="A997" s="2" t="s">
        <v>1084</v>
      </c>
      <c r="B997" s="3">
        <v>46104</v>
      </c>
      <c r="C997" s="2" t="s">
        <v>63</v>
      </c>
      <c r="D997" s="2" t="s">
        <v>33</v>
      </c>
      <c r="E997" s="2" t="s">
        <v>16</v>
      </c>
      <c r="F997" s="2" t="s">
        <v>28</v>
      </c>
      <c r="G997" s="2" t="s">
        <v>24</v>
      </c>
      <c r="H997" s="2" t="s">
        <v>35</v>
      </c>
      <c r="I997" s="2" t="s">
        <v>26</v>
      </c>
      <c r="J997" s="4">
        <v>5</v>
      </c>
      <c r="K997" s="5">
        <v>170.07</v>
      </c>
      <c r="L997" s="6">
        <v>0.15</v>
      </c>
      <c r="M997" s="5">
        <v>722.8</v>
      </c>
      <c r="P997" t="str">
        <f>TEXT(Tableau2[[#This Row],[Date]],"mmmm aaaa")</f>
        <v>mars 2026</v>
      </c>
    </row>
    <row r="998" spans="1:16">
      <c r="A998" s="2" t="s">
        <v>1085</v>
      </c>
      <c r="B998" s="3">
        <v>46073</v>
      </c>
      <c r="C998" s="2" t="s">
        <v>178</v>
      </c>
      <c r="D998" s="2" t="s">
        <v>15</v>
      </c>
      <c r="E998" s="2" t="s">
        <v>34</v>
      </c>
      <c r="F998" s="2" t="s">
        <v>17</v>
      </c>
      <c r="G998" s="2" t="s">
        <v>24</v>
      </c>
      <c r="H998" s="2" t="s">
        <v>35</v>
      </c>
      <c r="I998" s="2" t="s">
        <v>75</v>
      </c>
      <c r="J998" s="4">
        <v>3</v>
      </c>
      <c r="K998" s="5">
        <v>155.71</v>
      </c>
      <c r="L998" s="6">
        <v>0</v>
      </c>
      <c r="M998" s="5">
        <v>467.13</v>
      </c>
      <c r="P998" t="str">
        <f>TEXT(Tableau2[[#This Row],[Date]],"mmmm aaaa")</f>
        <v>février 2026</v>
      </c>
    </row>
    <row r="999" spans="1:16">
      <c r="A999" s="2" t="s">
        <v>1086</v>
      </c>
      <c r="B999" s="3">
        <v>46173</v>
      </c>
      <c r="C999" s="2" t="s">
        <v>63</v>
      </c>
      <c r="D999" s="2" t="s">
        <v>33</v>
      </c>
      <c r="E999" s="2" t="s">
        <v>43</v>
      </c>
      <c r="F999" s="2" t="s">
        <v>17</v>
      </c>
      <c r="G999" s="2" t="s">
        <v>24</v>
      </c>
      <c r="H999" s="2" t="s">
        <v>82</v>
      </c>
      <c r="I999" s="2" t="s">
        <v>75</v>
      </c>
      <c r="J999" s="4">
        <v>6</v>
      </c>
      <c r="K999" s="5">
        <v>303.51</v>
      </c>
      <c r="L999" s="6">
        <v>0.2</v>
      </c>
      <c r="M999" s="5">
        <v>1456.85</v>
      </c>
      <c r="P999" t="str">
        <f>TEXT(Tableau2[[#This Row],[Date]],"mmmm aaaa")</f>
        <v>mai 2026</v>
      </c>
    </row>
    <row r="1000" spans="1:16">
      <c r="A1000" s="2" t="s">
        <v>1087</v>
      </c>
      <c r="B1000" s="3">
        <v>46238</v>
      </c>
      <c r="C1000" s="2" t="s">
        <v>130</v>
      </c>
      <c r="D1000" s="2" t="s">
        <v>53</v>
      </c>
      <c r="E1000" s="2" t="s">
        <v>16</v>
      </c>
      <c r="F1000" s="2" t="s">
        <v>17</v>
      </c>
      <c r="G1000" s="2" t="s">
        <v>18</v>
      </c>
      <c r="H1000" s="2" t="s">
        <v>158</v>
      </c>
      <c r="I1000" s="2" t="s">
        <v>20</v>
      </c>
      <c r="J1000" s="4">
        <v>3</v>
      </c>
      <c r="K1000" s="5">
        <v>45.63</v>
      </c>
      <c r="L1000" s="6">
        <v>0</v>
      </c>
      <c r="M1000" s="5">
        <v>136.88999999999999</v>
      </c>
      <c r="P1000" t="str">
        <f>TEXT(Tableau2[[#This Row],[Date]],"mmmm aaaa")</f>
        <v>août 2026</v>
      </c>
    </row>
    <row r="1001" spans="1:16">
      <c r="A1001" s="2" t="s">
        <v>1088</v>
      </c>
      <c r="B1001" s="3">
        <v>46288</v>
      </c>
      <c r="C1001" s="2" t="s">
        <v>32</v>
      </c>
      <c r="D1001" s="2" t="s">
        <v>33</v>
      </c>
      <c r="E1001" s="2" t="s">
        <v>16</v>
      </c>
      <c r="F1001" s="2" t="s">
        <v>17</v>
      </c>
      <c r="G1001" s="2" t="s">
        <v>29</v>
      </c>
      <c r="H1001" s="2" t="s">
        <v>30</v>
      </c>
      <c r="I1001" s="2" t="s">
        <v>20</v>
      </c>
      <c r="J1001" s="4">
        <v>2</v>
      </c>
      <c r="K1001" s="5">
        <v>24.25</v>
      </c>
      <c r="L1001" s="6">
        <v>0</v>
      </c>
      <c r="M1001" s="5">
        <v>48.5</v>
      </c>
      <c r="P1001" t="str">
        <f>TEXT(Tableau2[[#This Row],[Date]],"mmmm aaaa")</f>
        <v>septembre 2026</v>
      </c>
    </row>
    <row r="1002" spans="1:16">
      <c r="A1002" s="2" t="s">
        <v>1089</v>
      </c>
      <c r="B1002" s="3">
        <v>46289</v>
      </c>
      <c r="C1002" s="2" t="s">
        <v>22</v>
      </c>
      <c r="D1002" s="2" t="s">
        <v>23</v>
      </c>
      <c r="E1002" s="2" t="s">
        <v>16</v>
      </c>
      <c r="F1002" s="2" t="s">
        <v>28</v>
      </c>
      <c r="G1002" s="2" t="s">
        <v>24</v>
      </c>
      <c r="H1002" s="2" t="s">
        <v>25</v>
      </c>
      <c r="I1002" s="2" t="s">
        <v>20</v>
      </c>
      <c r="J1002" s="4">
        <v>4</v>
      </c>
      <c r="K1002" s="5">
        <v>134.16999999999999</v>
      </c>
      <c r="L1002" s="6">
        <v>0</v>
      </c>
      <c r="M1002" s="5">
        <v>536.67999999999995</v>
      </c>
      <c r="P1002" t="str">
        <f>TEXT(Tableau2[[#This Row],[Date]],"mmmm aaaa")</f>
        <v>septembre 2026</v>
      </c>
    </row>
    <row r="1003" spans="1:16">
      <c r="A1003" s="2" t="s">
        <v>1090</v>
      </c>
      <c r="B1003" s="3">
        <v>46152</v>
      </c>
      <c r="C1003" s="2" t="s">
        <v>63</v>
      </c>
      <c r="D1003" s="2" t="s">
        <v>33</v>
      </c>
      <c r="E1003" s="2" t="s">
        <v>43</v>
      </c>
      <c r="F1003" s="2" t="s">
        <v>28</v>
      </c>
      <c r="G1003" s="2" t="s">
        <v>39</v>
      </c>
      <c r="H1003" s="2" t="s">
        <v>95</v>
      </c>
      <c r="I1003" s="2" t="s">
        <v>75</v>
      </c>
      <c r="J1003" s="4">
        <v>2</v>
      </c>
      <c r="K1003" s="5">
        <v>92.93</v>
      </c>
      <c r="L1003" s="6">
        <v>0</v>
      </c>
      <c r="M1003" s="5">
        <v>185.86</v>
      </c>
      <c r="P1003" t="str">
        <f>TEXT(Tableau2[[#This Row],[Date]],"mmmm aaaa")</f>
        <v>mai 2026</v>
      </c>
    </row>
    <row r="1004" spans="1:16">
      <c r="A1004" s="2" t="s">
        <v>1091</v>
      </c>
      <c r="B1004" s="3">
        <v>46340</v>
      </c>
      <c r="C1004" s="2" t="s">
        <v>125</v>
      </c>
      <c r="D1004" s="2" t="s">
        <v>23</v>
      </c>
      <c r="E1004" s="2" t="s">
        <v>38</v>
      </c>
      <c r="F1004" s="2" t="s">
        <v>28</v>
      </c>
      <c r="G1004" s="2" t="s">
        <v>48</v>
      </c>
      <c r="H1004" s="2" t="s">
        <v>84</v>
      </c>
      <c r="I1004" s="2" t="s">
        <v>41</v>
      </c>
      <c r="J1004" s="4">
        <v>1</v>
      </c>
      <c r="K1004" s="5">
        <v>89.78</v>
      </c>
      <c r="L1004" s="6">
        <v>0</v>
      </c>
      <c r="M1004" s="5">
        <v>89.78</v>
      </c>
      <c r="P1004" t="str">
        <f>TEXT(Tableau2[[#This Row],[Date]],"mmmm aaaa")</f>
        <v>novembre 2026</v>
      </c>
    </row>
    <row r="1005" spans="1:16">
      <c r="A1005" s="2" t="s">
        <v>1092</v>
      </c>
      <c r="B1005" s="3">
        <v>46359</v>
      </c>
      <c r="C1005" s="2" t="s">
        <v>94</v>
      </c>
      <c r="D1005" s="2" t="s">
        <v>15</v>
      </c>
      <c r="E1005" s="2" t="s">
        <v>34</v>
      </c>
      <c r="F1005" s="2" t="s">
        <v>17</v>
      </c>
      <c r="G1005" s="2" t="s">
        <v>39</v>
      </c>
      <c r="H1005" s="2" t="s">
        <v>95</v>
      </c>
      <c r="I1005" s="2" t="s">
        <v>75</v>
      </c>
      <c r="J1005" s="4">
        <v>3</v>
      </c>
      <c r="K1005" s="5">
        <v>96.33</v>
      </c>
      <c r="L1005" s="6">
        <v>0</v>
      </c>
      <c r="M1005" s="5">
        <v>288.99</v>
      </c>
      <c r="P1005" t="str">
        <f>TEXT(Tableau2[[#This Row],[Date]],"mmmm aaaa")</f>
        <v>décembre 2026</v>
      </c>
    </row>
    <row r="1006" spans="1:16">
      <c r="A1006" s="2" t="s">
        <v>1093</v>
      </c>
      <c r="B1006" s="3">
        <v>46299</v>
      </c>
      <c r="C1006" s="2" t="s">
        <v>86</v>
      </c>
      <c r="D1006" s="2" t="s">
        <v>53</v>
      </c>
      <c r="E1006" s="2" t="s">
        <v>16</v>
      </c>
      <c r="F1006" s="2" t="s">
        <v>28</v>
      </c>
      <c r="G1006" s="2" t="s">
        <v>54</v>
      </c>
      <c r="H1006" s="2" t="s">
        <v>64</v>
      </c>
      <c r="I1006" s="2" t="s">
        <v>20</v>
      </c>
      <c r="J1006" s="4">
        <v>5</v>
      </c>
      <c r="K1006" s="5">
        <v>96.04</v>
      </c>
      <c r="L1006" s="6">
        <v>0</v>
      </c>
      <c r="M1006" s="5">
        <v>480.2</v>
      </c>
      <c r="P1006" t="str">
        <f>TEXT(Tableau2[[#This Row],[Date]],"mmmm aaaa")</f>
        <v>octobre 2026</v>
      </c>
    </row>
    <row r="1007" spans="1:16">
      <c r="A1007" s="2" t="s">
        <v>1094</v>
      </c>
      <c r="B1007" s="3">
        <v>46363</v>
      </c>
      <c r="C1007" s="2" t="s">
        <v>441</v>
      </c>
      <c r="D1007" s="2" t="s">
        <v>23</v>
      </c>
      <c r="E1007" s="2" t="s">
        <v>38</v>
      </c>
      <c r="F1007" s="2" t="s">
        <v>17</v>
      </c>
      <c r="G1007" s="2" t="s">
        <v>48</v>
      </c>
      <c r="H1007" s="2" t="s">
        <v>84</v>
      </c>
      <c r="I1007" s="2" t="s">
        <v>20</v>
      </c>
      <c r="J1007" s="4">
        <v>7</v>
      </c>
      <c r="K1007" s="5">
        <v>90.21</v>
      </c>
      <c r="L1007" s="6">
        <v>0</v>
      </c>
      <c r="M1007" s="5">
        <v>631.47</v>
      </c>
      <c r="P1007" t="str">
        <f>TEXT(Tableau2[[#This Row],[Date]],"mmmm aaaa")</f>
        <v>décembre 2026</v>
      </c>
    </row>
    <row r="1008" spans="1:16">
      <c r="A1008" s="2" t="s">
        <v>1095</v>
      </c>
      <c r="B1008" s="3">
        <v>46307</v>
      </c>
      <c r="C1008" s="2" t="s">
        <v>63</v>
      </c>
      <c r="D1008" s="2" t="s">
        <v>33</v>
      </c>
      <c r="E1008" s="2" t="s">
        <v>16</v>
      </c>
      <c r="F1008" s="2" t="s">
        <v>17</v>
      </c>
      <c r="G1008" s="2" t="s">
        <v>18</v>
      </c>
      <c r="H1008" s="2" t="s">
        <v>143</v>
      </c>
      <c r="I1008" s="2" t="s">
        <v>26</v>
      </c>
      <c r="J1008" s="4">
        <v>3</v>
      </c>
      <c r="K1008" s="5">
        <v>68.239999999999995</v>
      </c>
      <c r="L1008" s="6">
        <v>0</v>
      </c>
      <c r="M1008" s="5">
        <v>204.72</v>
      </c>
      <c r="P1008" t="str">
        <f>TEXT(Tableau2[[#This Row],[Date]],"mmmm aaaa")</f>
        <v>octobre 2026</v>
      </c>
    </row>
    <row r="1009" spans="1:16">
      <c r="A1009" s="2" t="s">
        <v>1096</v>
      </c>
      <c r="B1009" s="3">
        <v>46138</v>
      </c>
      <c r="C1009" s="2" t="s">
        <v>156</v>
      </c>
      <c r="D1009" s="2" t="s">
        <v>15</v>
      </c>
      <c r="E1009" s="2" t="s">
        <v>16</v>
      </c>
      <c r="F1009" s="2" t="s">
        <v>17</v>
      </c>
      <c r="G1009" s="2" t="s">
        <v>54</v>
      </c>
      <c r="H1009" s="2" t="s">
        <v>64</v>
      </c>
      <c r="I1009" s="2" t="s">
        <v>58</v>
      </c>
      <c r="J1009" s="4">
        <v>16</v>
      </c>
      <c r="K1009" s="5">
        <v>88.19</v>
      </c>
      <c r="L1009" s="6">
        <v>0.15</v>
      </c>
      <c r="M1009" s="5">
        <v>1199.3800000000001</v>
      </c>
      <c r="P1009" t="str">
        <f>TEXT(Tableau2[[#This Row],[Date]],"mmmm aaaa")</f>
        <v>avril 2026</v>
      </c>
    </row>
    <row r="1010" spans="1:16">
      <c r="A1010" s="2" t="s">
        <v>1097</v>
      </c>
      <c r="B1010" s="3">
        <v>46247</v>
      </c>
      <c r="C1010" s="2" t="s">
        <v>14</v>
      </c>
      <c r="D1010" s="2" t="s">
        <v>15</v>
      </c>
      <c r="E1010" s="2" t="s">
        <v>16</v>
      </c>
      <c r="F1010" s="2" t="s">
        <v>17</v>
      </c>
      <c r="G1010" s="2" t="s">
        <v>54</v>
      </c>
      <c r="H1010" s="2" t="s">
        <v>102</v>
      </c>
      <c r="I1010" s="2" t="s">
        <v>41</v>
      </c>
      <c r="J1010" s="4">
        <v>6</v>
      </c>
      <c r="K1010" s="5">
        <v>207.88</v>
      </c>
      <c r="L1010" s="6">
        <v>0.1</v>
      </c>
      <c r="M1010" s="5">
        <v>1122.55</v>
      </c>
      <c r="P1010" t="str">
        <f>TEXT(Tableau2[[#This Row],[Date]],"mmmm aaaa")</f>
        <v>août 2026</v>
      </c>
    </row>
    <row r="1011" spans="1:16">
      <c r="A1011" s="2" t="s">
        <v>1098</v>
      </c>
      <c r="B1011" s="3">
        <v>46331</v>
      </c>
      <c r="C1011" s="2" t="s">
        <v>57</v>
      </c>
      <c r="D1011" s="2" t="s">
        <v>15</v>
      </c>
      <c r="E1011" s="2" t="s">
        <v>34</v>
      </c>
      <c r="F1011" s="2" t="s">
        <v>17</v>
      </c>
      <c r="G1011" s="2" t="s">
        <v>39</v>
      </c>
      <c r="H1011" s="2" t="s">
        <v>95</v>
      </c>
      <c r="I1011" s="2" t="s">
        <v>58</v>
      </c>
      <c r="J1011" s="4">
        <v>4</v>
      </c>
      <c r="K1011" s="5">
        <v>98.79</v>
      </c>
      <c r="L1011" s="6">
        <v>0</v>
      </c>
      <c r="M1011" s="5">
        <v>395.16</v>
      </c>
      <c r="P1011" t="str">
        <f>TEXT(Tableau2[[#This Row],[Date]],"mmmm aaaa")</f>
        <v>novembre 2026</v>
      </c>
    </row>
    <row r="1012" spans="1:16">
      <c r="A1012" s="2" t="s">
        <v>1099</v>
      </c>
      <c r="B1012" s="3">
        <v>46132</v>
      </c>
      <c r="C1012" s="2" t="s">
        <v>92</v>
      </c>
      <c r="D1012" s="2" t="s">
        <v>53</v>
      </c>
      <c r="E1012" s="2" t="s">
        <v>34</v>
      </c>
      <c r="F1012" s="2" t="s">
        <v>28</v>
      </c>
      <c r="G1012" s="2" t="s">
        <v>18</v>
      </c>
      <c r="H1012" s="2" t="s">
        <v>143</v>
      </c>
      <c r="I1012" s="2" t="s">
        <v>58</v>
      </c>
      <c r="J1012" s="4">
        <v>3</v>
      </c>
      <c r="K1012" s="5">
        <v>72.900000000000006</v>
      </c>
      <c r="L1012" s="6">
        <v>0.3</v>
      </c>
      <c r="M1012" s="5">
        <v>153.09</v>
      </c>
      <c r="P1012" t="str">
        <f>TEXT(Tableau2[[#This Row],[Date]],"mmmm aaaa")</f>
        <v>avril 2026</v>
      </c>
    </row>
    <row r="1013" spans="1:16">
      <c r="A1013" s="2" t="s">
        <v>1100</v>
      </c>
      <c r="B1013" s="3">
        <v>46307</v>
      </c>
      <c r="C1013" s="2" t="s">
        <v>22</v>
      </c>
      <c r="D1013" s="2" t="s">
        <v>23</v>
      </c>
      <c r="E1013" s="2" t="s">
        <v>43</v>
      </c>
      <c r="F1013" s="2" t="s">
        <v>28</v>
      </c>
      <c r="G1013" s="2" t="s">
        <v>18</v>
      </c>
      <c r="H1013" s="2" t="s">
        <v>136</v>
      </c>
      <c r="I1013" s="2" t="s">
        <v>20</v>
      </c>
      <c r="J1013" s="4">
        <v>2</v>
      </c>
      <c r="K1013" s="5">
        <v>30.82</v>
      </c>
      <c r="L1013" s="6">
        <v>0</v>
      </c>
      <c r="M1013" s="5">
        <v>61.64</v>
      </c>
      <c r="P1013" t="str">
        <f>TEXT(Tableau2[[#This Row],[Date]],"mmmm aaaa")</f>
        <v>octobre 2026</v>
      </c>
    </row>
    <row r="1014" spans="1:16">
      <c r="A1014" s="2" t="s">
        <v>1101</v>
      </c>
      <c r="B1014" s="3">
        <v>46204</v>
      </c>
      <c r="C1014" s="2" t="s">
        <v>79</v>
      </c>
      <c r="D1014" s="2" t="s">
        <v>33</v>
      </c>
      <c r="E1014" s="2" t="s">
        <v>34</v>
      </c>
      <c r="F1014" s="2" t="s">
        <v>17</v>
      </c>
      <c r="G1014" s="2" t="s">
        <v>39</v>
      </c>
      <c r="H1014" s="2" t="s">
        <v>40</v>
      </c>
      <c r="I1014" s="2" t="s">
        <v>50</v>
      </c>
      <c r="J1014" s="4">
        <v>1</v>
      </c>
      <c r="K1014" s="5">
        <v>133.65</v>
      </c>
      <c r="L1014" s="6">
        <v>0</v>
      </c>
      <c r="M1014" s="5">
        <v>133.65</v>
      </c>
      <c r="P1014" t="str">
        <f>TEXT(Tableau2[[#This Row],[Date]],"mmmm aaaa")</f>
        <v>juillet 2026</v>
      </c>
    </row>
    <row r="1015" spans="1:16">
      <c r="A1015" s="2" t="s">
        <v>1102</v>
      </c>
      <c r="B1015" s="3">
        <v>46312</v>
      </c>
      <c r="C1015" s="2" t="s">
        <v>116</v>
      </c>
      <c r="D1015" s="2" t="s">
        <v>15</v>
      </c>
      <c r="E1015" s="2" t="s">
        <v>16</v>
      </c>
      <c r="F1015" s="2" t="s">
        <v>17</v>
      </c>
      <c r="G1015" s="2" t="s">
        <v>48</v>
      </c>
      <c r="H1015" s="2" t="s">
        <v>77</v>
      </c>
      <c r="I1015" s="2" t="s">
        <v>50</v>
      </c>
      <c r="J1015" s="4">
        <v>2</v>
      </c>
      <c r="K1015" s="5">
        <v>88.21</v>
      </c>
      <c r="L1015" s="6">
        <v>0</v>
      </c>
      <c r="M1015" s="5">
        <v>176.42</v>
      </c>
      <c r="P1015" t="str">
        <f>TEXT(Tableau2[[#This Row],[Date]],"mmmm aaaa")</f>
        <v>octobre 2026</v>
      </c>
    </row>
    <row r="1016" spans="1:16">
      <c r="A1016" s="2" t="s">
        <v>1103</v>
      </c>
      <c r="B1016" s="3">
        <v>46351</v>
      </c>
      <c r="C1016" s="2" t="s">
        <v>86</v>
      </c>
      <c r="D1016" s="2" t="s">
        <v>53</v>
      </c>
      <c r="E1016" s="2" t="s">
        <v>34</v>
      </c>
      <c r="F1016" s="2" t="s">
        <v>28</v>
      </c>
      <c r="G1016" s="2" t="s">
        <v>18</v>
      </c>
      <c r="H1016" s="2" t="s">
        <v>136</v>
      </c>
      <c r="I1016" s="2" t="s">
        <v>20</v>
      </c>
      <c r="J1016" s="4">
        <v>4</v>
      </c>
      <c r="K1016" s="5">
        <v>30.44</v>
      </c>
      <c r="L1016" s="6">
        <v>0</v>
      </c>
      <c r="M1016" s="5">
        <v>121.76</v>
      </c>
      <c r="P1016" t="str">
        <f>TEXT(Tableau2[[#This Row],[Date]],"mmmm aaaa")</f>
        <v>novembre 2026</v>
      </c>
    </row>
    <row r="1017" spans="1:16">
      <c r="A1017" s="2" t="s">
        <v>1104</v>
      </c>
      <c r="B1017" s="3">
        <v>46370</v>
      </c>
      <c r="C1017" s="2" t="s">
        <v>92</v>
      </c>
      <c r="D1017" s="2" t="s">
        <v>53</v>
      </c>
      <c r="E1017" s="2" t="s">
        <v>34</v>
      </c>
      <c r="F1017" s="2" t="s">
        <v>17</v>
      </c>
      <c r="G1017" s="2" t="s">
        <v>29</v>
      </c>
      <c r="H1017" s="2" t="s">
        <v>99</v>
      </c>
      <c r="I1017" s="2" t="s">
        <v>45</v>
      </c>
      <c r="J1017" s="4">
        <v>2</v>
      </c>
      <c r="K1017" s="5">
        <v>62.79</v>
      </c>
      <c r="L1017" s="6">
        <v>0.2</v>
      </c>
      <c r="M1017" s="5">
        <v>100.46</v>
      </c>
      <c r="P1017" t="str">
        <f>TEXT(Tableau2[[#This Row],[Date]],"mmmm aaaa")</f>
        <v>décembre 2026</v>
      </c>
    </row>
    <row r="1018" spans="1:16">
      <c r="A1018" s="2" t="s">
        <v>1105</v>
      </c>
      <c r="B1018" s="3">
        <v>46225</v>
      </c>
      <c r="C1018" s="2" t="s">
        <v>90</v>
      </c>
      <c r="D1018" s="2" t="s">
        <v>53</v>
      </c>
      <c r="E1018" s="2" t="s">
        <v>34</v>
      </c>
      <c r="F1018" s="2" t="s">
        <v>17</v>
      </c>
      <c r="G1018" s="2" t="s">
        <v>24</v>
      </c>
      <c r="H1018" s="2" t="s">
        <v>82</v>
      </c>
      <c r="I1018" s="2" t="s">
        <v>58</v>
      </c>
      <c r="J1018" s="4">
        <v>1</v>
      </c>
      <c r="K1018" s="5">
        <v>275.91000000000003</v>
      </c>
      <c r="L1018" s="6">
        <v>0</v>
      </c>
      <c r="M1018" s="5">
        <v>275.91000000000003</v>
      </c>
      <c r="P1018" t="str">
        <f>TEXT(Tableau2[[#This Row],[Date]],"mmmm aaaa")</f>
        <v>juillet 2026</v>
      </c>
    </row>
    <row r="1019" spans="1:16">
      <c r="A1019" s="2" t="s">
        <v>1106</v>
      </c>
      <c r="B1019" s="3">
        <v>46179</v>
      </c>
      <c r="C1019" s="2" t="s">
        <v>63</v>
      </c>
      <c r="D1019" s="2" t="s">
        <v>33</v>
      </c>
      <c r="E1019" s="2" t="s">
        <v>34</v>
      </c>
      <c r="F1019" s="2" t="s">
        <v>28</v>
      </c>
      <c r="G1019" s="2" t="s">
        <v>54</v>
      </c>
      <c r="H1019" s="2" t="s">
        <v>55</v>
      </c>
      <c r="I1019" s="2" t="s">
        <v>26</v>
      </c>
      <c r="J1019" s="4">
        <v>3</v>
      </c>
      <c r="K1019" s="5">
        <v>160.47</v>
      </c>
      <c r="L1019" s="6">
        <v>0.1</v>
      </c>
      <c r="M1019" s="5">
        <v>433.27</v>
      </c>
      <c r="P1019" t="str">
        <f>TEXT(Tableau2[[#This Row],[Date]],"mmmm aaaa")</f>
        <v>juin 2026</v>
      </c>
    </row>
    <row r="1020" spans="1:16">
      <c r="A1020" s="2" t="s">
        <v>1107</v>
      </c>
      <c r="B1020" s="3">
        <v>46256</v>
      </c>
      <c r="C1020" s="2" t="s">
        <v>57</v>
      </c>
      <c r="D1020" s="2" t="s">
        <v>15</v>
      </c>
      <c r="E1020" s="2" t="s">
        <v>43</v>
      </c>
      <c r="F1020" s="2" t="s">
        <v>17</v>
      </c>
      <c r="G1020" s="2" t="s">
        <v>24</v>
      </c>
      <c r="H1020" s="2" t="s">
        <v>25</v>
      </c>
      <c r="I1020" s="2" t="s">
        <v>50</v>
      </c>
      <c r="J1020" s="4">
        <v>2</v>
      </c>
      <c r="K1020" s="5">
        <v>119.01</v>
      </c>
      <c r="L1020" s="6">
        <v>0</v>
      </c>
      <c r="M1020" s="5">
        <v>238.02</v>
      </c>
      <c r="P1020" t="str">
        <f>TEXT(Tableau2[[#This Row],[Date]],"mmmm aaaa")</f>
        <v>août 2026</v>
      </c>
    </row>
    <row r="1021" spans="1:16">
      <c r="A1021" s="2" t="s">
        <v>1108</v>
      </c>
      <c r="B1021" s="3">
        <v>46378</v>
      </c>
      <c r="C1021" s="2" t="s">
        <v>66</v>
      </c>
      <c r="D1021" s="2" t="s">
        <v>23</v>
      </c>
      <c r="E1021" s="2" t="s">
        <v>43</v>
      </c>
      <c r="F1021" s="2" t="s">
        <v>28</v>
      </c>
      <c r="G1021" s="2" t="s">
        <v>39</v>
      </c>
      <c r="H1021" s="2" t="s">
        <v>71</v>
      </c>
      <c r="I1021" s="2" t="s">
        <v>45</v>
      </c>
      <c r="J1021" s="4">
        <v>3</v>
      </c>
      <c r="K1021" s="5">
        <v>118.83</v>
      </c>
      <c r="L1021" s="6">
        <v>0</v>
      </c>
      <c r="M1021" s="5">
        <v>356.49</v>
      </c>
      <c r="P1021" t="str">
        <f>TEXT(Tableau2[[#This Row],[Date]],"mmmm aaaa")</f>
        <v>décembre 2026</v>
      </c>
    </row>
    <row r="1022" spans="1:16">
      <c r="A1022" s="2" t="s">
        <v>1109</v>
      </c>
      <c r="B1022" s="3">
        <v>46079</v>
      </c>
      <c r="C1022" s="2" t="s">
        <v>63</v>
      </c>
      <c r="D1022" s="2" t="s">
        <v>33</v>
      </c>
      <c r="E1022" s="2" t="s">
        <v>34</v>
      </c>
      <c r="F1022" s="2" t="s">
        <v>28</v>
      </c>
      <c r="G1022" s="2" t="s">
        <v>18</v>
      </c>
      <c r="H1022" s="2" t="s">
        <v>143</v>
      </c>
      <c r="I1022" s="2" t="s">
        <v>45</v>
      </c>
      <c r="J1022" s="4">
        <v>1</v>
      </c>
      <c r="K1022" s="5">
        <v>66.37</v>
      </c>
      <c r="L1022" s="6">
        <v>0.1</v>
      </c>
      <c r="M1022" s="5">
        <v>59.73</v>
      </c>
      <c r="P1022" t="str">
        <f>TEXT(Tableau2[[#This Row],[Date]],"mmmm aaaa")</f>
        <v>février 2026</v>
      </c>
    </row>
    <row r="1023" spans="1:16">
      <c r="A1023" s="2" t="s">
        <v>1110</v>
      </c>
      <c r="B1023" s="3">
        <v>46163</v>
      </c>
      <c r="C1023" s="2" t="s">
        <v>66</v>
      </c>
      <c r="D1023" s="2" t="s">
        <v>23</v>
      </c>
      <c r="E1023" s="2" t="s">
        <v>16</v>
      </c>
      <c r="F1023" s="2" t="s">
        <v>28</v>
      </c>
      <c r="G1023" s="2" t="s">
        <v>54</v>
      </c>
      <c r="H1023" s="2" t="s">
        <v>55</v>
      </c>
      <c r="I1023" s="2" t="s">
        <v>45</v>
      </c>
      <c r="J1023" s="4">
        <v>1</v>
      </c>
      <c r="K1023" s="5">
        <v>170.15</v>
      </c>
      <c r="L1023" s="6">
        <v>0.15</v>
      </c>
      <c r="M1023" s="5">
        <v>144.63</v>
      </c>
      <c r="P1023" t="str">
        <f>TEXT(Tableau2[[#This Row],[Date]],"mmmm aaaa")</f>
        <v>mai 2026</v>
      </c>
    </row>
    <row r="1024" spans="1:16">
      <c r="A1024" s="2" t="s">
        <v>1111</v>
      </c>
      <c r="B1024" s="3">
        <v>46102</v>
      </c>
      <c r="C1024" s="2" t="s">
        <v>14</v>
      </c>
      <c r="D1024" s="2" t="s">
        <v>15</v>
      </c>
      <c r="E1024" s="2" t="s">
        <v>16</v>
      </c>
      <c r="F1024" s="2" t="s">
        <v>28</v>
      </c>
      <c r="G1024" s="2" t="s">
        <v>39</v>
      </c>
      <c r="H1024" s="2" t="s">
        <v>95</v>
      </c>
      <c r="I1024" s="2" t="s">
        <v>45</v>
      </c>
      <c r="J1024" s="4">
        <v>2</v>
      </c>
      <c r="K1024" s="5">
        <v>96.08</v>
      </c>
      <c r="L1024" s="6">
        <v>0</v>
      </c>
      <c r="M1024" s="5">
        <v>192.16</v>
      </c>
      <c r="P1024" t="str">
        <f>TEXT(Tableau2[[#This Row],[Date]],"mmmm aaaa")</f>
        <v>mars 2026</v>
      </c>
    </row>
    <row r="1025" spans="1:16">
      <c r="A1025" s="2" t="s">
        <v>1112</v>
      </c>
      <c r="B1025" s="3">
        <v>46313</v>
      </c>
      <c r="C1025" s="2" t="s">
        <v>14</v>
      </c>
      <c r="D1025" s="2" t="s">
        <v>15</v>
      </c>
      <c r="E1025" s="2" t="s">
        <v>16</v>
      </c>
      <c r="F1025" s="2" t="s">
        <v>28</v>
      </c>
      <c r="G1025" s="2" t="s">
        <v>54</v>
      </c>
      <c r="H1025" s="2" t="s">
        <v>102</v>
      </c>
      <c r="I1025" s="2" t="s">
        <v>20</v>
      </c>
      <c r="J1025" s="4">
        <v>1</v>
      </c>
      <c r="K1025" s="5">
        <v>206.03</v>
      </c>
      <c r="L1025" s="6">
        <v>0</v>
      </c>
      <c r="M1025" s="5">
        <v>206.03</v>
      </c>
      <c r="P1025" t="str">
        <f>TEXT(Tableau2[[#This Row],[Date]],"mmmm aaaa")</f>
        <v>octobre 2026</v>
      </c>
    </row>
    <row r="1026" spans="1:16">
      <c r="A1026" s="2" t="s">
        <v>1113</v>
      </c>
      <c r="B1026" s="3">
        <v>46306</v>
      </c>
      <c r="C1026" s="2" t="s">
        <v>79</v>
      </c>
      <c r="D1026" s="2" t="s">
        <v>33</v>
      </c>
      <c r="E1026" s="2" t="s">
        <v>43</v>
      </c>
      <c r="F1026" s="2" t="s">
        <v>17</v>
      </c>
      <c r="G1026" s="2" t="s">
        <v>18</v>
      </c>
      <c r="H1026" s="2" t="s">
        <v>136</v>
      </c>
      <c r="I1026" s="2" t="s">
        <v>50</v>
      </c>
      <c r="J1026" s="4">
        <v>2</v>
      </c>
      <c r="K1026" s="5">
        <v>31.93</v>
      </c>
      <c r="L1026" s="6">
        <v>0</v>
      </c>
      <c r="M1026" s="5">
        <v>63.86</v>
      </c>
      <c r="P1026" t="str">
        <f>TEXT(Tableau2[[#This Row],[Date]],"mmmm aaaa")</f>
        <v>octobre 2026</v>
      </c>
    </row>
    <row r="1027" spans="1:16">
      <c r="A1027" s="2" t="s">
        <v>1114</v>
      </c>
      <c r="B1027" s="3">
        <v>46188</v>
      </c>
      <c r="C1027" s="2" t="s">
        <v>63</v>
      </c>
      <c r="D1027" s="2" t="s">
        <v>33</v>
      </c>
      <c r="E1027" s="2" t="s">
        <v>16</v>
      </c>
      <c r="F1027" s="2" t="s">
        <v>28</v>
      </c>
      <c r="G1027" s="2" t="s">
        <v>39</v>
      </c>
      <c r="H1027" s="2" t="s">
        <v>95</v>
      </c>
      <c r="I1027" s="2" t="s">
        <v>36</v>
      </c>
      <c r="J1027" s="4">
        <v>1</v>
      </c>
      <c r="K1027" s="5">
        <v>100.35</v>
      </c>
      <c r="L1027" s="6">
        <v>0</v>
      </c>
      <c r="M1027" s="5">
        <v>100.35</v>
      </c>
      <c r="P1027" t="str">
        <f>TEXT(Tableau2[[#This Row],[Date]],"mmmm aaaa")</f>
        <v>juin 2026</v>
      </c>
    </row>
    <row r="1028" spans="1:16">
      <c r="A1028" s="2" t="s">
        <v>1115</v>
      </c>
      <c r="B1028" s="3">
        <v>46275</v>
      </c>
      <c r="C1028" s="2" t="s">
        <v>63</v>
      </c>
      <c r="D1028" s="2" t="s">
        <v>33</v>
      </c>
      <c r="E1028" s="2" t="s">
        <v>43</v>
      </c>
      <c r="F1028" s="2" t="s">
        <v>28</v>
      </c>
      <c r="G1028" s="2" t="s">
        <v>39</v>
      </c>
      <c r="H1028" s="2" t="s">
        <v>40</v>
      </c>
      <c r="I1028" s="2" t="s">
        <v>58</v>
      </c>
      <c r="J1028" s="4">
        <v>2</v>
      </c>
      <c r="K1028" s="5">
        <v>123.46</v>
      </c>
      <c r="L1028" s="6">
        <v>0</v>
      </c>
      <c r="M1028" s="5">
        <v>246.92</v>
      </c>
      <c r="P1028" t="str">
        <f>TEXT(Tableau2[[#This Row],[Date]],"mmmm aaaa")</f>
        <v>septembre 2026</v>
      </c>
    </row>
    <row r="1029" spans="1:16">
      <c r="A1029" s="2" t="s">
        <v>1116</v>
      </c>
      <c r="B1029" s="3">
        <v>46039</v>
      </c>
      <c r="C1029" s="2" t="s">
        <v>123</v>
      </c>
      <c r="D1029" s="2" t="s">
        <v>53</v>
      </c>
      <c r="E1029" s="2" t="s">
        <v>16</v>
      </c>
      <c r="F1029" s="2" t="s">
        <v>28</v>
      </c>
      <c r="G1029" s="2" t="s">
        <v>18</v>
      </c>
      <c r="H1029" s="2" t="s">
        <v>136</v>
      </c>
      <c r="I1029" s="2" t="s">
        <v>26</v>
      </c>
      <c r="J1029" s="4">
        <v>2</v>
      </c>
      <c r="K1029" s="5">
        <v>31.13</v>
      </c>
      <c r="L1029" s="6">
        <v>0.05</v>
      </c>
      <c r="M1029" s="5">
        <v>59.15</v>
      </c>
      <c r="P1029" t="str">
        <f>TEXT(Tableau2[[#This Row],[Date]],"mmmm aaaa")</f>
        <v>janvier 2026</v>
      </c>
    </row>
    <row r="1030" spans="1:16">
      <c r="A1030" s="2" t="s">
        <v>1117</v>
      </c>
      <c r="B1030" s="3">
        <v>46313</v>
      </c>
      <c r="C1030" s="2" t="s">
        <v>63</v>
      </c>
      <c r="D1030" s="2" t="s">
        <v>33</v>
      </c>
      <c r="E1030" s="2" t="s">
        <v>34</v>
      </c>
      <c r="F1030" s="2" t="s">
        <v>17</v>
      </c>
      <c r="G1030" s="2" t="s">
        <v>18</v>
      </c>
      <c r="H1030" s="2" t="s">
        <v>143</v>
      </c>
      <c r="I1030" s="2" t="s">
        <v>36</v>
      </c>
      <c r="J1030" s="4">
        <v>4</v>
      </c>
      <c r="K1030" s="5">
        <v>68.3</v>
      </c>
      <c r="L1030" s="6">
        <v>0.15</v>
      </c>
      <c r="M1030" s="5">
        <v>232.22</v>
      </c>
      <c r="P1030" t="str">
        <f>TEXT(Tableau2[[#This Row],[Date]],"mmmm aaaa")</f>
        <v>octobre 2026</v>
      </c>
    </row>
    <row r="1031" spans="1:16">
      <c r="A1031" s="2" t="s">
        <v>1118</v>
      </c>
      <c r="B1031" s="3">
        <v>46200</v>
      </c>
      <c r="C1031" s="2" t="s">
        <v>106</v>
      </c>
      <c r="D1031" s="2" t="s">
        <v>23</v>
      </c>
      <c r="E1031" s="2" t="s">
        <v>34</v>
      </c>
      <c r="F1031" s="2" t="s">
        <v>17</v>
      </c>
      <c r="G1031" s="2" t="s">
        <v>29</v>
      </c>
      <c r="H1031" s="2" t="s">
        <v>44</v>
      </c>
      <c r="I1031" s="2" t="s">
        <v>36</v>
      </c>
      <c r="J1031" s="4">
        <v>9</v>
      </c>
      <c r="K1031" s="5">
        <v>35.369999999999997</v>
      </c>
      <c r="L1031" s="6">
        <v>0</v>
      </c>
      <c r="M1031" s="5">
        <v>318.33</v>
      </c>
      <c r="P1031" t="str">
        <f>TEXT(Tableau2[[#This Row],[Date]],"mmmm aaaa")</f>
        <v>juin 2026</v>
      </c>
    </row>
    <row r="1032" spans="1:16">
      <c r="A1032" s="2" t="s">
        <v>1119</v>
      </c>
      <c r="B1032" s="3">
        <v>46176</v>
      </c>
      <c r="C1032" s="2" t="s">
        <v>90</v>
      </c>
      <c r="D1032" s="2" t="s">
        <v>53</v>
      </c>
      <c r="E1032" s="2" t="s">
        <v>34</v>
      </c>
      <c r="F1032" s="2" t="s">
        <v>17</v>
      </c>
      <c r="G1032" s="2" t="s">
        <v>24</v>
      </c>
      <c r="H1032" s="2" t="s">
        <v>25</v>
      </c>
      <c r="I1032" s="2" t="s">
        <v>41</v>
      </c>
      <c r="J1032" s="4">
        <v>1</v>
      </c>
      <c r="K1032" s="5">
        <v>119.08</v>
      </c>
      <c r="L1032" s="6">
        <v>0</v>
      </c>
      <c r="M1032" s="5">
        <v>119.08</v>
      </c>
      <c r="P1032" t="str">
        <f>TEXT(Tableau2[[#This Row],[Date]],"mmmm aaaa")</f>
        <v>juin 2026</v>
      </c>
    </row>
    <row r="1033" spans="1:16">
      <c r="A1033" s="2" t="s">
        <v>1120</v>
      </c>
      <c r="B1033" s="3">
        <v>46294</v>
      </c>
      <c r="C1033" s="2" t="s">
        <v>106</v>
      </c>
      <c r="D1033" s="2" t="s">
        <v>23</v>
      </c>
      <c r="E1033" s="2" t="s">
        <v>34</v>
      </c>
      <c r="F1033" s="2" t="s">
        <v>17</v>
      </c>
      <c r="G1033" s="2" t="s">
        <v>48</v>
      </c>
      <c r="H1033" s="2" t="s">
        <v>49</v>
      </c>
      <c r="I1033" s="2" t="s">
        <v>20</v>
      </c>
      <c r="J1033" s="4">
        <v>11</v>
      </c>
      <c r="K1033" s="5">
        <v>60.98</v>
      </c>
      <c r="L1033" s="6">
        <v>0.05</v>
      </c>
      <c r="M1033" s="5">
        <v>637.24</v>
      </c>
      <c r="P1033" t="str">
        <f>TEXT(Tableau2[[#This Row],[Date]],"mmmm aaaa")</f>
        <v>septembre 2026</v>
      </c>
    </row>
    <row r="1034" spans="1:16">
      <c r="A1034" s="2" t="s">
        <v>1121</v>
      </c>
      <c r="B1034" s="3">
        <v>46304</v>
      </c>
      <c r="C1034" s="2" t="s">
        <v>63</v>
      </c>
      <c r="D1034" s="2" t="s">
        <v>33</v>
      </c>
      <c r="E1034" s="2" t="s">
        <v>16</v>
      </c>
      <c r="F1034" s="2" t="s">
        <v>17</v>
      </c>
      <c r="G1034" s="2" t="s">
        <v>54</v>
      </c>
      <c r="H1034" s="2" t="s">
        <v>55</v>
      </c>
      <c r="I1034" s="2" t="s">
        <v>75</v>
      </c>
      <c r="J1034" s="4">
        <v>8</v>
      </c>
      <c r="K1034" s="5">
        <v>147.06</v>
      </c>
      <c r="L1034" s="6">
        <v>0</v>
      </c>
      <c r="M1034" s="5">
        <v>1176.48</v>
      </c>
      <c r="P1034" t="str">
        <f>TEXT(Tableau2[[#This Row],[Date]],"mmmm aaaa")</f>
        <v>octobre 2026</v>
      </c>
    </row>
    <row r="1035" spans="1:16">
      <c r="A1035" s="2" t="s">
        <v>1122</v>
      </c>
      <c r="B1035" s="3">
        <v>46233</v>
      </c>
      <c r="C1035" s="2" t="s">
        <v>66</v>
      </c>
      <c r="D1035" s="2" t="s">
        <v>23</v>
      </c>
      <c r="E1035" s="2" t="s">
        <v>38</v>
      </c>
      <c r="F1035" s="2" t="s">
        <v>28</v>
      </c>
      <c r="G1035" s="2" t="s">
        <v>29</v>
      </c>
      <c r="H1035" s="2" t="s">
        <v>140</v>
      </c>
      <c r="I1035" s="2" t="s">
        <v>36</v>
      </c>
      <c r="J1035" s="4">
        <v>7</v>
      </c>
      <c r="K1035" s="5">
        <v>44.73</v>
      </c>
      <c r="L1035" s="6">
        <v>0.1</v>
      </c>
      <c r="M1035" s="5">
        <v>281.8</v>
      </c>
      <c r="P1035" t="str">
        <f>TEXT(Tableau2[[#This Row],[Date]],"mmmm aaaa")</f>
        <v>juillet 2026</v>
      </c>
    </row>
    <row r="1036" spans="1:16">
      <c r="A1036" s="2" t="s">
        <v>1123</v>
      </c>
      <c r="B1036" s="3">
        <v>46198</v>
      </c>
      <c r="C1036" s="2" t="s">
        <v>92</v>
      </c>
      <c r="D1036" s="2" t="s">
        <v>53</v>
      </c>
      <c r="E1036" s="2" t="s">
        <v>34</v>
      </c>
      <c r="F1036" s="2" t="s">
        <v>17</v>
      </c>
      <c r="G1036" s="2" t="s">
        <v>24</v>
      </c>
      <c r="H1036" s="2" t="s">
        <v>82</v>
      </c>
      <c r="I1036" s="2" t="s">
        <v>58</v>
      </c>
      <c r="J1036" s="4">
        <v>1</v>
      </c>
      <c r="K1036" s="5">
        <v>307.7</v>
      </c>
      <c r="L1036" s="6">
        <v>0.1</v>
      </c>
      <c r="M1036" s="5">
        <v>276.93</v>
      </c>
      <c r="P1036" t="str">
        <f>TEXT(Tableau2[[#This Row],[Date]],"mmmm aaaa")</f>
        <v>juin 2026</v>
      </c>
    </row>
    <row r="1037" spans="1:16">
      <c r="A1037" s="2" t="s">
        <v>1124</v>
      </c>
      <c r="B1037" s="3">
        <v>46194</v>
      </c>
      <c r="C1037" s="2" t="s">
        <v>151</v>
      </c>
      <c r="D1037" s="2" t="s">
        <v>15</v>
      </c>
      <c r="E1037" s="2" t="s">
        <v>16</v>
      </c>
      <c r="F1037" s="2" t="s">
        <v>17</v>
      </c>
      <c r="G1037" s="2" t="s">
        <v>18</v>
      </c>
      <c r="H1037" s="2" t="s">
        <v>136</v>
      </c>
      <c r="I1037" s="2" t="s">
        <v>75</v>
      </c>
      <c r="J1037" s="4">
        <v>5</v>
      </c>
      <c r="K1037" s="5">
        <v>32.76</v>
      </c>
      <c r="L1037" s="6">
        <v>0</v>
      </c>
      <c r="M1037" s="5">
        <v>163.80000000000001</v>
      </c>
      <c r="P1037" t="str">
        <f>TEXT(Tableau2[[#This Row],[Date]],"mmmm aaaa")</f>
        <v>juin 2026</v>
      </c>
    </row>
    <row r="1038" spans="1:16">
      <c r="A1038" s="2" t="s">
        <v>1125</v>
      </c>
      <c r="B1038" s="3">
        <v>46230</v>
      </c>
      <c r="C1038" s="2" t="s">
        <v>52</v>
      </c>
      <c r="D1038" s="2" t="s">
        <v>53</v>
      </c>
      <c r="E1038" s="2" t="s">
        <v>43</v>
      </c>
      <c r="F1038" s="2" t="s">
        <v>17</v>
      </c>
      <c r="G1038" s="2" t="s">
        <v>48</v>
      </c>
      <c r="H1038" s="2" t="s">
        <v>88</v>
      </c>
      <c r="I1038" s="2" t="s">
        <v>20</v>
      </c>
      <c r="J1038" s="4">
        <v>5</v>
      </c>
      <c r="K1038" s="5">
        <v>70.989999999999995</v>
      </c>
      <c r="L1038" s="6">
        <v>0</v>
      </c>
      <c r="M1038" s="5">
        <v>354.95</v>
      </c>
      <c r="P1038" t="str">
        <f>TEXT(Tableau2[[#This Row],[Date]],"mmmm aaaa")</f>
        <v>juillet 2026</v>
      </c>
    </row>
    <row r="1039" spans="1:16">
      <c r="A1039" s="2" t="s">
        <v>1126</v>
      </c>
      <c r="B1039" s="3">
        <v>46304</v>
      </c>
      <c r="C1039" s="2" t="s">
        <v>47</v>
      </c>
      <c r="D1039" s="2" t="s">
        <v>15</v>
      </c>
      <c r="E1039" s="2" t="s">
        <v>34</v>
      </c>
      <c r="F1039" s="2" t="s">
        <v>17</v>
      </c>
      <c r="G1039" s="2" t="s">
        <v>18</v>
      </c>
      <c r="H1039" s="2" t="s">
        <v>19</v>
      </c>
      <c r="I1039" s="2" t="s">
        <v>45</v>
      </c>
      <c r="J1039" s="4">
        <v>14</v>
      </c>
      <c r="K1039" s="5">
        <v>52.05</v>
      </c>
      <c r="L1039" s="6">
        <v>0</v>
      </c>
      <c r="M1039" s="5">
        <v>728.7</v>
      </c>
      <c r="P1039" t="str">
        <f>TEXT(Tableau2[[#This Row],[Date]],"mmmm aaaa")</f>
        <v>octobre 2026</v>
      </c>
    </row>
    <row r="1040" spans="1:16">
      <c r="A1040" s="2" t="s">
        <v>1127</v>
      </c>
      <c r="B1040" s="3">
        <v>46343</v>
      </c>
      <c r="C1040" s="2" t="s">
        <v>116</v>
      </c>
      <c r="D1040" s="2" t="s">
        <v>15</v>
      </c>
      <c r="E1040" s="2" t="s">
        <v>43</v>
      </c>
      <c r="F1040" s="2" t="s">
        <v>17</v>
      </c>
      <c r="G1040" s="2" t="s">
        <v>54</v>
      </c>
      <c r="H1040" s="2" t="s">
        <v>102</v>
      </c>
      <c r="I1040" s="2" t="s">
        <v>20</v>
      </c>
      <c r="J1040" s="4">
        <v>4</v>
      </c>
      <c r="K1040" s="5">
        <v>206.12</v>
      </c>
      <c r="L1040" s="6">
        <v>0</v>
      </c>
      <c r="M1040" s="5">
        <v>824.48</v>
      </c>
      <c r="P1040" t="str">
        <f>TEXT(Tableau2[[#This Row],[Date]],"mmmm aaaa")</f>
        <v>novembre 2026</v>
      </c>
    </row>
    <row r="1041" spans="1:16">
      <c r="A1041" s="2" t="s">
        <v>1128</v>
      </c>
      <c r="B1041" s="3">
        <v>46344</v>
      </c>
      <c r="C1041" s="2" t="s">
        <v>123</v>
      </c>
      <c r="D1041" s="2" t="s">
        <v>53</v>
      </c>
      <c r="E1041" s="2" t="s">
        <v>43</v>
      </c>
      <c r="F1041" s="2" t="s">
        <v>17</v>
      </c>
      <c r="G1041" s="2" t="s">
        <v>24</v>
      </c>
      <c r="H1041" s="2" t="s">
        <v>82</v>
      </c>
      <c r="I1041" s="2" t="s">
        <v>36</v>
      </c>
      <c r="J1041" s="4">
        <v>4</v>
      </c>
      <c r="K1041" s="5">
        <v>296.60000000000002</v>
      </c>
      <c r="L1041" s="6">
        <v>0.05</v>
      </c>
      <c r="M1041" s="5">
        <v>1127.08</v>
      </c>
      <c r="P1041" t="str">
        <f>TEXT(Tableau2[[#This Row],[Date]],"mmmm aaaa")</f>
        <v>novembre 2026</v>
      </c>
    </row>
    <row r="1042" spans="1:16">
      <c r="A1042" s="2" t="s">
        <v>1129</v>
      </c>
      <c r="B1042" s="3">
        <v>46325</v>
      </c>
      <c r="C1042" s="2" t="s">
        <v>60</v>
      </c>
      <c r="D1042" s="2" t="s">
        <v>33</v>
      </c>
      <c r="E1042" s="2" t="s">
        <v>34</v>
      </c>
      <c r="F1042" s="2" t="s">
        <v>28</v>
      </c>
      <c r="G1042" s="2" t="s">
        <v>29</v>
      </c>
      <c r="H1042" s="2" t="s">
        <v>44</v>
      </c>
      <c r="I1042" s="2" t="s">
        <v>41</v>
      </c>
      <c r="J1042" s="4">
        <v>2</v>
      </c>
      <c r="K1042" s="5">
        <v>36.86</v>
      </c>
      <c r="L1042" s="6">
        <v>0</v>
      </c>
      <c r="M1042" s="5">
        <v>73.72</v>
      </c>
      <c r="P1042" t="str">
        <f>TEXT(Tableau2[[#This Row],[Date]],"mmmm aaaa")</f>
        <v>octobre 2026</v>
      </c>
    </row>
    <row r="1043" spans="1:16">
      <c r="A1043" s="2" t="s">
        <v>1130</v>
      </c>
      <c r="B1043" s="3">
        <v>46105</v>
      </c>
      <c r="C1043" s="2" t="s">
        <v>86</v>
      </c>
      <c r="D1043" s="2" t="s">
        <v>53</v>
      </c>
      <c r="E1043" s="2" t="s">
        <v>43</v>
      </c>
      <c r="F1043" s="2" t="s">
        <v>28</v>
      </c>
      <c r="G1043" s="2" t="s">
        <v>48</v>
      </c>
      <c r="H1043" s="2" t="s">
        <v>84</v>
      </c>
      <c r="I1043" s="2" t="s">
        <v>41</v>
      </c>
      <c r="J1043" s="4">
        <v>1</v>
      </c>
      <c r="K1043" s="5">
        <v>90.75</v>
      </c>
      <c r="L1043" s="6">
        <v>0</v>
      </c>
      <c r="M1043" s="5">
        <v>90.75</v>
      </c>
      <c r="P1043" t="str">
        <f>TEXT(Tableau2[[#This Row],[Date]],"mmmm aaaa")</f>
        <v>mars 2026</v>
      </c>
    </row>
    <row r="1044" spans="1:16">
      <c r="A1044" s="2" t="s">
        <v>1131</v>
      </c>
      <c r="B1044" s="3">
        <v>46214</v>
      </c>
      <c r="C1044" s="2" t="s">
        <v>57</v>
      </c>
      <c r="D1044" s="2" t="s">
        <v>15</v>
      </c>
      <c r="E1044" s="2" t="s">
        <v>16</v>
      </c>
      <c r="F1044" s="2" t="s">
        <v>28</v>
      </c>
      <c r="G1044" s="2" t="s">
        <v>54</v>
      </c>
      <c r="H1044" s="2" t="s">
        <v>102</v>
      </c>
      <c r="I1044" s="2" t="s">
        <v>26</v>
      </c>
      <c r="J1044" s="4">
        <v>2</v>
      </c>
      <c r="K1044" s="5">
        <v>230.72</v>
      </c>
      <c r="L1044" s="6">
        <v>0.1</v>
      </c>
      <c r="M1044" s="5">
        <v>415.3</v>
      </c>
      <c r="P1044" t="str">
        <f>TEXT(Tableau2[[#This Row],[Date]],"mmmm aaaa")</f>
        <v>juillet 2026</v>
      </c>
    </row>
    <row r="1045" spans="1:16">
      <c r="A1045" s="2" t="s">
        <v>1132</v>
      </c>
      <c r="B1045" s="3">
        <v>46071</v>
      </c>
      <c r="C1045" s="2" t="s">
        <v>164</v>
      </c>
      <c r="D1045" s="2" t="s">
        <v>53</v>
      </c>
      <c r="E1045" s="2" t="s">
        <v>34</v>
      </c>
      <c r="F1045" s="2" t="s">
        <v>17</v>
      </c>
      <c r="G1045" s="2" t="s">
        <v>48</v>
      </c>
      <c r="H1045" s="2" t="s">
        <v>77</v>
      </c>
      <c r="I1045" s="2" t="s">
        <v>20</v>
      </c>
      <c r="J1045" s="4">
        <v>1</v>
      </c>
      <c r="K1045" s="5">
        <v>79.56</v>
      </c>
      <c r="L1045" s="6">
        <v>0</v>
      </c>
      <c r="M1045" s="5">
        <v>79.56</v>
      </c>
      <c r="P1045" t="str">
        <f>TEXT(Tableau2[[#This Row],[Date]],"mmmm aaaa")</f>
        <v>février 2026</v>
      </c>
    </row>
    <row r="1046" spans="1:16">
      <c r="A1046" s="2" t="s">
        <v>1133</v>
      </c>
      <c r="B1046" s="3">
        <v>46111</v>
      </c>
      <c r="C1046" s="2" t="s">
        <v>101</v>
      </c>
      <c r="D1046" s="2" t="s">
        <v>33</v>
      </c>
      <c r="E1046" s="2" t="s">
        <v>43</v>
      </c>
      <c r="F1046" s="2" t="s">
        <v>17</v>
      </c>
      <c r="G1046" s="2" t="s">
        <v>48</v>
      </c>
      <c r="H1046" s="2" t="s">
        <v>77</v>
      </c>
      <c r="I1046" s="2" t="s">
        <v>41</v>
      </c>
      <c r="J1046" s="4">
        <v>1</v>
      </c>
      <c r="K1046" s="5">
        <v>79.87</v>
      </c>
      <c r="L1046" s="6">
        <v>0</v>
      </c>
      <c r="M1046" s="5">
        <v>79.87</v>
      </c>
      <c r="P1046" t="str">
        <f>TEXT(Tableau2[[#This Row],[Date]],"mmmm aaaa")</f>
        <v>mars 2026</v>
      </c>
    </row>
    <row r="1047" spans="1:16">
      <c r="A1047" s="2" t="s">
        <v>1134</v>
      </c>
      <c r="B1047" s="3">
        <v>46248</v>
      </c>
      <c r="C1047" s="2" t="s">
        <v>22</v>
      </c>
      <c r="D1047" s="2" t="s">
        <v>23</v>
      </c>
      <c r="E1047" s="2" t="s">
        <v>34</v>
      </c>
      <c r="F1047" s="2" t="s">
        <v>28</v>
      </c>
      <c r="G1047" s="2" t="s">
        <v>48</v>
      </c>
      <c r="H1047" s="2" t="s">
        <v>49</v>
      </c>
      <c r="I1047" s="2" t="s">
        <v>36</v>
      </c>
      <c r="J1047" s="4">
        <v>5</v>
      </c>
      <c r="K1047" s="5">
        <v>56.47</v>
      </c>
      <c r="L1047" s="6">
        <v>0.05</v>
      </c>
      <c r="M1047" s="5">
        <v>268.23</v>
      </c>
      <c r="P1047" t="str">
        <f>TEXT(Tableau2[[#This Row],[Date]],"mmmm aaaa")</f>
        <v>août 2026</v>
      </c>
    </row>
    <row r="1048" spans="1:16">
      <c r="A1048" s="2" t="s">
        <v>1135</v>
      </c>
      <c r="B1048" s="3">
        <v>46184</v>
      </c>
      <c r="C1048" s="2" t="s">
        <v>119</v>
      </c>
      <c r="D1048" s="2" t="s">
        <v>15</v>
      </c>
      <c r="E1048" s="2" t="s">
        <v>34</v>
      </c>
      <c r="F1048" s="2" t="s">
        <v>17</v>
      </c>
      <c r="G1048" s="2" t="s">
        <v>24</v>
      </c>
      <c r="H1048" s="2" t="s">
        <v>35</v>
      </c>
      <c r="I1048" s="2" t="s">
        <v>45</v>
      </c>
      <c r="J1048" s="4">
        <v>3</v>
      </c>
      <c r="K1048" s="5">
        <v>156</v>
      </c>
      <c r="L1048" s="6">
        <v>0</v>
      </c>
      <c r="M1048" s="5">
        <v>468</v>
      </c>
      <c r="P1048" t="str">
        <f>TEXT(Tableau2[[#This Row],[Date]],"mmmm aaaa")</f>
        <v>juin 2026</v>
      </c>
    </row>
    <row r="1049" spans="1:16">
      <c r="A1049" s="2" t="s">
        <v>1136</v>
      </c>
      <c r="B1049" s="3">
        <v>46339</v>
      </c>
      <c r="C1049" s="2" t="s">
        <v>57</v>
      </c>
      <c r="D1049" s="2" t="s">
        <v>15</v>
      </c>
      <c r="E1049" s="2" t="s">
        <v>34</v>
      </c>
      <c r="F1049" s="2" t="s">
        <v>17</v>
      </c>
      <c r="G1049" s="2" t="s">
        <v>18</v>
      </c>
      <c r="H1049" s="2" t="s">
        <v>158</v>
      </c>
      <c r="I1049" s="2" t="s">
        <v>50</v>
      </c>
      <c r="J1049" s="4">
        <v>1</v>
      </c>
      <c r="K1049" s="5">
        <v>44.98</v>
      </c>
      <c r="L1049" s="6">
        <v>0</v>
      </c>
      <c r="M1049" s="5">
        <v>44.98</v>
      </c>
      <c r="P1049" t="str">
        <f>TEXT(Tableau2[[#This Row],[Date]],"mmmm aaaa")</f>
        <v>novembre 2026</v>
      </c>
    </row>
    <row r="1050" spans="1:16">
      <c r="A1050" s="2" t="s">
        <v>1137</v>
      </c>
      <c r="B1050" s="3">
        <v>46055</v>
      </c>
      <c r="C1050" s="2" t="s">
        <v>22</v>
      </c>
      <c r="D1050" s="2" t="s">
        <v>23</v>
      </c>
      <c r="E1050" s="2" t="s">
        <v>34</v>
      </c>
      <c r="F1050" s="2" t="s">
        <v>28</v>
      </c>
      <c r="G1050" s="2" t="s">
        <v>48</v>
      </c>
      <c r="H1050" s="2" t="s">
        <v>77</v>
      </c>
      <c r="I1050" s="2" t="s">
        <v>58</v>
      </c>
      <c r="J1050" s="4">
        <v>3</v>
      </c>
      <c r="K1050" s="5">
        <v>87.17</v>
      </c>
      <c r="L1050" s="6">
        <v>0</v>
      </c>
      <c r="M1050" s="5">
        <v>261.51</v>
      </c>
      <c r="P1050" t="str">
        <f>TEXT(Tableau2[[#This Row],[Date]],"mmmm aaaa")</f>
        <v>février 2026</v>
      </c>
    </row>
    <row r="1051" spans="1:16">
      <c r="A1051" s="2" t="s">
        <v>1138</v>
      </c>
      <c r="B1051" s="3">
        <v>46026</v>
      </c>
      <c r="C1051" s="2" t="s">
        <v>57</v>
      </c>
      <c r="D1051" s="2" t="s">
        <v>15</v>
      </c>
      <c r="E1051" s="2" t="s">
        <v>34</v>
      </c>
      <c r="F1051" s="2" t="s">
        <v>17</v>
      </c>
      <c r="G1051" s="2" t="s">
        <v>18</v>
      </c>
      <c r="H1051" s="2" t="s">
        <v>136</v>
      </c>
      <c r="I1051" s="2" t="s">
        <v>45</v>
      </c>
      <c r="J1051" s="4">
        <v>3</v>
      </c>
      <c r="K1051" s="5">
        <v>30.34</v>
      </c>
      <c r="L1051" s="6">
        <v>0.1</v>
      </c>
      <c r="M1051" s="5">
        <v>81.92</v>
      </c>
      <c r="P1051" t="str">
        <f>TEXT(Tableau2[[#This Row],[Date]],"mmmm aaaa")</f>
        <v>janvier 2026</v>
      </c>
    </row>
    <row r="1052" spans="1:16">
      <c r="A1052" s="2" t="s">
        <v>1139</v>
      </c>
      <c r="B1052" s="3">
        <v>46076</v>
      </c>
      <c r="C1052" s="2" t="s">
        <v>32</v>
      </c>
      <c r="D1052" s="2" t="s">
        <v>33</v>
      </c>
      <c r="E1052" s="2" t="s">
        <v>34</v>
      </c>
      <c r="F1052" s="2" t="s">
        <v>28</v>
      </c>
      <c r="G1052" s="2" t="s">
        <v>39</v>
      </c>
      <c r="H1052" s="2" t="s">
        <v>95</v>
      </c>
      <c r="I1052" s="2" t="s">
        <v>26</v>
      </c>
      <c r="J1052" s="4">
        <v>1</v>
      </c>
      <c r="K1052" s="5">
        <v>99.48</v>
      </c>
      <c r="L1052" s="6">
        <v>0.05</v>
      </c>
      <c r="M1052" s="5">
        <v>94.51</v>
      </c>
      <c r="P1052" t="str">
        <f>TEXT(Tableau2[[#This Row],[Date]],"mmmm aaaa")</f>
        <v>février 2026</v>
      </c>
    </row>
    <row r="1053" spans="1:16">
      <c r="A1053" s="2" t="s">
        <v>1140</v>
      </c>
      <c r="B1053" s="3">
        <v>46387</v>
      </c>
      <c r="C1053" s="2" t="s">
        <v>130</v>
      </c>
      <c r="D1053" s="2" t="s">
        <v>53</v>
      </c>
      <c r="E1053" s="2" t="s">
        <v>16</v>
      </c>
      <c r="F1053" s="2" t="s">
        <v>17</v>
      </c>
      <c r="G1053" s="2" t="s">
        <v>48</v>
      </c>
      <c r="H1053" s="2" t="s">
        <v>49</v>
      </c>
      <c r="I1053" s="2" t="s">
        <v>41</v>
      </c>
      <c r="J1053" s="4">
        <v>2</v>
      </c>
      <c r="K1053" s="5">
        <v>54.81</v>
      </c>
      <c r="L1053" s="6">
        <v>0</v>
      </c>
      <c r="M1053" s="5">
        <v>109.62</v>
      </c>
      <c r="P1053" t="str">
        <f>TEXT(Tableau2[[#This Row],[Date]],"mmmm aaaa")</f>
        <v>décembre 2026</v>
      </c>
    </row>
    <row r="1054" spans="1:16">
      <c r="A1054" s="2" t="s">
        <v>1141</v>
      </c>
      <c r="B1054" s="3">
        <v>46382</v>
      </c>
      <c r="C1054" s="2" t="s">
        <v>63</v>
      </c>
      <c r="D1054" s="2" t="s">
        <v>33</v>
      </c>
      <c r="E1054" s="2" t="s">
        <v>16</v>
      </c>
      <c r="F1054" s="2" t="s">
        <v>17</v>
      </c>
      <c r="G1054" s="2" t="s">
        <v>54</v>
      </c>
      <c r="H1054" s="2" t="s">
        <v>64</v>
      </c>
      <c r="I1054" s="2" t="s">
        <v>75</v>
      </c>
      <c r="J1054" s="4">
        <v>2</v>
      </c>
      <c r="K1054" s="5">
        <v>86.71</v>
      </c>
      <c r="L1054" s="6">
        <v>0.2</v>
      </c>
      <c r="M1054" s="5">
        <v>138.74</v>
      </c>
      <c r="P1054" t="str">
        <f>TEXT(Tableau2[[#This Row],[Date]],"mmmm aaaa")</f>
        <v>décembre 2026</v>
      </c>
    </row>
    <row r="1055" spans="1:16">
      <c r="A1055" s="2" t="s">
        <v>1142</v>
      </c>
      <c r="B1055" s="3">
        <v>46331</v>
      </c>
      <c r="C1055" s="2" t="s">
        <v>169</v>
      </c>
      <c r="D1055" s="2" t="s">
        <v>33</v>
      </c>
      <c r="E1055" s="2" t="s">
        <v>38</v>
      </c>
      <c r="F1055" s="2" t="s">
        <v>17</v>
      </c>
      <c r="G1055" s="2" t="s">
        <v>29</v>
      </c>
      <c r="H1055" s="2" t="s">
        <v>140</v>
      </c>
      <c r="I1055" s="2" t="s">
        <v>41</v>
      </c>
      <c r="J1055" s="4">
        <v>1</v>
      </c>
      <c r="K1055" s="5">
        <v>44.71</v>
      </c>
      <c r="L1055" s="6">
        <v>0</v>
      </c>
      <c r="M1055" s="5">
        <v>44.71</v>
      </c>
      <c r="P1055" t="str">
        <f>TEXT(Tableau2[[#This Row],[Date]],"mmmm aaaa")</f>
        <v>novembre 2026</v>
      </c>
    </row>
    <row r="1056" spans="1:16">
      <c r="A1056" s="2" t="s">
        <v>1143</v>
      </c>
      <c r="B1056" s="3">
        <v>46120</v>
      </c>
      <c r="C1056" s="2" t="s">
        <v>60</v>
      </c>
      <c r="D1056" s="2" t="s">
        <v>33</v>
      </c>
      <c r="E1056" s="2" t="s">
        <v>16</v>
      </c>
      <c r="F1056" s="2" t="s">
        <v>28</v>
      </c>
      <c r="G1056" s="2" t="s">
        <v>18</v>
      </c>
      <c r="H1056" s="2" t="s">
        <v>143</v>
      </c>
      <c r="I1056" s="2" t="s">
        <v>45</v>
      </c>
      <c r="J1056" s="4">
        <v>6</v>
      </c>
      <c r="K1056" s="5">
        <v>63.49</v>
      </c>
      <c r="L1056" s="6">
        <v>0</v>
      </c>
      <c r="M1056" s="5">
        <v>380.94</v>
      </c>
      <c r="P1056" t="str">
        <f>TEXT(Tableau2[[#This Row],[Date]],"mmmm aaaa")</f>
        <v>avril 2026</v>
      </c>
    </row>
    <row r="1057" spans="1:16">
      <c r="A1057" s="2" t="s">
        <v>1144</v>
      </c>
      <c r="B1057" s="3">
        <v>46346</v>
      </c>
      <c r="C1057" s="2" t="s">
        <v>60</v>
      </c>
      <c r="D1057" s="2" t="s">
        <v>33</v>
      </c>
      <c r="E1057" s="2" t="s">
        <v>34</v>
      </c>
      <c r="F1057" s="2" t="s">
        <v>17</v>
      </c>
      <c r="G1057" s="2" t="s">
        <v>18</v>
      </c>
      <c r="H1057" s="2" t="s">
        <v>19</v>
      </c>
      <c r="I1057" s="2" t="s">
        <v>26</v>
      </c>
      <c r="J1057" s="4">
        <v>1</v>
      </c>
      <c r="K1057" s="5">
        <v>57.53</v>
      </c>
      <c r="L1057" s="6">
        <v>0</v>
      </c>
      <c r="M1057" s="5">
        <v>57.53</v>
      </c>
      <c r="P1057" t="str">
        <f>TEXT(Tableau2[[#This Row],[Date]],"mmmm aaaa")</f>
        <v>novembre 2026</v>
      </c>
    </row>
    <row r="1058" spans="1:16">
      <c r="A1058" s="2" t="s">
        <v>1145</v>
      </c>
      <c r="B1058" s="3">
        <v>46322</v>
      </c>
      <c r="C1058" s="2" t="s">
        <v>66</v>
      </c>
      <c r="D1058" s="2" t="s">
        <v>23</v>
      </c>
      <c r="E1058" s="2" t="s">
        <v>16</v>
      </c>
      <c r="F1058" s="2" t="s">
        <v>28</v>
      </c>
      <c r="G1058" s="2" t="s">
        <v>18</v>
      </c>
      <c r="H1058" s="2" t="s">
        <v>158</v>
      </c>
      <c r="I1058" s="2" t="s">
        <v>41</v>
      </c>
      <c r="J1058" s="4">
        <v>1</v>
      </c>
      <c r="K1058" s="5">
        <v>47.27</v>
      </c>
      <c r="L1058" s="6">
        <v>0</v>
      </c>
      <c r="M1058" s="5">
        <v>47.27</v>
      </c>
      <c r="P1058" t="str">
        <f>TEXT(Tableau2[[#This Row],[Date]],"mmmm aaaa")</f>
        <v>octobre 2026</v>
      </c>
    </row>
    <row r="1059" spans="1:16">
      <c r="A1059" s="2" t="s">
        <v>1146</v>
      </c>
      <c r="B1059" s="3">
        <v>46339</v>
      </c>
      <c r="C1059" s="2" t="s">
        <v>52</v>
      </c>
      <c r="D1059" s="2" t="s">
        <v>53</v>
      </c>
      <c r="E1059" s="2" t="s">
        <v>16</v>
      </c>
      <c r="F1059" s="2" t="s">
        <v>17</v>
      </c>
      <c r="G1059" s="2" t="s">
        <v>54</v>
      </c>
      <c r="H1059" s="2" t="s">
        <v>55</v>
      </c>
      <c r="I1059" s="2" t="s">
        <v>75</v>
      </c>
      <c r="J1059" s="4">
        <v>4</v>
      </c>
      <c r="K1059" s="5">
        <v>168.32</v>
      </c>
      <c r="L1059" s="6">
        <v>0</v>
      </c>
      <c r="M1059" s="5">
        <v>673.28</v>
      </c>
      <c r="P1059" t="str">
        <f>TEXT(Tableau2[[#This Row],[Date]],"mmmm aaaa")</f>
        <v>novembre 2026</v>
      </c>
    </row>
    <row r="1060" spans="1:16">
      <c r="A1060" s="2" t="s">
        <v>1147</v>
      </c>
      <c r="B1060" s="3">
        <v>46310</v>
      </c>
      <c r="C1060" s="2" t="s">
        <v>63</v>
      </c>
      <c r="D1060" s="2" t="s">
        <v>33</v>
      </c>
      <c r="E1060" s="2" t="s">
        <v>34</v>
      </c>
      <c r="F1060" s="2" t="s">
        <v>17</v>
      </c>
      <c r="G1060" s="2" t="s">
        <v>48</v>
      </c>
      <c r="H1060" s="2" t="s">
        <v>84</v>
      </c>
      <c r="I1060" s="2" t="s">
        <v>50</v>
      </c>
      <c r="J1060" s="4">
        <v>2</v>
      </c>
      <c r="K1060" s="5">
        <v>86.79</v>
      </c>
      <c r="L1060" s="6">
        <v>0</v>
      </c>
      <c r="M1060" s="5">
        <v>173.58</v>
      </c>
      <c r="P1060" t="str">
        <f>TEXT(Tableau2[[#This Row],[Date]],"mmmm aaaa")</f>
        <v>octobre 2026</v>
      </c>
    </row>
    <row r="1061" spans="1:16">
      <c r="A1061" s="2" t="s">
        <v>1148</v>
      </c>
      <c r="B1061" s="3">
        <v>46086</v>
      </c>
      <c r="C1061" s="2" t="s">
        <v>52</v>
      </c>
      <c r="D1061" s="2" t="s">
        <v>53</v>
      </c>
      <c r="E1061" s="2" t="s">
        <v>34</v>
      </c>
      <c r="F1061" s="2" t="s">
        <v>17</v>
      </c>
      <c r="G1061" s="2" t="s">
        <v>18</v>
      </c>
      <c r="H1061" s="2" t="s">
        <v>136</v>
      </c>
      <c r="I1061" s="2" t="s">
        <v>58</v>
      </c>
      <c r="J1061" s="4">
        <v>5</v>
      </c>
      <c r="K1061" s="5">
        <v>33.36</v>
      </c>
      <c r="L1061" s="6">
        <v>0</v>
      </c>
      <c r="M1061" s="5">
        <v>166.8</v>
      </c>
      <c r="P1061" t="str">
        <f>TEXT(Tableau2[[#This Row],[Date]],"mmmm aaaa")</f>
        <v>mars 2026</v>
      </c>
    </row>
    <row r="1062" spans="1:16">
      <c r="A1062" s="2" t="s">
        <v>1149</v>
      </c>
      <c r="B1062" s="3">
        <v>46386</v>
      </c>
      <c r="C1062" s="2" t="s">
        <v>57</v>
      </c>
      <c r="D1062" s="2" t="s">
        <v>15</v>
      </c>
      <c r="E1062" s="2" t="s">
        <v>34</v>
      </c>
      <c r="F1062" s="2" t="s">
        <v>17</v>
      </c>
      <c r="G1062" s="2" t="s">
        <v>39</v>
      </c>
      <c r="H1062" s="2" t="s">
        <v>71</v>
      </c>
      <c r="I1062" s="2" t="s">
        <v>41</v>
      </c>
      <c r="J1062" s="4">
        <v>2</v>
      </c>
      <c r="K1062" s="5">
        <v>109.76</v>
      </c>
      <c r="L1062" s="6">
        <v>0</v>
      </c>
      <c r="M1062" s="5">
        <v>219.52</v>
      </c>
      <c r="P1062" t="str">
        <f>TEXT(Tableau2[[#This Row],[Date]],"mmmm aaaa")</f>
        <v>décembre 2026</v>
      </c>
    </row>
    <row r="1063" spans="1:16">
      <c r="A1063" s="2" t="s">
        <v>1150</v>
      </c>
      <c r="B1063" s="3">
        <v>46203</v>
      </c>
      <c r="C1063" s="2" t="s">
        <v>106</v>
      </c>
      <c r="D1063" s="2" t="s">
        <v>23</v>
      </c>
      <c r="E1063" s="2" t="s">
        <v>34</v>
      </c>
      <c r="F1063" s="2" t="s">
        <v>28</v>
      </c>
      <c r="G1063" s="2" t="s">
        <v>18</v>
      </c>
      <c r="H1063" s="2" t="s">
        <v>158</v>
      </c>
      <c r="I1063" s="2" t="s">
        <v>36</v>
      </c>
      <c r="J1063" s="4">
        <v>2</v>
      </c>
      <c r="K1063" s="5">
        <v>47.77</v>
      </c>
      <c r="L1063" s="6">
        <v>0.3</v>
      </c>
      <c r="M1063" s="5">
        <v>66.88</v>
      </c>
      <c r="P1063" t="str">
        <f>TEXT(Tableau2[[#This Row],[Date]],"mmmm aaaa")</f>
        <v>juin 2026</v>
      </c>
    </row>
    <row r="1064" spans="1:16">
      <c r="A1064" s="2" t="s">
        <v>1151</v>
      </c>
      <c r="B1064" s="3">
        <v>46090</v>
      </c>
      <c r="C1064" s="2" t="s">
        <v>106</v>
      </c>
      <c r="D1064" s="2" t="s">
        <v>23</v>
      </c>
      <c r="E1064" s="2" t="s">
        <v>38</v>
      </c>
      <c r="F1064" s="2" t="s">
        <v>28</v>
      </c>
      <c r="G1064" s="2" t="s">
        <v>39</v>
      </c>
      <c r="H1064" s="2" t="s">
        <v>71</v>
      </c>
      <c r="I1064" s="2" t="s">
        <v>58</v>
      </c>
      <c r="J1064" s="4">
        <v>5</v>
      </c>
      <c r="K1064" s="5">
        <v>122</v>
      </c>
      <c r="L1064" s="6">
        <v>0.3</v>
      </c>
      <c r="M1064" s="5">
        <v>427</v>
      </c>
      <c r="P1064" t="str">
        <f>TEXT(Tableau2[[#This Row],[Date]],"mmmm aaaa")</f>
        <v>mars 2026</v>
      </c>
    </row>
    <row r="1065" spans="1:16">
      <c r="A1065" s="2" t="s">
        <v>1152</v>
      </c>
      <c r="B1065" s="3">
        <v>46221</v>
      </c>
      <c r="C1065" s="2" t="s">
        <v>63</v>
      </c>
      <c r="D1065" s="2" t="s">
        <v>33</v>
      </c>
      <c r="E1065" s="2" t="s">
        <v>16</v>
      </c>
      <c r="F1065" s="2" t="s">
        <v>17</v>
      </c>
      <c r="G1065" s="2" t="s">
        <v>29</v>
      </c>
      <c r="H1065" s="2" t="s">
        <v>30</v>
      </c>
      <c r="I1065" s="2" t="s">
        <v>36</v>
      </c>
      <c r="J1065" s="4">
        <v>1</v>
      </c>
      <c r="K1065" s="5">
        <v>27.41</v>
      </c>
      <c r="L1065" s="6">
        <v>0.1</v>
      </c>
      <c r="M1065" s="5">
        <v>24.67</v>
      </c>
      <c r="P1065" t="str">
        <f>TEXT(Tableau2[[#This Row],[Date]],"mmmm aaaa")</f>
        <v>juillet 2026</v>
      </c>
    </row>
    <row r="1066" spans="1:16">
      <c r="A1066" s="2" t="s">
        <v>1153</v>
      </c>
      <c r="B1066" s="3">
        <v>46288</v>
      </c>
      <c r="C1066" s="2" t="s">
        <v>63</v>
      </c>
      <c r="D1066" s="2" t="s">
        <v>33</v>
      </c>
      <c r="E1066" s="2" t="s">
        <v>43</v>
      </c>
      <c r="F1066" s="2" t="s">
        <v>17</v>
      </c>
      <c r="G1066" s="2" t="s">
        <v>24</v>
      </c>
      <c r="H1066" s="2" t="s">
        <v>61</v>
      </c>
      <c r="I1066" s="2" t="s">
        <v>75</v>
      </c>
      <c r="J1066" s="4">
        <v>8</v>
      </c>
      <c r="K1066" s="5">
        <v>229.7</v>
      </c>
      <c r="L1066" s="6">
        <v>0.05</v>
      </c>
      <c r="M1066" s="5">
        <v>1745.72</v>
      </c>
      <c r="P1066" t="str">
        <f>TEXT(Tableau2[[#This Row],[Date]],"mmmm aaaa")</f>
        <v>septembre 2026</v>
      </c>
    </row>
    <row r="1067" spans="1:16">
      <c r="A1067" s="2" t="s">
        <v>1154</v>
      </c>
      <c r="B1067" s="3">
        <v>46077</v>
      </c>
      <c r="C1067" s="2" t="s">
        <v>22</v>
      </c>
      <c r="D1067" s="2" t="s">
        <v>23</v>
      </c>
      <c r="E1067" s="2" t="s">
        <v>16</v>
      </c>
      <c r="F1067" s="2" t="s">
        <v>17</v>
      </c>
      <c r="G1067" s="2" t="s">
        <v>29</v>
      </c>
      <c r="H1067" s="2" t="s">
        <v>30</v>
      </c>
      <c r="I1067" s="2" t="s">
        <v>45</v>
      </c>
      <c r="J1067" s="4">
        <v>1</v>
      </c>
      <c r="K1067" s="5">
        <v>24.22</v>
      </c>
      <c r="L1067" s="6">
        <v>0.05</v>
      </c>
      <c r="M1067" s="5">
        <v>23.01</v>
      </c>
      <c r="P1067" t="str">
        <f>TEXT(Tableau2[[#This Row],[Date]],"mmmm aaaa")</f>
        <v>février 2026</v>
      </c>
    </row>
    <row r="1068" spans="1:16">
      <c r="A1068" s="2" t="s">
        <v>1155</v>
      </c>
      <c r="B1068" s="3">
        <v>46081</v>
      </c>
      <c r="C1068" s="2" t="s">
        <v>130</v>
      </c>
      <c r="D1068" s="2" t="s">
        <v>53</v>
      </c>
      <c r="E1068" s="2" t="s">
        <v>16</v>
      </c>
      <c r="F1068" s="2" t="s">
        <v>28</v>
      </c>
      <c r="G1068" s="2" t="s">
        <v>54</v>
      </c>
      <c r="H1068" s="2" t="s">
        <v>55</v>
      </c>
      <c r="I1068" s="2" t="s">
        <v>36</v>
      </c>
      <c r="J1068" s="4">
        <v>2</v>
      </c>
      <c r="K1068" s="5">
        <v>155.74</v>
      </c>
      <c r="L1068" s="6">
        <v>0</v>
      </c>
      <c r="M1068" s="5">
        <v>311.48</v>
      </c>
      <c r="P1068" t="str">
        <f>TEXT(Tableau2[[#This Row],[Date]],"mmmm aaaa")</f>
        <v>février 2026</v>
      </c>
    </row>
    <row r="1069" spans="1:16">
      <c r="A1069" s="2" t="s">
        <v>1156</v>
      </c>
      <c r="B1069" s="3">
        <v>46352</v>
      </c>
      <c r="C1069" s="2" t="s">
        <v>106</v>
      </c>
      <c r="D1069" s="2" t="s">
        <v>23</v>
      </c>
      <c r="E1069" s="2" t="s">
        <v>43</v>
      </c>
      <c r="F1069" s="2" t="s">
        <v>17</v>
      </c>
      <c r="G1069" s="2" t="s">
        <v>48</v>
      </c>
      <c r="H1069" s="2" t="s">
        <v>49</v>
      </c>
      <c r="I1069" s="2" t="s">
        <v>50</v>
      </c>
      <c r="J1069" s="4">
        <v>2</v>
      </c>
      <c r="K1069" s="5">
        <v>61.31</v>
      </c>
      <c r="L1069" s="6">
        <v>0.1</v>
      </c>
      <c r="M1069" s="5">
        <v>110.36</v>
      </c>
      <c r="P1069" t="str">
        <f>TEXT(Tableau2[[#This Row],[Date]],"mmmm aaaa")</f>
        <v>novembre 2026</v>
      </c>
    </row>
    <row r="1070" spans="1:16">
      <c r="A1070" s="2" t="s">
        <v>1157</v>
      </c>
      <c r="B1070" s="3">
        <v>46105</v>
      </c>
      <c r="C1070" s="2" t="s">
        <v>92</v>
      </c>
      <c r="D1070" s="2" t="s">
        <v>53</v>
      </c>
      <c r="E1070" s="2" t="s">
        <v>43</v>
      </c>
      <c r="F1070" s="2" t="s">
        <v>28</v>
      </c>
      <c r="G1070" s="2" t="s">
        <v>39</v>
      </c>
      <c r="H1070" s="2" t="s">
        <v>71</v>
      </c>
      <c r="I1070" s="2" t="s">
        <v>36</v>
      </c>
      <c r="J1070" s="4">
        <v>2</v>
      </c>
      <c r="K1070" s="5">
        <v>126.57</v>
      </c>
      <c r="L1070" s="6">
        <v>0</v>
      </c>
      <c r="M1070" s="5">
        <v>253.14</v>
      </c>
      <c r="P1070" t="str">
        <f>TEXT(Tableau2[[#This Row],[Date]],"mmmm aaaa")</f>
        <v>mars 2026</v>
      </c>
    </row>
    <row r="1071" spans="1:16">
      <c r="A1071" s="2" t="s">
        <v>1158</v>
      </c>
      <c r="B1071" s="3">
        <v>46243</v>
      </c>
      <c r="C1071" s="2" t="s">
        <v>60</v>
      </c>
      <c r="D1071" s="2" t="s">
        <v>33</v>
      </c>
      <c r="E1071" s="2" t="s">
        <v>16</v>
      </c>
      <c r="F1071" s="2" t="s">
        <v>17</v>
      </c>
      <c r="G1071" s="2" t="s">
        <v>24</v>
      </c>
      <c r="H1071" s="2" t="s">
        <v>82</v>
      </c>
      <c r="I1071" s="2" t="s">
        <v>41</v>
      </c>
      <c r="J1071" s="4">
        <v>4</v>
      </c>
      <c r="K1071" s="5">
        <v>283.17</v>
      </c>
      <c r="L1071" s="6">
        <v>0</v>
      </c>
      <c r="M1071" s="5">
        <v>1132.68</v>
      </c>
      <c r="P1071" t="str">
        <f>TEXT(Tableau2[[#This Row],[Date]],"mmmm aaaa")</f>
        <v>août 2026</v>
      </c>
    </row>
    <row r="1072" spans="1:16">
      <c r="A1072" s="2" t="s">
        <v>1159</v>
      </c>
      <c r="B1072" s="3">
        <v>46353</v>
      </c>
      <c r="C1072" s="2" t="s">
        <v>90</v>
      </c>
      <c r="D1072" s="2" t="s">
        <v>53</v>
      </c>
      <c r="E1072" s="2" t="s">
        <v>34</v>
      </c>
      <c r="F1072" s="2" t="s">
        <v>17</v>
      </c>
      <c r="G1072" s="2" t="s">
        <v>29</v>
      </c>
      <c r="H1072" s="2" t="s">
        <v>44</v>
      </c>
      <c r="I1072" s="2" t="s">
        <v>58</v>
      </c>
      <c r="J1072" s="4">
        <v>10</v>
      </c>
      <c r="K1072" s="5">
        <v>38.590000000000003</v>
      </c>
      <c r="L1072" s="6">
        <v>0</v>
      </c>
      <c r="M1072" s="5">
        <v>385.9</v>
      </c>
      <c r="P1072" t="str">
        <f>TEXT(Tableau2[[#This Row],[Date]],"mmmm aaaa")</f>
        <v>novembre 2026</v>
      </c>
    </row>
    <row r="1073" spans="1:16">
      <c r="A1073" s="2" t="s">
        <v>1160</v>
      </c>
      <c r="B1073" s="3">
        <v>46255</v>
      </c>
      <c r="C1073" s="2" t="s">
        <v>57</v>
      </c>
      <c r="D1073" s="2" t="s">
        <v>15</v>
      </c>
      <c r="E1073" s="2" t="s">
        <v>34</v>
      </c>
      <c r="F1073" s="2" t="s">
        <v>28</v>
      </c>
      <c r="G1073" s="2" t="s">
        <v>48</v>
      </c>
      <c r="H1073" s="2" t="s">
        <v>88</v>
      </c>
      <c r="I1073" s="2" t="s">
        <v>26</v>
      </c>
      <c r="J1073" s="4">
        <v>2</v>
      </c>
      <c r="K1073" s="5">
        <v>77.52</v>
      </c>
      <c r="L1073" s="6">
        <v>0</v>
      </c>
      <c r="M1073" s="5">
        <v>155.04</v>
      </c>
      <c r="P1073" t="str">
        <f>TEXT(Tableau2[[#This Row],[Date]],"mmmm aaaa")</f>
        <v>août 2026</v>
      </c>
    </row>
    <row r="1074" spans="1:16">
      <c r="A1074" s="2" t="s">
        <v>1161</v>
      </c>
      <c r="B1074" s="3">
        <v>46222</v>
      </c>
      <c r="C1074" s="2" t="s">
        <v>151</v>
      </c>
      <c r="D1074" s="2" t="s">
        <v>15</v>
      </c>
      <c r="E1074" s="2" t="s">
        <v>16</v>
      </c>
      <c r="F1074" s="2" t="s">
        <v>17</v>
      </c>
      <c r="G1074" s="2" t="s">
        <v>24</v>
      </c>
      <c r="H1074" s="2" t="s">
        <v>35</v>
      </c>
      <c r="I1074" s="2" t="s">
        <v>75</v>
      </c>
      <c r="J1074" s="4">
        <v>9</v>
      </c>
      <c r="K1074" s="5">
        <v>172.37</v>
      </c>
      <c r="L1074" s="6">
        <v>0</v>
      </c>
      <c r="M1074" s="5">
        <v>1551.33</v>
      </c>
      <c r="P1074" t="str">
        <f>TEXT(Tableau2[[#This Row],[Date]],"mmmm aaaa")</f>
        <v>juillet 2026</v>
      </c>
    </row>
    <row r="1075" spans="1:16">
      <c r="A1075" s="2" t="s">
        <v>1162</v>
      </c>
      <c r="B1075" s="3">
        <v>46293</v>
      </c>
      <c r="C1075" s="2" t="s">
        <v>63</v>
      </c>
      <c r="D1075" s="2" t="s">
        <v>33</v>
      </c>
      <c r="E1075" s="2" t="s">
        <v>16</v>
      </c>
      <c r="F1075" s="2" t="s">
        <v>17</v>
      </c>
      <c r="G1075" s="2" t="s">
        <v>29</v>
      </c>
      <c r="H1075" s="2" t="s">
        <v>30</v>
      </c>
      <c r="I1075" s="2" t="s">
        <v>41</v>
      </c>
      <c r="J1075" s="4">
        <v>15</v>
      </c>
      <c r="K1075" s="5">
        <v>27.94</v>
      </c>
      <c r="L1075" s="6">
        <v>0</v>
      </c>
      <c r="M1075" s="5">
        <v>419.1</v>
      </c>
      <c r="P1075" t="str">
        <f>TEXT(Tableau2[[#This Row],[Date]],"mmmm aaaa")</f>
        <v>septembre 2026</v>
      </c>
    </row>
    <row r="1076" spans="1:16">
      <c r="A1076" s="2" t="s">
        <v>1163</v>
      </c>
      <c r="B1076" s="3">
        <v>46083</v>
      </c>
      <c r="C1076" s="2" t="s">
        <v>94</v>
      </c>
      <c r="D1076" s="2" t="s">
        <v>15</v>
      </c>
      <c r="E1076" s="2" t="s">
        <v>34</v>
      </c>
      <c r="F1076" s="2" t="s">
        <v>17</v>
      </c>
      <c r="G1076" s="2" t="s">
        <v>39</v>
      </c>
      <c r="H1076" s="2" t="s">
        <v>40</v>
      </c>
      <c r="I1076" s="2" t="s">
        <v>20</v>
      </c>
      <c r="J1076" s="4">
        <v>3</v>
      </c>
      <c r="K1076" s="5">
        <v>131.55000000000001</v>
      </c>
      <c r="L1076" s="6">
        <v>0.2</v>
      </c>
      <c r="M1076" s="5">
        <v>315.72000000000003</v>
      </c>
      <c r="P1076" t="str">
        <f>TEXT(Tableau2[[#This Row],[Date]],"mmmm aaaa")</f>
        <v>mars 2026</v>
      </c>
    </row>
    <row r="1077" spans="1:16">
      <c r="A1077" s="2" t="s">
        <v>1164</v>
      </c>
      <c r="B1077" s="3">
        <v>46091</v>
      </c>
      <c r="C1077" s="2" t="s">
        <v>123</v>
      </c>
      <c r="D1077" s="2" t="s">
        <v>53</v>
      </c>
      <c r="E1077" s="2" t="s">
        <v>34</v>
      </c>
      <c r="F1077" s="2" t="s">
        <v>28</v>
      </c>
      <c r="G1077" s="2" t="s">
        <v>24</v>
      </c>
      <c r="H1077" s="2" t="s">
        <v>35</v>
      </c>
      <c r="I1077" s="2" t="s">
        <v>50</v>
      </c>
      <c r="J1077" s="4">
        <v>6</v>
      </c>
      <c r="K1077" s="5">
        <v>170.21</v>
      </c>
      <c r="L1077" s="6">
        <v>0</v>
      </c>
      <c r="M1077" s="5">
        <v>1021.26</v>
      </c>
      <c r="P1077" t="str">
        <f>TEXT(Tableau2[[#This Row],[Date]],"mmmm aaaa")</f>
        <v>mars 2026</v>
      </c>
    </row>
    <row r="1078" spans="1:16">
      <c r="A1078" s="2" t="s">
        <v>1165</v>
      </c>
      <c r="B1078" s="3">
        <v>46279</v>
      </c>
      <c r="C1078" s="2" t="s">
        <v>116</v>
      </c>
      <c r="D1078" s="2" t="s">
        <v>15</v>
      </c>
      <c r="E1078" s="2" t="s">
        <v>16</v>
      </c>
      <c r="F1078" s="2" t="s">
        <v>28</v>
      </c>
      <c r="G1078" s="2" t="s">
        <v>18</v>
      </c>
      <c r="H1078" s="2" t="s">
        <v>143</v>
      </c>
      <c r="I1078" s="2" t="s">
        <v>36</v>
      </c>
      <c r="J1078" s="4">
        <v>11</v>
      </c>
      <c r="K1078" s="5">
        <v>70.099999999999994</v>
      </c>
      <c r="L1078" s="6">
        <v>0</v>
      </c>
      <c r="M1078" s="5">
        <v>771.1</v>
      </c>
      <c r="P1078" t="str">
        <f>TEXT(Tableau2[[#This Row],[Date]],"mmmm aaaa")</f>
        <v>septembre 2026</v>
      </c>
    </row>
    <row r="1079" spans="1:16">
      <c r="A1079" s="2" t="s">
        <v>1166</v>
      </c>
      <c r="B1079" s="3">
        <v>46194</v>
      </c>
      <c r="C1079" s="2" t="s">
        <v>171</v>
      </c>
      <c r="D1079" s="2" t="s">
        <v>33</v>
      </c>
      <c r="E1079" s="2" t="s">
        <v>16</v>
      </c>
      <c r="F1079" s="2" t="s">
        <v>17</v>
      </c>
      <c r="G1079" s="2" t="s">
        <v>29</v>
      </c>
      <c r="H1079" s="2" t="s">
        <v>44</v>
      </c>
      <c r="I1079" s="2" t="s">
        <v>20</v>
      </c>
      <c r="J1079" s="4">
        <v>2</v>
      </c>
      <c r="K1079" s="5">
        <v>39.01</v>
      </c>
      <c r="L1079" s="6">
        <v>0</v>
      </c>
      <c r="M1079" s="5">
        <v>78.02</v>
      </c>
      <c r="P1079" t="str">
        <f>TEXT(Tableau2[[#This Row],[Date]],"mmmm aaaa")</f>
        <v>juin 2026</v>
      </c>
    </row>
    <row r="1080" spans="1:16">
      <c r="A1080" s="2" t="s">
        <v>1167</v>
      </c>
      <c r="B1080" s="3">
        <v>46057</v>
      </c>
      <c r="C1080" s="2" t="s">
        <v>32</v>
      </c>
      <c r="D1080" s="2" t="s">
        <v>33</v>
      </c>
      <c r="E1080" s="2" t="s">
        <v>38</v>
      </c>
      <c r="F1080" s="2" t="s">
        <v>17</v>
      </c>
      <c r="G1080" s="2" t="s">
        <v>48</v>
      </c>
      <c r="H1080" s="2" t="s">
        <v>77</v>
      </c>
      <c r="I1080" s="2" t="s">
        <v>41</v>
      </c>
      <c r="J1080" s="4">
        <v>8</v>
      </c>
      <c r="K1080" s="5">
        <v>78.75</v>
      </c>
      <c r="L1080" s="6">
        <v>0</v>
      </c>
      <c r="M1080" s="5">
        <v>630</v>
      </c>
      <c r="P1080" t="str">
        <f>TEXT(Tableau2[[#This Row],[Date]],"mmmm aaaa")</f>
        <v>février 2026</v>
      </c>
    </row>
    <row r="1081" spans="1:16">
      <c r="A1081" s="2" t="s">
        <v>1168</v>
      </c>
      <c r="B1081" s="3">
        <v>46107</v>
      </c>
      <c r="C1081" s="2" t="s">
        <v>164</v>
      </c>
      <c r="D1081" s="2" t="s">
        <v>53</v>
      </c>
      <c r="E1081" s="2" t="s">
        <v>34</v>
      </c>
      <c r="F1081" s="2" t="s">
        <v>28</v>
      </c>
      <c r="G1081" s="2" t="s">
        <v>18</v>
      </c>
      <c r="H1081" s="2" t="s">
        <v>136</v>
      </c>
      <c r="I1081" s="2" t="s">
        <v>20</v>
      </c>
      <c r="J1081" s="4">
        <v>4</v>
      </c>
      <c r="K1081" s="5">
        <v>31.82</v>
      </c>
      <c r="L1081" s="6">
        <v>0.2</v>
      </c>
      <c r="M1081" s="5">
        <v>101.82</v>
      </c>
      <c r="P1081" t="str">
        <f>TEXT(Tableau2[[#This Row],[Date]],"mmmm aaaa")</f>
        <v>mars 2026</v>
      </c>
    </row>
    <row r="1082" spans="1:16">
      <c r="A1082" s="2" t="s">
        <v>1169</v>
      </c>
      <c r="B1082" s="3">
        <v>46223</v>
      </c>
      <c r="C1082" s="2" t="s">
        <v>94</v>
      </c>
      <c r="D1082" s="2" t="s">
        <v>15</v>
      </c>
      <c r="E1082" s="2" t="s">
        <v>43</v>
      </c>
      <c r="F1082" s="2" t="s">
        <v>28</v>
      </c>
      <c r="G1082" s="2" t="s">
        <v>18</v>
      </c>
      <c r="H1082" s="2" t="s">
        <v>136</v>
      </c>
      <c r="I1082" s="2" t="s">
        <v>20</v>
      </c>
      <c r="J1082" s="4">
        <v>9</v>
      </c>
      <c r="K1082" s="5">
        <v>31.45</v>
      </c>
      <c r="L1082" s="6">
        <v>0</v>
      </c>
      <c r="M1082" s="5">
        <v>283.05</v>
      </c>
      <c r="P1082" t="str">
        <f>TEXT(Tableau2[[#This Row],[Date]],"mmmm aaaa")</f>
        <v>juillet 2026</v>
      </c>
    </row>
    <row r="1083" spans="1:16">
      <c r="A1083" s="2" t="s">
        <v>1170</v>
      </c>
      <c r="B1083" s="3">
        <v>46342</v>
      </c>
      <c r="C1083" s="2" t="s">
        <v>32</v>
      </c>
      <c r="D1083" s="2" t="s">
        <v>33</v>
      </c>
      <c r="E1083" s="2" t="s">
        <v>16</v>
      </c>
      <c r="F1083" s="2" t="s">
        <v>17</v>
      </c>
      <c r="G1083" s="2" t="s">
        <v>29</v>
      </c>
      <c r="H1083" s="2" t="s">
        <v>140</v>
      </c>
      <c r="I1083" s="2" t="s">
        <v>50</v>
      </c>
      <c r="J1083" s="4">
        <v>8</v>
      </c>
      <c r="K1083" s="5">
        <v>47.16</v>
      </c>
      <c r="L1083" s="6">
        <v>0.1</v>
      </c>
      <c r="M1083" s="5">
        <v>339.55</v>
      </c>
      <c r="P1083" t="str">
        <f>TEXT(Tableau2[[#This Row],[Date]],"mmmm aaaa")</f>
        <v>novembre 2026</v>
      </c>
    </row>
    <row r="1084" spans="1:16">
      <c r="A1084" s="2" t="s">
        <v>1171</v>
      </c>
      <c r="B1084" s="3">
        <v>46140</v>
      </c>
      <c r="C1084" s="2" t="s">
        <v>14</v>
      </c>
      <c r="D1084" s="2" t="s">
        <v>15</v>
      </c>
      <c r="E1084" s="2" t="s">
        <v>38</v>
      </c>
      <c r="F1084" s="2" t="s">
        <v>28</v>
      </c>
      <c r="G1084" s="2" t="s">
        <v>24</v>
      </c>
      <c r="H1084" s="2" t="s">
        <v>61</v>
      </c>
      <c r="I1084" s="2" t="s">
        <v>75</v>
      </c>
      <c r="J1084" s="4">
        <v>2</v>
      </c>
      <c r="K1084" s="5">
        <v>240.75</v>
      </c>
      <c r="L1084" s="6">
        <v>0</v>
      </c>
      <c r="M1084" s="5">
        <v>481.5</v>
      </c>
      <c r="P1084" t="str">
        <f>TEXT(Tableau2[[#This Row],[Date]],"mmmm aaaa")</f>
        <v>avril 2026</v>
      </c>
    </row>
    <row r="1085" spans="1:16">
      <c r="A1085" s="2" t="s">
        <v>1172</v>
      </c>
      <c r="B1085" s="3">
        <v>46117</v>
      </c>
      <c r="C1085" s="2" t="s">
        <v>22</v>
      </c>
      <c r="D1085" s="2" t="s">
        <v>23</v>
      </c>
      <c r="E1085" s="2" t="s">
        <v>16</v>
      </c>
      <c r="F1085" s="2" t="s">
        <v>28</v>
      </c>
      <c r="G1085" s="2" t="s">
        <v>29</v>
      </c>
      <c r="H1085" s="2" t="s">
        <v>44</v>
      </c>
      <c r="I1085" s="2" t="s">
        <v>58</v>
      </c>
      <c r="J1085" s="4">
        <v>2</v>
      </c>
      <c r="K1085" s="5">
        <v>40.64</v>
      </c>
      <c r="L1085" s="6">
        <v>0</v>
      </c>
      <c r="M1085" s="5">
        <v>81.28</v>
      </c>
      <c r="P1085" t="str">
        <f>TEXT(Tableau2[[#This Row],[Date]],"mmmm aaaa")</f>
        <v>avril 2026</v>
      </c>
    </row>
    <row r="1086" spans="1:16">
      <c r="A1086" s="2" t="s">
        <v>1173</v>
      </c>
      <c r="B1086" s="3">
        <v>46316</v>
      </c>
      <c r="C1086" s="2" t="s">
        <v>134</v>
      </c>
      <c r="D1086" s="2" t="s">
        <v>15</v>
      </c>
      <c r="E1086" s="2" t="s">
        <v>34</v>
      </c>
      <c r="F1086" s="2" t="s">
        <v>28</v>
      </c>
      <c r="G1086" s="2" t="s">
        <v>24</v>
      </c>
      <c r="H1086" s="2" t="s">
        <v>25</v>
      </c>
      <c r="I1086" s="2" t="s">
        <v>45</v>
      </c>
      <c r="J1086" s="4">
        <v>10</v>
      </c>
      <c r="K1086" s="5">
        <v>131.53</v>
      </c>
      <c r="L1086" s="6">
        <v>0</v>
      </c>
      <c r="M1086" s="5">
        <v>1315.3</v>
      </c>
      <c r="P1086" t="str">
        <f>TEXT(Tableau2[[#This Row],[Date]],"mmmm aaaa")</f>
        <v>octobre 2026</v>
      </c>
    </row>
    <row r="1087" spans="1:16">
      <c r="A1087" s="2" t="s">
        <v>1174</v>
      </c>
      <c r="B1087" s="3">
        <v>46308</v>
      </c>
      <c r="C1087" s="2" t="s">
        <v>32</v>
      </c>
      <c r="D1087" s="2" t="s">
        <v>33</v>
      </c>
      <c r="E1087" s="2" t="s">
        <v>38</v>
      </c>
      <c r="F1087" s="2" t="s">
        <v>17</v>
      </c>
      <c r="G1087" s="2" t="s">
        <v>24</v>
      </c>
      <c r="H1087" s="2" t="s">
        <v>35</v>
      </c>
      <c r="I1087" s="2" t="s">
        <v>45</v>
      </c>
      <c r="J1087" s="4">
        <v>5</v>
      </c>
      <c r="K1087" s="5">
        <v>177.99</v>
      </c>
      <c r="L1087" s="6">
        <v>0.3</v>
      </c>
      <c r="M1087" s="5">
        <v>622.97</v>
      </c>
      <c r="P1087" t="str">
        <f>TEXT(Tableau2[[#This Row],[Date]],"mmmm aaaa")</f>
        <v>octobre 2026</v>
      </c>
    </row>
    <row r="1088" spans="1:16">
      <c r="A1088" s="2" t="s">
        <v>1175</v>
      </c>
      <c r="B1088" s="3">
        <v>46340</v>
      </c>
      <c r="C1088" s="2" t="s">
        <v>94</v>
      </c>
      <c r="D1088" s="2" t="s">
        <v>15</v>
      </c>
      <c r="E1088" s="2" t="s">
        <v>43</v>
      </c>
      <c r="F1088" s="2" t="s">
        <v>28</v>
      </c>
      <c r="G1088" s="2" t="s">
        <v>48</v>
      </c>
      <c r="H1088" s="2" t="s">
        <v>88</v>
      </c>
      <c r="I1088" s="2" t="s">
        <v>20</v>
      </c>
      <c r="J1088" s="4">
        <v>4</v>
      </c>
      <c r="K1088" s="5">
        <v>71.39</v>
      </c>
      <c r="L1088" s="6">
        <v>0.1</v>
      </c>
      <c r="M1088" s="5">
        <v>257</v>
      </c>
      <c r="P1088" t="str">
        <f>TEXT(Tableau2[[#This Row],[Date]],"mmmm aaaa")</f>
        <v>novembre 2026</v>
      </c>
    </row>
    <row r="1089" spans="1:16">
      <c r="A1089" s="2" t="s">
        <v>1176</v>
      </c>
      <c r="B1089" s="3">
        <v>46304</v>
      </c>
      <c r="C1089" s="2" t="s">
        <v>57</v>
      </c>
      <c r="D1089" s="2" t="s">
        <v>15</v>
      </c>
      <c r="E1089" s="2" t="s">
        <v>16</v>
      </c>
      <c r="F1089" s="2" t="s">
        <v>17</v>
      </c>
      <c r="G1089" s="2" t="s">
        <v>54</v>
      </c>
      <c r="H1089" s="2" t="s">
        <v>55</v>
      </c>
      <c r="I1089" s="2" t="s">
        <v>41</v>
      </c>
      <c r="J1089" s="4">
        <v>1</v>
      </c>
      <c r="K1089" s="5">
        <v>164.66</v>
      </c>
      <c r="L1089" s="6">
        <v>0</v>
      </c>
      <c r="M1089" s="5">
        <v>164.66</v>
      </c>
      <c r="P1089" t="str">
        <f>TEXT(Tableau2[[#This Row],[Date]],"mmmm aaaa")</f>
        <v>octobre 2026</v>
      </c>
    </row>
    <row r="1090" spans="1:16">
      <c r="A1090" s="2" t="s">
        <v>1177</v>
      </c>
      <c r="B1090" s="3">
        <v>46023</v>
      </c>
      <c r="C1090" s="2" t="s">
        <v>86</v>
      </c>
      <c r="D1090" s="2" t="s">
        <v>53</v>
      </c>
      <c r="E1090" s="2" t="s">
        <v>16</v>
      </c>
      <c r="F1090" s="2" t="s">
        <v>28</v>
      </c>
      <c r="G1090" s="2" t="s">
        <v>18</v>
      </c>
      <c r="H1090" s="2" t="s">
        <v>143</v>
      </c>
      <c r="I1090" s="2" t="s">
        <v>50</v>
      </c>
      <c r="J1090" s="4">
        <v>2</v>
      </c>
      <c r="K1090" s="5">
        <v>69.31</v>
      </c>
      <c r="L1090" s="6">
        <v>0</v>
      </c>
      <c r="M1090" s="5">
        <v>138.62</v>
      </c>
      <c r="P1090" t="str">
        <f>TEXT(Tableau2[[#This Row],[Date]],"mmmm aaaa")</f>
        <v>janvier 2026</v>
      </c>
    </row>
    <row r="1091" spans="1:16">
      <c r="A1091" s="2" t="s">
        <v>1178</v>
      </c>
      <c r="B1091" s="3">
        <v>46194</v>
      </c>
      <c r="C1091" s="2" t="s">
        <v>178</v>
      </c>
      <c r="D1091" s="2" t="s">
        <v>15</v>
      </c>
      <c r="E1091" s="2" t="s">
        <v>16</v>
      </c>
      <c r="F1091" s="2" t="s">
        <v>17</v>
      </c>
      <c r="G1091" s="2" t="s">
        <v>39</v>
      </c>
      <c r="H1091" s="2" t="s">
        <v>40</v>
      </c>
      <c r="I1091" s="2" t="s">
        <v>75</v>
      </c>
      <c r="J1091" s="4">
        <v>1</v>
      </c>
      <c r="K1091" s="5">
        <v>139.12</v>
      </c>
      <c r="L1091" s="6">
        <v>0</v>
      </c>
      <c r="M1091" s="5">
        <v>139.12</v>
      </c>
      <c r="P1091" t="str">
        <f>TEXT(Tableau2[[#This Row],[Date]],"mmmm aaaa")</f>
        <v>juin 2026</v>
      </c>
    </row>
    <row r="1092" spans="1:16">
      <c r="A1092" s="2" t="s">
        <v>1179</v>
      </c>
      <c r="B1092" s="3">
        <v>46099</v>
      </c>
      <c r="C1092" s="2" t="s">
        <v>52</v>
      </c>
      <c r="D1092" s="2" t="s">
        <v>53</v>
      </c>
      <c r="E1092" s="2" t="s">
        <v>38</v>
      </c>
      <c r="F1092" s="2" t="s">
        <v>17</v>
      </c>
      <c r="G1092" s="2" t="s">
        <v>54</v>
      </c>
      <c r="H1092" s="2" t="s">
        <v>64</v>
      </c>
      <c r="I1092" s="2" t="s">
        <v>26</v>
      </c>
      <c r="J1092" s="4">
        <v>4</v>
      </c>
      <c r="K1092" s="5">
        <v>90.1</v>
      </c>
      <c r="L1092" s="6">
        <v>0</v>
      </c>
      <c r="M1092" s="5">
        <v>360.4</v>
      </c>
      <c r="P1092" t="str">
        <f>TEXT(Tableau2[[#This Row],[Date]],"mmmm aaaa")</f>
        <v>mars 2026</v>
      </c>
    </row>
    <row r="1093" spans="1:16">
      <c r="A1093" s="2" t="s">
        <v>1180</v>
      </c>
      <c r="B1093" s="3">
        <v>46155</v>
      </c>
      <c r="C1093" s="2" t="s">
        <v>47</v>
      </c>
      <c r="D1093" s="2" t="s">
        <v>15</v>
      </c>
      <c r="E1093" s="2" t="s">
        <v>43</v>
      </c>
      <c r="F1093" s="2" t="s">
        <v>17</v>
      </c>
      <c r="G1093" s="2" t="s">
        <v>24</v>
      </c>
      <c r="H1093" s="2" t="s">
        <v>61</v>
      </c>
      <c r="I1093" s="2" t="s">
        <v>50</v>
      </c>
      <c r="J1093" s="4">
        <v>4</v>
      </c>
      <c r="K1093" s="5">
        <v>236.11</v>
      </c>
      <c r="L1093" s="6">
        <v>0.05</v>
      </c>
      <c r="M1093" s="5">
        <v>897.22</v>
      </c>
      <c r="P1093" t="str">
        <f>TEXT(Tableau2[[#This Row],[Date]],"mmmm aaaa")</f>
        <v>mai 2026</v>
      </c>
    </row>
    <row r="1094" spans="1:16">
      <c r="A1094" s="2" t="s">
        <v>1181</v>
      </c>
      <c r="B1094" s="3">
        <v>46246</v>
      </c>
      <c r="C1094" s="2" t="s">
        <v>116</v>
      </c>
      <c r="D1094" s="2" t="s">
        <v>15</v>
      </c>
      <c r="E1094" s="2" t="s">
        <v>43</v>
      </c>
      <c r="F1094" s="2" t="s">
        <v>17</v>
      </c>
      <c r="G1094" s="2" t="s">
        <v>48</v>
      </c>
      <c r="H1094" s="2" t="s">
        <v>77</v>
      </c>
      <c r="I1094" s="2" t="s">
        <v>26</v>
      </c>
      <c r="J1094" s="4">
        <v>3</v>
      </c>
      <c r="K1094" s="5">
        <v>88.48</v>
      </c>
      <c r="L1094" s="6">
        <v>0.1</v>
      </c>
      <c r="M1094" s="5">
        <v>238.9</v>
      </c>
      <c r="P1094" t="str">
        <f>TEXT(Tableau2[[#This Row],[Date]],"mmmm aaaa")</f>
        <v>août 2026</v>
      </c>
    </row>
    <row r="1095" spans="1:16">
      <c r="A1095" s="2" t="s">
        <v>1182</v>
      </c>
      <c r="B1095" s="3">
        <v>46080</v>
      </c>
      <c r="C1095" s="2" t="s">
        <v>79</v>
      </c>
      <c r="D1095" s="2" t="s">
        <v>33</v>
      </c>
      <c r="E1095" s="2" t="s">
        <v>16</v>
      </c>
      <c r="F1095" s="2" t="s">
        <v>17</v>
      </c>
      <c r="G1095" s="2" t="s">
        <v>29</v>
      </c>
      <c r="H1095" s="2" t="s">
        <v>99</v>
      </c>
      <c r="I1095" s="2" t="s">
        <v>50</v>
      </c>
      <c r="J1095" s="4">
        <v>1</v>
      </c>
      <c r="K1095" s="5">
        <v>61.1</v>
      </c>
      <c r="L1095" s="6">
        <v>0.1</v>
      </c>
      <c r="M1095" s="5">
        <v>54.99</v>
      </c>
      <c r="P1095" t="str">
        <f>TEXT(Tableau2[[#This Row],[Date]],"mmmm aaaa")</f>
        <v>février 2026</v>
      </c>
    </row>
    <row r="1096" spans="1:16">
      <c r="A1096" s="2" t="s">
        <v>1183</v>
      </c>
      <c r="B1096" s="3">
        <v>46273</v>
      </c>
      <c r="C1096" s="2" t="s">
        <v>178</v>
      </c>
      <c r="D1096" s="2" t="s">
        <v>15</v>
      </c>
      <c r="E1096" s="2" t="s">
        <v>34</v>
      </c>
      <c r="F1096" s="2" t="s">
        <v>28</v>
      </c>
      <c r="G1096" s="2" t="s">
        <v>29</v>
      </c>
      <c r="H1096" s="2" t="s">
        <v>30</v>
      </c>
      <c r="I1096" s="2" t="s">
        <v>45</v>
      </c>
      <c r="J1096" s="4">
        <v>1</v>
      </c>
      <c r="K1096" s="5">
        <v>26.8</v>
      </c>
      <c r="L1096" s="6">
        <v>0</v>
      </c>
      <c r="M1096" s="5">
        <v>26.8</v>
      </c>
      <c r="P1096" t="str">
        <f>TEXT(Tableau2[[#This Row],[Date]],"mmmm aaaa")</f>
        <v>septembre 2026</v>
      </c>
    </row>
    <row r="1097" spans="1:16">
      <c r="A1097" s="2" t="s">
        <v>1184</v>
      </c>
      <c r="B1097" s="3">
        <v>46065</v>
      </c>
      <c r="C1097" s="2" t="s">
        <v>106</v>
      </c>
      <c r="D1097" s="2" t="s">
        <v>23</v>
      </c>
      <c r="E1097" s="2" t="s">
        <v>34</v>
      </c>
      <c r="F1097" s="2" t="s">
        <v>28</v>
      </c>
      <c r="G1097" s="2" t="s">
        <v>54</v>
      </c>
      <c r="H1097" s="2" t="s">
        <v>55</v>
      </c>
      <c r="I1097" s="2" t="s">
        <v>75</v>
      </c>
      <c r="J1097" s="4">
        <v>4</v>
      </c>
      <c r="K1097" s="5">
        <v>153.52000000000001</v>
      </c>
      <c r="L1097" s="6">
        <v>0.2</v>
      </c>
      <c r="M1097" s="5">
        <v>491.26</v>
      </c>
      <c r="P1097" t="str">
        <f>TEXT(Tableau2[[#This Row],[Date]],"mmmm aaaa")</f>
        <v>février 2026</v>
      </c>
    </row>
    <row r="1098" spans="1:16">
      <c r="A1098" s="2" t="s">
        <v>1185</v>
      </c>
      <c r="B1098" s="3">
        <v>46185</v>
      </c>
      <c r="C1098" s="2" t="s">
        <v>169</v>
      </c>
      <c r="D1098" s="2" t="s">
        <v>33</v>
      </c>
      <c r="E1098" s="2" t="s">
        <v>43</v>
      </c>
      <c r="F1098" s="2" t="s">
        <v>17</v>
      </c>
      <c r="G1098" s="2" t="s">
        <v>48</v>
      </c>
      <c r="H1098" s="2" t="s">
        <v>88</v>
      </c>
      <c r="I1098" s="2" t="s">
        <v>20</v>
      </c>
      <c r="J1098" s="4">
        <v>1</v>
      </c>
      <c r="K1098" s="5">
        <v>77.12</v>
      </c>
      <c r="L1098" s="6">
        <v>0</v>
      </c>
      <c r="M1098" s="5">
        <v>77.12</v>
      </c>
      <c r="P1098" t="str">
        <f>TEXT(Tableau2[[#This Row],[Date]],"mmmm aaaa")</f>
        <v>juin 2026</v>
      </c>
    </row>
    <row r="1099" spans="1:16">
      <c r="A1099" s="2" t="s">
        <v>1186</v>
      </c>
      <c r="B1099" s="3">
        <v>46354</v>
      </c>
      <c r="C1099" s="2" t="s">
        <v>130</v>
      </c>
      <c r="D1099" s="2" t="s">
        <v>53</v>
      </c>
      <c r="E1099" s="2" t="s">
        <v>16</v>
      </c>
      <c r="F1099" s="2" t="s">
        <v>28</v>
      </c>
      <c r="G1099" s="2" t="s">
        <v>48</v>
      </c>
      <c r="H1099" s="2" t="s">
        <v>84</v>
      </c>
      <c r="I1099" s="2" t="s">
        <v>58</v>
      </c>
      <c r="J1099" s="4">
        <v>1</v>
      </c>
      <c r="K1099" s="5">
        <v>98.24</v>
      </c>
      <c r="L1099" s="6">
        <v>0</v>
      </c>
      <c r="M1099" s="5">
        <v>98.24</v>
      </c>
      <c r="P1099" t="str">
        <f>TEXT(Tableau2[[#This Row],[Date]],"mmmm aaaa")</f>
        <v>novembre 2026</v>
      </c>
    </row>
    <row r="1100" spans="1:16">
      <c r="A1100" s="2" t="s">
        <v>1187</v>
      </c>
      <c r="B1100" s="3">
        <v>46216</v>
      </c>
      <c r="C1100" s="2" t="s">
        <v>134</v>
      </c>
      <c r="D1100" s="2" t="s">
        <v>15</v>
      </c>
      <c r="E1100" s="2" t="s">
        <v>16</v>
      </c>
      <c r="F1100" s="2" t="s">
        <v>28</v>
      </c>
      <c r="G1100" s="2" t="s">
        <v>29</v>
      </c>
      <c r="H1100" s="2" t="s">
        <v>140</v>
      </c>
      <c r="I1100" s="2" t="s">
        <v>58</v>
      </c>
      <c r="J1100" s="4">
        <v>1</v>
      </c>
      <c r="K1100" s="5">
        <v>44.9</v>
      </c>
      <c r="L1100" s="6">
        <v>0</v>
      </c>
      <c r="M1100" s="5">
        <v>44.9</v>
      </c>
      <c r="P1100" t="str">
        <f>TEXT(Tableau2[[#This Row],[Date]],"mmmm aaaa")</f>
        <v>juillet 2026</v>
      </c>
    </row>
    <row r="1101" spans="1:16">
      <c r="A1101" s="2" t="s">
        <v>1188</v>
      </c>
      <c r="B1101" s="3">
        <v>46128</v>
      </c>
      <c r="C1101" s="2" t="s">
        <v>22</v>
      </c>
      <c r="D1101" s="2" t="s">
        <v>23</v>
      </c>
      <c r="E1101" s="2" t="s">
        <v>16</v>
      </c>
      <c r="F1101" s="2" t="s">
        <v>28</v>
      </c>
      <c r="G1101" s="2" t="s">
        <v>24</v>
      </c>
      <c r="H1101" s="2" t="s">
        <v>25</v>
      </c>
      <c r="I1101" s="2" t="s">
        <v>41</v>
      </c>
      <c r="J1101" s="4">
        <v>4</v>
      </c>
      <c r="K1101" s="5">
        <v>136.35</v>
      </c>
      <c r="L1101" s="6">
        <v>0</v>
      </c>
      <c r="M1101" s="5">
        <v>545.4</v>
      </c>
      <c r="P1101" t="str">
        <f>TEXT(Tableau2[[#This Row],[Date]],"mmmm aaaa")</f>
        <v>avril 2026</v>
      </c>
    </row>
    <row r="1102" spans="1:16">
      <c r="A1102" s="2" t="s">
        <v>1189</v>
      </c>
      <c r="B1102" s="3">
        <v>46033</v>
      </c>
      <c r="C1102" s="2" t="s">
        <v>63</v>
      </c>
      <c r="D1102" s="2" t="s">
        <v>33</v>
      </c>
      <c r="E1102" s="2" t="s">
        <v>16</v>
      </c>
      <c r="F1102" s="2" t="s">
        <v>17</v>
      </c>
      <c r="G1102" s="2" t="s">
        <v>18</v>
      </c>
      <c r="H1102" s="2" t="s">
        <v>136</v>
      </c>
      <c r="I1102" s="2" t="s">
        <v>58</v>
      </c>
      <c r="J1102" s="4">
        <v>2</v>
      </c>
      <c r="K1102" s="5">
        <v>32.83</v>
      </c>
      <c r="L1102" s="6">
        <v>0</v>
      </c>
      <c r="M1102" s="5">
        <v>65.66</v>
      </c>
      <c r="P1102" t="str">
        <f>TEXT(Tableau2[[#This Row],[Date]],"mmmm aaaa")</f>
        <v>janvier 2026</v>
      </c>
    </row>
    <row r="1103" spans="1:16">
      <c r="A1103" s="2" t="s">
        <v>1190</v>
      </c>
      <c r="B1103" s="3">
        <v>46289</v>
      </c>
      <c r="C1103" s="2" t="s">
        <v>22</v>
      </c>
      <c r="D1103" s="2" t="s">
        <v>23</v>
      </c>
      <c r="E1103" s="2" t="s">
        <v>43</v>
      </c>
      <c r="F1103" s="2" t="s">
        <v>17</v>
      </c>
      <c r="G1103" s="2" t="s">
        <v>48</v>
      </c>
      <c r="H1103" s="2" t="s">
        <v>84</v>
      </c>
      <c r="I1103" s="2" t="s">
        <v>41</v>
      </c>
      <c r="J1103" s="4">
        <v>2</v>
      </c>
      <c r="K1103" s="5">
        <v>96.95</v>
      </c>
      <c r="L1103" s="6">
        <v>0</v>
      </c>
      <c r="M1103" s="5">
        <v>193.9</v>
      </c>
      <c r="P1103" t="str">
        <f>TEXT(Tableau2[[#This Row],[Date]],"mmmm aaaa")</f>
        <v>septembre 2026</v>
      </c>
    </row>
    <row r="1104" spans="1:16">
      <c r="A1104" s="2" t="s">
        <v>1191</v>
      </c>
      <c r="B1104" s="3">
        <v>46095</v>
      </c>
      <c r="C1104" s="2" t="s">
        <v>130</v>
      </c>
      <c r="D1104" s="2" t="s">
        <v>53</v>
      </c>
      <c r="E1104" s="2" t="s">
        <v>16</v>
      </c>
      <c r="F1104" s="2" t="s">
        <v>17</v>
      </c>
      <c r="G1104" s="2" t="s">
        <v>24</v>
      </c>
      <c r="H1104" s="2" t="s">
        <v>35</v>
      </c>
      <c r="I1104" s="2" t="s">
        <v>75</v>
      </c>
      <c r="J1104" s="4">
        <v>4</v>
      </c>
      <c r="K1104" s="5">
        <v>165.9</v>
      </c>
      <c r="L1104" s="6">
        <v>0</v>
      </c>
      <c r="M1104" s="5">
        <v>663.6</v>
      </c>
      <c r="P1104" t="str">
        <f>TEXT(Tableau2[[#This Row],[Date]],"mmmm aaaa")</f>
        <v>mars 2026</v>
      </c>
    </row>
    <row r="1105" spans="1:16">
      <c r="A1105" s="2" t="s">
        <v>1192</v>
      </c>
      <c r="B1105" s="3">
        <v>46172</v>
      </c>
      <c r="C1105" s="2" t="s">
        <v>47</v>
      </c>
      <c r="D1105" s="2" t="s">
        <v>15</v>
      </c>
      <c r="E1105" s="2" t="s">
        <v>16</v>
      </c>
      <c r="F1105" s="2" t="s">
        <v>28</v>
      </c>
      <c r="G1105" s="2" t="s">
        <v>39</v>
      </c>
      <c r="H1105" s="2" t="s">
        <v>40</v>
      </c>
      <c r="I1105" s="2" t="s">
        <v>58</v>
      </c>
      <c r="J1105" s="4">
        <v>1</v>
      </c>
      <c r="K1105" s="5">
        <v>127.29</v>
      </c>
      <c r="L1105" s="6">
        <v>0</v>
      </c>
      <c r="M1105" s="5">
        <v>127.29</v>
      </c>
      <c r="P1105" t="str">
        <f>TEXT(Tableau2[[#This Row],[Date]],"mmmm aaaa")</f>
        <v>mai 2026</v>
      </c>
    </row>
    <row r="1106" spans="1:16">
      <c r="A1106" s="2" t="s">
        <v>1193</v>
      </c>
      <c r="B1106" s="3">
        <v>46213</v>
      </c>
      <c r="C1106" s="2" t="s">
        <v>169</v>
      </c>
      <c r="D1106" s="2" t="s">
        <v>33</v>
      </c>
      <c r="E1106" s="2" t="s">
        <v>16</v>
      </c>
      <c r="F1106" s="2" t="s">
        <v>28</v>
      </c>
      <c r="G1106" s="2" t="s">
        <v>24</v>
      </c>
      <c r="H1106" s="2" t="s">
        <v>35</v>
      </c>
      <c r="I1106" s="2" t="s">
        <v>26</v>
      </c>
      <c r="J1106" s="4">
        <v>1</v>
      </c>
      <c r="K1106" s="5">
        <v>162.97999999999999</v>
      </c>
      <c r="L1106" s="6">
        <v>0</v>
      </c>
      <c r="M1106" s="5">
        <v>162.97999999999999</v>
      </c>
      <c r="P1106" t="str">
        <f>TEXT(Tableau2[[#This Row],[Date]],"mmmm aaaa")</f>
        <v>juillet 2026</v>
      </c>
    </row>
    <row r="1107" spans="1:16">
      <c r="A1107" s="2" t="s">
        <v>1194</v>
      </c>
      <c r="B1107" s="3">
        <v>46129</v>
      </c>
      <c r="C1107" s="2" t="s">
        <v>63</v>
      </c>
      <c r="D1107" s="2" t="s">
        <v>33</v>
      </c>
      <c r="E1107" s="2" t="s">
        <v>16</v>
      </c>
      <c r="F1107" s="2" t="s">
        <v>28</v>
      </c>
      <c r="G1107" s="2" t="s">
        <v>39</v>
      </c>
      <c r="H1107" s="2" t="s">
        <v>40</v>
      </c>
      <c r="I1107" s="2" t="s">
        <v>58</v>
      </c>
      <c r="J1107" s="4">
        <v>3</v>
      </c>
      <c r="K1107" s="5">
        <v>130.32</v>
      </c>
      <c r="L1107" s="6">
        <v>0</v>
      </c>
      <c r="M1107" s="5">
        <v>390.96</v>
      </c>
      <c r="P1107" t="str">
        <f>TEXT(Tableau2[[#This Row],[Date]],"mmmm aaaa")</f>
        <v>avril 2026</v>
      </c>
    </row>
    <row r="1108" spans="1:16">
      <c r="A1108" s="2" t="s">
        <v>1195</v>
      </c>
      <c r="B1108" s="3">
        <v>46332</v>
      </c>
      <c r="C1108" s="2" t="s">
        <v>151</v>
      </c>
      <c r="D1108" s="2" t="s">
        <v>15</v>
      </c>
      <c r="E1108" s="2" t="s">
        <v>34</v>
      </c>
      <c r="F1108" s="2" t="s">
        <v>28</v>
      </c>
      <c r="G1108" s="2" t="s">
        <v>24</v>
      </c>
      <c r="H1108" s="2" t="s">
        <v>61</v>
      </c>
      <c r="I1108" s="2" t="s">
        <v>58</v>
      </c>
      <c r="J1108" s="4">
        <v>1</v>
      </c>
      <c r="K1108" s="5">
        <v>242.68</v>
      </c>
      <c r="L1108" s="6">
        <v>0</v>
      </c>
      <c r="M1108" s="5">
        <v>242.68</v>
      </c>
      <c r="P1108" t="str">
        <f>TEXT(Tableau2[[#This Row],[Date]],"mmmm aaaa")</f>
        <v>novembre 2026</v>
      </c>
    </row>
    <row r="1109" spans="1:16">
      <c r="A1109" s="2" t="s">
        <v>1196</v>
      </c>
      <c r="B1109" s="3">
        <v>46105</v>
      </c>
      <c r="C1109" s="2" t="s">
        <v>441</v>
      </c>
      <c r="D1109" s="2" t="s">
        <v>23</v>
      </c>
      <c r="E1109" s="2" t="s">
        <v>16</v>
      </c>
      <c r="F1109" s="2" t="s">
        <v>17</v>
      </c>
      <c r="G1109" s="2" t="s">
        <v>18</v>
      </c>
      <c r="H1109" s="2" t="s">
        <v>143</v>
      </c>
      <c r="I1109" s="2" t="s">
        <v>75</v>
      </c>
      <c r="J1109" s="4">
        <v>10</v>
      </c>
      <c r="K1109" s="5">
        <v>64.989999999999995</v>
      </c>
      <c r="L1109" s="6">
        <v>0</v>
      </c>
      <c r="M1109" s="5">
        <v>649.9</v>
      </c>
      <c r="P1109" t="str">
        <f>TEXT(Tableau2[[#This Row],[Date]],"mmmm aaaa")</f>
        <v>mars 2026</v>
      </c>
    </row>
    <row r="1110" spans="1:16">
      <c r="A1110" s="2" t="s">
        <v>1197</v>
      </c>
      <c r="B1110" s="3">
        <v>46116</v>
      </c>
      <c r="C1110" s="2" t="s">
        <v>106</v>
      </c>
      <c r="D1110" s="2" t="s">
        <v>23</v>
      </c>
      <c r="E1110" s="2" t="s">
        <v>34</v>
      </c>
      <c r="F1110" s="2" t="s">
        <v>17</v>
      </c>
      <c r="G1110" s="2" t="s">
        <v>54</v>
      </c>
      <c r="H1110" s="2" t="s">
        <v>55</v>
      </c>
      <c r="I1110" s="2" t="s">
        <v>58</v>
      </c>
      <c r="J1110" s="4">
        <v>2</v>
      </c>
      <c r="K1110" s="5">
        <v>170.03</v>
      </c>
      <c r="L1110" s="6">
        <v>0</v>
      </c>
      <c r="M1110" s="5">
        <v>340.06</v>
      </c>
      <c r="P1110" t="str">
        <f>TEXT(Tableau2[[#This Row],[Date]],"mmmm aaaa")</f>
        <v>avril 2026</v>
      </c>
    </row>
    <row r="1111" spans="1:16">
      <c r="A1111" s="2" t="s">
        <v>1198</v>
      </c>
      <c r="B1111" s="3">
        <v>46170</v>
      </c>
      <c r="C1111" s="2" t="s">
        <v>441</v>
      </c>
      <c r="D1111" s="2" t="s">
        <v>23</v>
      </c>
      <c r="E1111" s="2" t="s">
        <v>43</v>
      </c>
      <c r="F1111" s="2" t="s">
        <v>17</v>
      </c>
      <c r="G1111" s="2" t="s">
        <v>24</v>
      </c>
      <c r="H1111" s="2" t="s">
        <v>35</v>
      </c>
      <c r="I1111" s="2" t="s">
        <v>50</v>
      </c>
      <c r="J1111" s="4">
        <v>1</v>
      </c>
      <c r="K1111" s="5">
        <v>164.41</v>
      </c>
      <c r="L1111" s="6">
        <v>0</v>
      </c>
      <c r="M1111" s="5">
        <v>164.41</v>
      </c>
      <c r="P1111" t="str">
        <f>TEXT(Tableau2[[#This Row],[Date]],"mmmm aaaa")</f>
        <v>mai 2026</v>
      </c>
    </row>
    <row r="1112" spans="1:16">
      <c r="A1112" s="2" t="s">
        <v>1199</v>
      </c>
      <c r="B1112" s="3">
        <v>46188</v>
      </c>
      <c r="C1112" s="2" t="s">
        <v>57</v>
      </c>
      <c r="D1112" s="2" t="s">
        <v>15</v>
      </c>
      <c r="E1112" s="2" t="s">
        <v>16</v>
      </c>
      <c r="F1112" s="2" t="s">
        <v>28</v>
      </c>
      <c r="G1112" s="2" t="s">
        <v>39</v>
      </c>
      <c r="H1112" s="2" t="s">
        <v>95</v>
      </c>
      <c r="I1112" s="2" t="s">
        <v>41</v>
      </c>
      <c r="J1112" s="4">
        <v>1</v>
      </c>
      <c r="K1112" s="5">
        <v>103.86</v>
      </c>
      <c r="L1112" s="6">
        <v>0</v>
      </c>
      <c r="M1112" s="5">
        <v>103.86</v>
      </c>
      <c r="P1112" t="str">
        <f>TEXT(Tableau2[[#This Row],[Date]],"mmmm aaaa")</f>
        <v>juin 2026</v>
      </c>
    </row>
    <row r="1113" spans="1:16">
      <c r="A1113" s="2" t="s">
        <v>1200</v>
      </c>
      <c r="B1113" s="3">
        <v>46166</v>
      </c>
      <c r="C1113" s="2" t="s">
        <v>156</v>
      </c>
      <c r="D1113" s="2" t="s">
        <v>15</v>
      </c>
      <c r="E1113" s="2" t="s">
        <v>16</v>
      </c>
      <c r="F1113" s="2" t="s">
        <v>28</v>
      </c>
      <c r="G1113" s="2" t="s">
        <v>39</v>
      </c>
      <c r="H1113" s="2" t="s">
        <v>40</v>
      </c>
      <c r="I1113" s="2" t="s">
        <v>36</v>
      </c>
      <c r="J1113" s="4">
        <v>8</v>
      </c>
      <c r="K1113" s="5">
        <v>144.6</v>
      </c>
      <c r="L1113" s="6">
        <v>0</v>
      </c>
      <c r="M1113" s="5">
        <v>1156.8</v>
      </c>
      <c r="P1113" t="str">
        <f>TEXT(Tableau2[[#This Row],[Date]],"mmmm aaaa")</f>
        <v>mai 2026</v>
      </c>
    </row>
    <row r="1114" spans="1:16">
      <c r="A1114" s="2" t="s">
        <v>1201</v>
      </c>
      <c r="B1114" s="3">
        <v>46106</v>
      </c>
      <c r="C1114" s="2" t="s">
        <v>57</v>
      </c>
      <c r="D1114" s="2" t="s">
        <v>15</v>
      </c>
      <c r="E1114" s="2" t="s">
        <v>16</v>
      </c>
      <c r="F1114" s="2" t="s">
        <v>17</v>
      </c>
      <c r="G1114" s="2" t="s">
        <v>18</v>
      </c>
      <c r="H1114" s="2" t="s">
        <v>158</v>
      </c>
      <c r="I1114" s="2" t="s">
        <v>45</v>
      </c>
      <c r="J1114" s="4">
        <v>6</v>
      </c>
      <c r="K1114" s="5">
        <v>44.57</v>
      </c>
      <c r="L1114" s="6">
        <v>0.1</v>
      </c>
      <c r="M1114" s="5">
        <v>240.68</v>
      </c>
      <c r="P1114" t="str">
        <f>TEXT(Tableau2[[#This Row],[Date]],"mmmm aaaa")</f>
        <v>mars 2026</v>
      </c>
    </row>
    <row r="1115" spans="1:16">
      <c r="A1115" s="2" t="s">
        <v>1202</v>
      </c>
      <c r="B1115" s="3">
        <v>46265</v>
      </c>
      <c r="C1115" s="2" t="s">
        <v>14</v>
      </c>
      <c r="D1115" s="2" t="s">
        <v>15</v>
      </c>
      <c r="E1115" s="2" t="s">
        <v>16</v>
      </c>
      <c r="F1115" s="2" t="s">
        <v>17</v>
      </c>
      <c r="G1115" s="2" t="s">
        <v>18</v>
      </c>
      <c r="H1115" s="2" t="s">
        <v>19</v>
      </c>
      <c r="I1115" s="2" t="s">
        <v>50</v>
      </c>
      <c r="J1115" s="4">
        <v>1</v>
      </c>
      <c r="K1115" s="5">
        <v>53.83</v>
      </c>
      <c r="L1115" s="6">
        <v>0</v>
      </c>
      <c r="M1115" s="5">
        <v>53.83</v>
      </c>
      <c r="P1115" t="str">
        <f>TEXT(Tableau2[[#This Row],[Date]],"mmmm aaaa")</f>
        <v>août 2026</v>
      </c>
    </row>
    <row r="1116" spans="1:16">
      <c r="A1116" s="2" t="s">
        <v>1203</v>
      </c>
      <c r="B1116" s="3">
        <v>46037</v>
      </c>
      <c r="C1116" s="2" t="s">
        <v>57</v>
      </c>
      <c r="D1116" s="2" t="s">
        <v>15</v>
      </c>
      <c r="E1116" s="2" t="s">
        <v>43</v>
      </c>
      <c r="F1116" s="2" t="s">
        <v>17</v>
      </c>
      <c r="G1116" s="2" t="s">
        <v>48</v>
      </c>
      <c r="H1116" s="2" t="s">
        <v>88</v>
      </c>
      <c r="I1116" s="2" t="s">
        <v>45</v>
      </c>
      <c r="J1116" s="4">
        <v>3</v>
      </c>
      <c r="K1116" s="5">
        <v>79.48</v>
      </c>
      <c r="L1116" s="6">
        <v>0</v>
      </c>
      <c r="M1116" s="5">
        <v>238.44</v>
      </c>
      <c r="P1116" t="str">
        <f>TEXT(Tableau2[[#This Row],[Date]],"mmmm aaaa")</f>
        <v>janvier 2026</v>
      </c>
    </row>
    <row r="1117" spans="1:16">
      <c r="A1117" s="2" t="s">
        <v>1204</v>
      </c>
      <c r="B1117" s="3">
        <v>46234</v>
      </c>
      <c r="C1117" s="2" t="s">
        <v>57</v>
      </c>
      <c r="D1117" s="2" t="s">
        <v>15</v>
      </c>
      <c r="E1117" s="2" t="s">
        <v>34</v>
      </c>
      <c r="F1117" s="2" t="s">
        <v>28</v>
      </c>
      <c r="G1117" s="2" t="s">
        <v>54</v>
      </c>
      <c r="H1117" s="2" t="s">
        <v>102</v>
      </c>
      <c r="I1117" s="2" t="s">
        <v>75</v>
      </c>
      <c r="J1117" s="4">
        <v>1</v>
      </c>
      <c r="K1117" s="5">
        <v>226.92</v>
      </c>
      <c r="L1117" s="6">
        <v>0.05</v>
      </c>
      <c r="M1117" s="5">
        <v>215.57</v>
      </c>
      <c r="P1117" t="str">
        <f>TEXT(Tableau2[[#This Row],[Date]],"mmmm aaaa")</f>
        <v>juillet 2026</v>
      </c>
    </row>
    <row r="1118" spans="1:16">
      <c r="A1118" s="2" t="s">
        <v>1205</v>
      </c>
      <c r="B1118" s="3">
        <v>46369</v>
      </c>
      <c r="C1118" s="2" t="s">
        <v>94</v>
      </c>
      <c r="D1118" s="2" t="s">
        <v>15</v>
      </c>
      <c r="E1118" s="2" t="s">
        <v>34</v>
      </c>
      <c r="F1118" s="2" t="s">
        <v>17</v>
      </c>
      <c r="G1118" s="2" t="s">
        <v>18</v>
      </c>
      <c r="H1118" s="2" t="s">
        <v>158</v>
      </c>
      <c r="I1118" s="2" t="s">
        <v>75</v>
      </c>
      <c r="J1118" s="4">
        <v>3</v>
      </c>
      <c r="K1118" s="5">
        <v>46.71</v>
      </c>
      <c r="L1118" s="6">
        <v>0</v>
      </c>
      <c r="M1118" s="5">
        <v>140.13</v>
      </c>
      <c r="P1118" t="str">
        <f>TEXT(Tableau2[[#This Row],[Date]],"mmmm aaaa")</f>
        <v>décembre 2026</v>
      </c>
    </row>
    <row r="1119" spans="1:16">
      <c r="A1119" s="2" t="s">
        <v>1206</v>
      </c>
      <c r="B1119" s="3">
        <v>46282</v>
      </c>
      <c r="C1119" s="2" t="s">
        <v>57</v>
      </c>
      <c r="D1119" s="2" t="s">
        <v>15</v>
      </c>
      <c r="E1119" s="2" t="s">
        <v>34</v>
      </c>
      <c r="F1119" s="2" t="s">
        <v>28</v>
      </c>
      <c r="G1119" s="2" t="s">
        <v>48</v>
      </c>
      <c r="H1119" s="2" t="s">
        <v>77</v>
      </c>
      <c r="I1119" s="2" t="s">
        <v>36</v>
      </c>
      <c r="J1119" s="4">
        <v>3</v>
      </c>
      <c r="K1119" s="5">
        <v>90.05</v>
      </c>
      <c r="L1119" s="6">
        <v>0</v>
      </c>
      <c r="M1119" s="5">
        <v>270.14999999999998</v>
      </c>
      <c r="P1119" t="str">
        <f>TEXT(Tableau2[[#This Row],[Date]],"mmmm aaaa")</f>
        <v>septembre 2026</v>
      </c>
    </row>
    <row r="1120" spans="1:16">
      <c r="A1120" s="2" t="s">
        <v>1207</v>
      </c>
      <c r="B1120" s="3">
        <v>46365</v>
      </c>
      <c r="C1120" s="2" t="s">
        <v>164</v>
      </c>
      <c r="D1120" s="2" t="s">
        <v>53</v>
      </c>
      <c r="E1120" s="2" t="s">
        <v>16</v>
      </c>
      <c r="F1120" s="2" t="s">
        <v>17</v>
      </c>
      <c r="G1120" s="2" t="s">
        <v>54</v>
      </c>
      <c r="H1120" s="2" t="s">
        <v>102</v>
      </c>
      <c r="I1120" s="2" t="s">
        <v>50</v>
      </c>
      <c r="J1120" s="4">
        <v>1</v>
      </c>
      <c r="K1120" s="5">
        <v>210.95</v>
      </c>
      <c r="L1120" s="6">
        <v>0</v>
      </c>
      <c r="M1120" s="5">
        <v>210.95</v>
      </c>
      <c r="P1120" t="str">
        <f>TEXT(Tableau2[[#This Row],[Date]],"mmmm aaaa")</f>
        <v>décembre 2026</v>
      </c>
    </row>
    <row r="1121" spans="1:16">
      <c r="A1121" s="2" t="s">
        <v>1208</v>
      </c>
      <c r="B1121" s="3">
        <v>46109</v>
      </c>
      <c r="C1121" s="2" t="s">
        <v>164</v>
      </c>
      <c r="D1121" s="2" t="s">
        <v>53</v>
      </c>
      <c r="E1121" s="2" t="s">
        <v>16</v>
      </c>
      <c r="F1121" s="2" t="s">
        <v>28</v>
      </c>
      <c r="G1121" s="2" t="s">
        <v>29</v>
      </c>
      <c r="H1121" s="2" t="s">
        <v>99</v>
      </c>
      <c r="I1121" s="2" t="s">
        <v>45</v>
      </c>
      <c r="J1121" s="4">
        <v>6</v>
      </c>
      <c r="K1121" s="5">
        <v>57.3</v>
      </c>
      <c r="L1121" s="6">
        <v>0</v>
      </c>
      <c r="M1121" s="5">
        <v>343.8</v>
      </c>
      <c r="P1121" t="str">
        <f>TEXT(Tableau2[[#This Row],[Date]],"mmmm aaaa")</f>
        <v>mars 2026</v>
      </c>
    </row>
    <row r="1122" spans="1:16">
      <c r="A1122" s="2" t="s">
        <v>1209</v>
      </c>
      <c r="B1122" s="3">
        <v>46153</v>
      </c>
      <c r="C1122" s="2" t="s">
        <v>125</v>
      </c>
      <c r="D1122" s="2" t="s">
        <v>23</v>
      </c>
      <c r="E1122" s="2" t="s">
        <v>34</v>
      </c>
      <c r="F1122" s="2" t="s">
        <v>17</v>
      </c>
      <c r="G1122" s="2" t="s">
        <v>54</v>
      </c>
      <c r="H1122" s="2" t="s">
        <v>64</v>
      </c>
      <c r="I1122" s="2" t="s">
        <v>45</v>
      </c>
      <c r="J1122" s="4">
        <v>4</v>
      </c>
      <c r="K1122" s="5">
        <v>86.81</v>
      </c>
      <c r="L1122" s="6">
        <v>0</v>
      </c>
      <c r="M1122" s="5">
        <v>347.24</v>
      </c>
      <c r="P1122" t="str">
        <f>TEXT(Tableau2[[#This Row],[Date]],"mmmm aaaa")</f>
        <v>mai 2026</v>
      </c>
    </row>
    <row r="1123" spans="1:16">
      <c r="A1123" s="2" t="s">
        <v>1210</v>
      </c>
      <c r="B1123" s="3">
        <v>46281</v>
      </c>
      <c r="C1123" s="2" t="s">
        <v>66</v>
      </c>
      <c r="D1123" s="2" t="s">
        <v>23</v>
      </c>
      <c r="E1123" s="2" t="s">
        <v>16</v>
      </c>
      <c r="F1123" s="2" t="s">
        <v>17</v>
      </c>
      <c r="G1123" s="2" t="s">
        <v>54</v>
      </c>
      <c r="H1123" s="2" t="s">
        <v>55</v>
      </c>
      <c r="I1123" s="2" t="s">
        <v>41</v>
      </c>
      <c r="J1123" s="4">
        <v>1</v>
      </c>
      <c r="K1123" s="5">
        <v>148.02000000000001</v>
      </c>
      <c r="L1123" s="6">
        <v>0</v>
      </c>
      <c r="M1123" s="5">
        <v>148.02000000000001</v>
      </c>
      <c r="P1123" t="str">
        <f>TEXT(Tableau2[[#This Row],[Date]],"mmmm aaaa")</f>
        <v>septembre 2026</v>
      </c>
    </row>
    <row r="1124" spans="1:16">
      <c r="A1124" s="2" t="s">
        <v>1211</v>
      </c>
      <c r="B1124" s="3">
        <v>46307</v>
      </c>
      <c r="C1124" s="2" t="s">
        <v>60</v>
      </c>
      <c r="D1124" s="2" t="s">
        <v>33</v>
      </c>
      <c r="E1124" s="2" t="s">
        <v>34</v>
      </c>
      <c r="F1124" s="2" t="s">
        <v>28</v>
      </c>
      <c r="G1124" s="2" t="s">
        <v>54</v>
      </c>
      <c r="H1124" s="2" t="s">
        <v>55</v>
      </c>
      <c r="I1124" s="2" t="s">
        <v>26</v>
      </c>
      <c r="J1124" s="4">
        <v>2</v>
      </c>
      <c r="K1124" s="5">
        <v>170.36</v>
      </c>
      <c r="L1124" s="6">
        <v>0</v>
      </c>
      <c r="M1124" s="5">
        <v>340.72</v>
      </c>
      <c r="P1124" t="str">
        <f>TEXT(Tableau2[[#This Row],[Date]],"mmmm aaaa")</f>
        <v>octobre 2026</v>
      </c>
    </row>
    <row r="1125" spans="1:16">
      <c r="A1125" s="2" t="s">
        <v>1212</v>
      </c>
      <c r="B1125" s="3">
        <v>46229</v>
      </c>
      <c r="C1125" s="2" t="s">
        <v>63</v>
      </c>
      <c r="D1125" s="2" t="s">
        <v>33</v>
      </c>
      <c r="E1125" s="2" t="s">
        <v>34</v>
      </c>
      <c r="F1125" s="2" t="s">
        <v>28</v>
      </c>
      <c r="G1125" s="2" t="s">
        <v>24</v>
      </c>
      <c r="H1125" s="2" t="s">
        <v>61</v>
      </c>
      <c r="I1125" s="2" t="s">
        <v>41</v>
      </c>
      <c r="J1125" s="4">
        <v>1</v>
      </c>
      <c r="K1125" s="5">
        <v>233.11</v>
      </c>
      <c r="L1125" s="6">
        <v>0</v>
      </c>
      <c r="M1125" s="5">
        <v>233.11</v>
      </c>
      <c r="P1125" t="str">
        <f>TEXT(Tableau2[[#This Row],[Date]],"mmmm aaaa")</f>
        <v>juillet 2026</v>
      </c>
    </row>
    <row r="1126" spans="1:16">
      <c r="A1126" s="2" t="s">
        <v>1213</v>
      </c>
      <c r="B1126" s="3">
        <v>46285</v>
      </c>
      <c r="C1126" s="2" t="s">
        <v>178</v>
      </c>
      <c r="D1126" s="2" t="s">
        <v>15</v>
      </c>
      <c r="E1126" s="2" t="s">
        <v>34</v>
      </c>
      <c r="F1126" s="2" t="s">
        <v>28</v>
      </c>
      <c r="G1126" s="2" t="s">
        <v>39</v>
      </c>
      <c r="H1126" s="2" t="s">
        <v>95</v>
      </c>
      <c r="I1126" s="2" t="s">
        <v>20</v>
      </c>
      <c r="J1126" s="4">
        <v>1</v>
      </c>
      <c r="K1126" s="5">
        <v>104.01</v>
      </c>
      <c r="L1126" s="6">
        <v>0</v>
      </c>
      <c r="M1126" s="5">
        <v>104.01</v>
      </c>
      <c r="P1126" t="str">
        <f>TEXT(Tableau2[[#This Row],[Date]],"mmmm aaaa")</f>
        <v>septembre 2026</v>
      </c>
    </row>
    <row r="1127" spans="1:16">
      <c r="A1127" s="2" t="s">
        <v>1214</v>
      </c>
      <c r="B1127" s="3">
        <v>46075</v>
      </c>
      <c r="C1127" s="2" t="s">
        <v>90</v>
      </c>
      <c r="D1127" s="2" t="s">
        <v>53</v>
      </c>
      <c r="E1127" s="2" t="s">
        <v>34</v>
      </c>
      <c r="F1127" s="2" t="s">
        <v>28</v>
      </c>
      <c r="G1127" s="2" t="s">
        <v>39</v>
      </c>
      <c r="H1127" s="2" t="s">
        <v>40</v>
      </c>
      <c r="I1127" s="2" t="s">
        <v>20</v>
      </c>
      <c r="J1127" s="4">
        <v>2</v>
      </c>
      <c r="K1127" s="5">
        <v>137.13999999999999</v>
      </c>
      <c r="L1127" s="6">
        <v>0</v>
      </c>
      <c r="M1127" s="5">
        <v>274.27999999999997</v>
      </c>
      <c r="P1127" t="str">
        <f>TEXT(Tableau2[[#This Row],[Date]],"mmmm aaaa")</f>
        <v>février 2026</v>
      </c>
    </row>
    <row r="1128" spans="1:16">
      <c r="A1128" s="2" t="s">
        <v>1215</v>
      </c>
      <c r="B1128" s="3">
        <v>46296</v>
      </c>
      <c r="C1128" s="2" t="s">
        <v>14</v>
      </c>
      <c r="D1128" s="2" t="s">
        <v>15</v>
      </c>
      <c r="E1128" s="2" t="s">
        <v>16</v>
      </c>
      <c r="F1128" s="2" t="s">
        <v>28</v>
      </c>
      <c r="G1128" s="2" t="s">
        <v>39</v>
      </c>
      <c r="H1128" s="2" t="s">
        <v>40</v>
      </c>
      <c r="I1128" s="2" t="s">
        <v>45</v>
      </c>
      <c r="J1128" s="4">
        <v>3</v>
      </c>
      <c r="K1128" s="5">
        <v>144.36000000000001</v>
      </c>
      <c r="L1128" s="6">
        <v>0</v>
      </c>
      <c r="M1128" s="5">
        <v>433.08</v>
      </c>
      <c r="P1128" t="str">
        <f>TEXT(Tableau2[[#This Row],[Date]],"mmmm aaaa")</f>
        <v>octobre 2026</v>
      </c>
    </row>
    <row r="1129" spans="1:16">
      <c r="A1129" s="2" t="s">
        <v>1216</v>
      </c>
      <c r="B1129" s="3">
        <v>46131</v>
      </c>
      <c r="C1129" s="2" t="s">
        <v>119</v>
      </c>
      <c r="D1129" s="2" t="s">
        <v>15</v>
      </c>
      <c r="E1129" s="2" t="s">
        <v>34</v>
      </c>
      <c r="F1129" s="2" t="s">
        <v>17</v>
      </c>
      <c r="G1129" s="2" t="s">
        <v>29</v>
      </c>
      <c r="H1129" s="2" t="s">
        <v>30</v>
      </c>
      <c r="I1129" s="2" t="s">
        <v>41</v>
      </c>
      <c r="J1129" s="4">
        <v>5</v>
      </c>
      <c r="K1129" s="5">
        <v>24.81</v>
      </c>
      <c r="L1129" s="6">
        <v>0.05</v>
      </c>
      <c r="M1129" s="5">
        <v>117.85</v>
      </c>
      <c r="P1129" t="str">
        <f>TEXT(Tableau2[[#This Row],[Date]],"mmmm aaaa")</f>
        <v>avril 2026</v>
      </c>
    </row>
    <row r="1130" spans="1:16">
      <c r="A1130" s="2" t="s">
        <v>1217</v>
      </c>
      <c r="B1130" s="3">
        <v>46131</v>
      </c>
      <c r="C1130" s="2" t="s">
        <v>156</v>
      </c>
      <c r="D1130" s="2" t="s">
        <v>15</v>
      </c>
      <c r="E1130" s="2" t="s">
        <v>16</v>
      </c>
      <c r="F1130" s="2" t="s">
        <v>28</v>
      </c>
      <c r="G1130" s="2" t="s">
        <v>39</v>
      </c>
      <c r="H1130" s="2" t="s">
        <v>40</v>
      </c>
      <c r="I1130" s="2" t="s">
        <v>75</v>
      </c>
      <c r="J1130" s="4">
        <v>2</v>
      </c>
      <c r="K1130" s="5">
        <v>139.78</v>
      </c>
      <c r="L1130" s="6">
        <v>0</v>
      </c>
      <c r="M1130" s="5">
        <v>279.56</v>
      </c>
      <c r="P1130" t="str">
        <f>TEXT(Tableau2[[#This Row],[Date]],"mmmm aaaa")</f>
        <v>avril 2026</v>
      </c>
    </row>
    <row r="1131" spans="1:16">
      <c r="A1131" s="2" t="s">
        <v>1218</v>
      </c>
      <c r="B1131" s="3">
        <v>46118</v>
      </c>
      <c r="C1131" s="2" t="s">
        <v>130</v>
      </c>
      <c r="D1131" s="2" t="s">
        <v>53</v>
      </c>
      <c r="E1131" s="2" t="s">
        <v>34</v>
      </c>
      <c r="F1131" s="2" t="s">
        <v>17</v>
      </c>
      <c r="G1131" s="2" t="s">
        <v>24</v>
      </c>
      <c r="H1131" s="2" t="s">
        <v>25</v>
      </c>
      <c r="I1131" s="2" t="s">
        <v>58</v>
      </c>
      <c r="J1131" s="4">
        <v>1</v>
      </c>
      <c r="K1131" s="5">
        <v>126.22</v>
      </c>
      <c r="L1131" s="6">
        <v>0.1</v>
      </c>
      <c r="M1131" s="5">
        <v>113.6</v>
      </c>
      <c r="P1131" t="str">
        <f>TEXT(Tableau2[[#This Row],[Date]],"mmmm aaaa")</f>
        <v>avril 2026</v>
      </c>
    </row>
    <row r="1132" spans="1:16">
      <c r="A1132" s="2" t="s">
        <v>1219</v>
      </c>
      <c r="B1132" s="3">
        <v>46286</v>
      </c>
      <c r="C1132" s="2" t="s">
        <v>32</v>
      </c>
      <c r="D1132" s="2" t="s">
        <v>33</v>
      </c>
      <c r="E1132" s="2" t="s">
        <v>38</v>
      </c>
      <c r="F1132" s="2" t="s">
        <v>17</v>
      </c>
      <c r="G1132" s="2" t="s">
        <v>18</v>
      </c>
      <c r="H1132" s="2" t="s">
        <v>136</v>
      </c>
      <c r="I1132" s="2" t="s">
        <v>26</v>
      </c>
      <c r="J1132" s="4">
        <v>2</v>
      </c>
      <c r="K1132" s="5">
        <v>32.6</v>
      </c>
      <c r="L1132" s="6">
        <v>0</v>
      </c>
      <c r="M1132" s="5">
        <v>65.2</v>
      </c>
      <c r="P1132" t="str">
        <f>TEXT(Tableau2[[#This Row],[Date]],"mmmm aaaa")</f>
        <v>septembre 2026</v>
      </c>
    </row>
    <row r="1133" spans="1:16">
      <c r="A1133" s="2" t="s">
        <v>1220</v>
      </c>
      <c r="B1133" s="3">
        <v>46029</v>
      </c>
      <c r="C1133" s="2" t="s">
        <v>101</v>
      </c>
      <c r="D1133" s="2" t="s">
        <v>33</v>
      </c>
      <c r="E1133" s="2" t="s">
        <v>34</v>
      </c>
      <c r="F1133" s="2" t="s">
        <v>17</v>
      </c>
      <c r="G1133" s="2" t="s">
        <v>48</v>
      </c>
      <c r="H1133" s="2" t="s">
        <v>49</v>
      </c>
      <c r="I1133" s="2" t="s">
        <v>20</v>
      </c>
      <c r="J1133" s="4">
        <v>2</v>
      </c>
      <c r="K1133" s="5">
        <v>58.27</v>
      </c>
      <c r="L1133" s="6">
        <v>0</v>
      </c>
      <c r="M1133" s="5">
        <v>116.54</v>
      </c>
      <c r="P1133" t="str">
        <f>TEXT(Tableau2[[#This Row],[Date]],"mmmm aaaa")</f>
        <v>janvier 2026</v>
      </c>
    </row>
    <row r="1134" spans="1:16">
      <c r="A1134" s="2" t="s">
        <v>1221</v>
      </c>
      <c r="B1134" s="3">
        <v>46191</v>
      </c>
      <c r="C1134" s="2" t="s">
        <v>79</v>
      </c>
      <c r="D1134" s="2" t="s">
        <v>33</v>
      </c>
      <c r="E1134" s="2" t="s">
        <v>16</v>
      </c>
      <c r="F1134" s="2" t="s">
        <v>17</v>
      </c>
      <c r="G1134" s="2" t="s">
        <v>48</v>
      </c>
      <c r="H1134" s="2" t="s">
        <v>88</v>
      </c>
      <c r="I1134" s="2" t="s">
        <v>58</v>
      </c>
      <c r="J1134" s="4">
        <v>3</v>
      </c>
      <c r="K1134" s="5">
        <v>72.3</v>
      </c>
      <c r="L1134" s="6">
        <v>0.3</v>
      </c>
      <c r="M1134" s="5">
        <v>151.83000000000001</v>
      </c>
      <c r="P1134" t="str">
        <f>TEXT(Tableau2[[#This Row],[Date]],"mmmm aaaa")</f>
        <v>juin 2026</v>
      </c>
    </row>
    <row r="1135" spans="1:16">
      <c r="A1135" s="2" t="s">
        <v>1222</v>
      </c>
      <c r="B1135" s="3">
        <v>46258</v>
      </c>
      <c r="C1135" s="2" t="s">
        <v>116</v>
      </c>
      <c r="D1135" s="2" t="s">
        <v>15</v>
      </c>
      <c r="E1135" s="2" t="s">
        <v>16</v>
      </c>
      <c r="F1135" s="2" t="s">
        <v>28</v>
      </c>
      <c r="G1135" s="2" t="s">
        <v>18</v>
      </c>
      <c r="H1135" s="2" t="s">
        <v>158</v>
      </c>
      <c r="I1135" s="2" t="s">
        <v>45</v>
      </c>
      <c r="J1135" s="4">
        <v>2</v>
      </c>
      <c r="K1135" s="5">
        <v>49.19</v>
      </c>
      <c r="L1135" s="6">
        <v>0.2</v>
      </c>
      <c r="M1135" s="5">
        <v>78.7</v>
      </c>
      <c r="P1135" t="str">
        <f>TEXT(Tableau2[[#This Row],[Date]],"mmmm aaaa")</f>
        <v>août 2026</v>
      </c>
    </row>
    <row r="1136" spans="1:16">
      <c r="A1136" s="2" t="s">
        <v>1223</v>
      </c>
      <c r="B1136" s="3">
        <v>46156</v>
      </c>
      <c r="C1136" s="2" t="s">
        <v>66</v>
      </c>
      <c r="D1136" s="2" t="s">
        <v>23</v>
      </c>
      <c r="E1136" s="2" t="s">
        <v>34</v>
      </c>
      <c r="F1136" s="2" t="s">
        <v>28</v>
      </c>
      <c r="G1136" s="2" t="s">
        <v>29</v>
      </c>
      <c r="H1136" s="2" t="s">
        <v>140</v>
      </c>
      <c r="I1136" s="2" t="s">
        <v>45</v>
      </c>
      <c r="J1136" s="4">
        <v>3</v>
      </c>
      <c r="K1136" s="5">
        <v>46.94</v>
      </c>
      <c r="L1136" s="6">
        <v>0.15</v>
      </c>
      <c r="M1136" s="5">
        <v>119.7</v>
      </c>
      <c r="P1136" t="str">
        <f>TEXT(Tableau2[[#This Row],[Date]],"mmmm aaaa")</f>
        <v>mai 2026</v>
      </c>
    </row>
    <row r="1137" spans="1:16">
      <c r="A1137" s="2" t="s">
        <v>1224</v>
      </c>
      <c r="B1137" s="3">
        <v>46276</v>
      </c>
      <c r="C1137" s="2" t="s">
        <v>14</v>
      </c>
      <c r="D1137" s="2" t="s">
        <v>15</v>
      </c>
      <c r="E1137" s="2" t="s">
        <v>16</v>
      </c>
      <c r="F1137" s="2" t="s">
        <v>17</v>
      </c>
      <c r="G1137" s="2" t="s">
        <v>54</v>
      </c>
      <c r="H1137" s="2" t="s">
        <v>64</v>
      </c>
      <c r="I1137" s="2" t="s">
        <v>75</v>
      </c>
      <c r="J1137" s="4">
        <v>8</v>
      </c>
      <c r="K1137" s="5">
        <v>90.12</v>
      </c>
      <c r="L1137" s="6">
        <v>0</v>
      </c>
      <c r="M1137" s="5">
        <v>720.96</v>
      </c>
      <c r="P1137" t="str">
        <f>TEXT(Tableau2[[#This Row],[Date]],"mmmm aaaa")</f>
        <v>septembre 2026</v>
      </c>
    </row>
    <row r="1138" spans="1:16">
      <c r="A1138" s="2" t="s">
        <v>1225</v>
      </c>
      <c r="B1138" s="3">
        <v>46351</v>
      </c>
      <c r="C1138" s="2" t="s">
        <v>22</v>
      </c>
      <c r="D1138" s="2" t="s">
        <v>23</v>
      </c>
      <c r="E1138" s="2" t="s">
        <v>34</v>
      </c>
      <c r="F1138" s="2" t="s">
        <v>17</v>
      </c>
      <c r="G1138" s="2" t="s">
        <v>18</v>
      </c>
      <c r="H1138" s="2" t="s">
        <v>143</v>
      </c>
      <c r="I1138" s="2" t="s">
        <v>45</v>
      </c>
      <c r="J1138" s="4">
        <v>5</v>
      </c>
      <c r="K1138" s="5">
        <v>67.040000000000006</v>
      </c>
      <c r="L1138" s="6">
        <v>0.05</v>
      </c>
      <c r="M1138" s="5">
        <v>318.44</v>
      </c>
      <c r="P1138" t="str">
        <f>TEXT(Tableau2[[#This Row],[Date]],"mmmm aaaa")</f>
        <v>novembre 2026</v>
      </c>
    </row>
    <row r="1139" spans="1:16">
      <c r="A1139" s="2" t="s">
        <v>1226</v>
      </c>
      <c r="B1139" s="3">
        <v>46190</v>
      </c>
      <c r="C1139" s="2" t="s">
        <v>14</v>
      </c>
      <c r="D1139" s="2" t="s">
        <v>15</v>
      </c>
      <c r="E1139" s="2" t="s">
        <v>16</v>
      </c>
      <c r="F1139" s="2" t="s">
        <v>17</v>
      </c>
      <c r="G1139" s="2" t="s">
        <v>24</v>
      </c>
      <c r="H1139" s="2" t="s">
        <v>61</v>
      </c>
      <c r="I1139" s="2" t="s">
        <v>50</v>
      </c>
      <c r="J1139" s="4">
        <v>3</v>
      </c>
      <c r="K1139" s="5">
        <v>224.5</v>
      </c>
      <c r="L1139" s="6">
        <v>0.3</v>
      </c>
      <c r="M1139" s="5">
        <v>471.45</v>
      </c>
      <c r="P1139" t="str">
        <f>TEXT(Tableau2[[#This Row],[Date]],"mmmm aaaa")</f>
        <v>juin 2026</v>
      </c>
    </row>
    <row r="1140" spans="1:16">
      <c r="A1140" s="2" t="s">
        <v>1227</v>
      </c>
      <c r="B1140" s="3">
        <v>46211</v>
      </c>
      <c r="C1140" s="2" t="s">
        <v>130</v>
      </c>
      <c r="D1140" s="2" t="s">
        <v>53</v>
      </c>
      <c r="E1140" s="2" t="s">
        <v>38</v>
      </c>
      <c r="F1140" s="2" t="s">
        <v>17</v>
      </c>
      <c r="G1140" s="2" t="s">
        <v>48</v>
      </c>
      <c r="H1140" s="2" t="s">
        <v>88</v>
      </c>
      <c r="I1140" s="2" t="s">
        <v>75</v>
      </c>
      <c r="J1140" s="4">
        <v>1</v>
      </c>
      <c r="K1140" s="5">
        <v>79.760000000000005</v>
      </c>
      <c r="L1140" s="6">
        <v>0.3</v>
      </c>
      <c r="M1140" s="5">
        <v>55.83</v>
      </c>
      <c r="P1140" t="str">
        <f>TEXT(Tableau2[[#This Row],[Date]],"mmmm aaaa")</f>
        <v>juillet 2026</v>
      </c>
    </row>
    <row r="1141" spans="1:16">
      <c r="A1141" s="2" t="s">
        <v>1228</v>
      </c>
      <c r="B1141" s="3">
        <v>46220</v>
      </c>
      <c r="C1141" s="2" t="s">
        <v>90</v>
      </c>
      <c r="D1141" s="2" t="s">
        <v>53</v>
      </c>
      <c r="E1141" s="2" t="s">
        <v>16</v>
      </c>
      <c r="F1141" s="2" t="s">
        <v>17</v>
      </c>
      <c r="G1141" s="2" t="s">
        <v>48</v>
      </c>
      <c r="H1141" s="2" t="s">
        <v>84</v>
      </c>
      <c r="I1141" s="2" t="s">
        <v>41</v>
      </c>
      <c r="J1141" s="4">
        <v>4</v>
      </c>
      <c r="K1141" s="5">
        <v>95.84</v>
      </c>
      <c r="L1141" s="6">
        <v>0.1</v>
      </c>
      <c r="M1141" s="5">
        <v>345.02</v>
      </c>
      <c r="P1141" t="str">
        <f>TEXT(Tableau2[[#This Row],[Date]],"mmmm aaaa")</f>
        <v>juillet 2026</v>
      </c>
    </row>
    <row r="1142" spans="1:16">
      <c r="A1142" s="2" t="s">
        <v>1229</v>
      </c>
      <c r="B1142" s="3">
        <v>46118</v>
      </c>
      <c r="C1142" s="2" t="s">
        <v>116</v>
      </c>
      <c r="D1142" s="2" t="s">
        <v>15</v>
      </c>
      <c r="E1142" s="2" t="s">
        <v>34</v>
      </c>
      <c r="F1142" s="2" t="s">
        <v>28</v>
      </c>
      <c r="G1142" s="2" t="s">
        <v>24</v>
      </c>
      <c r="H1142" s="2" t="s">
        <v>61</v>
      </c>
      <c r="I1142" s="2" t="s">
        <v>26</v>
      </c>
      <c r="J1142" s="4">
        <v>11</v>
      </c>
      <c r="K1142" s="5">
        <v>239.79</v>
      </c>
      <c r="L1142" s="6">
        <v>0</v>
      </c>
      <c r="M1142" s="5">
        <v>2637.69</v>
      </c>
      <c r="P1142" t="str">
        <f>TEXT(Tableau2[[#This Row],[Date]],"mmmm aaaa")</f>
        <v>avril 2026</v>
      </c>
    </row>
    <row r="1143" spans="1:16">
      <c r="A1143" s="2" t="s">
        <v>1230</v>
      </c>
      <c r="B1143" s="3">
        <v>46324</v>
      </c>
      <c r="C1143" s="2" t="s">
        <v>130</v>
      </c>
      <c r="D1143" s="2" t="s">
        <v>53</v>
      </c>
      <c r="E1143" s="2" t="s">
        <v>16</v>
      </c>
      <c r="F1143" s="2" t="s">
        <v>28</v>
      </c>
      <c r="G1143" s="2" t="s">
        <v>39</v>
      </c>
      <c r="H1143" s="2" t="s">
        <v>95</v>
      </c>
      <c r="I1143" s="2" t="s">
        <v>75</v>
      </c>
      <c r="J1143" s="4">
        <v>2</v>
      </c>
      <c r="K1143" s="5">
        <v>91.23</v>
      </c>
      <c r="L1143" s="6">
        <v>0</v>
      </c>
      <c r="M1143" s="5">
        <v>182.46</v>
      </c>
      <c r="P1143" t="str">
        <f>TEXT(Tableau2[[#This Row],[Date]],"mmmm aaaa")</f>
        <v>octobre 2026</v>
      </c>
    </row>
    <row r="1144" spans="1:16">
      <c r="A1144" s="2" t="s">
        <v>1231</v>
      </c>
      <c r="B1144" s="3">
        <v>46295</v>
      </c>
      <c r="C1144" s="2" t="s">
        <v>116</v>
      </c>
      <c r="D1144" s="2" t="s">
        <v>15</v>
      </c>
      <c r="E1144" s="2" t="s">
        <v>16</v>
      </c>
      <c r="F1144" s="2" t="s">
        <v>17</v>
      </c>
      <c r="G1144" s="2" t="s">
        <v>54</v>
      </c>
      <c r="H1144" s="2" t="s">
        <v>102</v>
      </c>
      <c r="I1144" s="2" t="s">
        <v>58</v>
      </c>
      <c r="J1144" s="4">
        <v>3</v>
      </c>
      <c r="K1144" s="5">
        <v>204</v>
      </c>
      <c r="L1144" s="6">
        <v>0.05</v>
      </c>
      <c r="M1144" s="5">
        <v>581.4</v>
      </c>
      <c r="P1144" t="str">
        <f>TEXT(Tableau2[[#This Row],[Date]],"mmmm aaaa")</f>
        <v>septembre 2026</v>
      </c>
    </row>
    <row r="1145" spans="1:16">
      <c r="A1145" s="2" t="s">
        <v>1232</v>
      </c>
      <c r="B1145" s="3">
        <v>46056</v>
      </c>
      <c r="C1145" s="2" t="s">
        <v>14</v>
      </c>
      <c r="D1145" s="2" t="s">
        <v>15</v>
      </c>
      <c r="E1145" s="2" t="s">
        <v>16</v>
      </c>
      <c r="F1145" s="2" t="s">
        <v>28</v>
      </c>
      <c r="G1145" s="2" t="s">
        <v>18</v>
      </c>
      <c r="H1145" s="2" t="s">
        <v>19</v>
      </c>
      <c r="I1145" s="2" t="s">
        <v>41</v>
      </c>
      <c r="J1145" s="4">
        <v>6</v>
      </c>
      <c r="K1145" s="5">
        <v>56.41</v>
      </c>
      <c r="L1145" s="6">
        <v>0.15</v>
      </c>
      <c r="M1145" s="5">
        <v>287.69</v>
      </c>
      <c r="P1145" t="str">
        <f>TEXT(Tableau2[[#This Row],[Date]],"mmmm aaaa")</f>
        <v>février 2026</v>
      </c>
    </row>
    <row r="1146" spans="1:16">
      <c r="A1146" s="2" t="s">
        <v>1233</v>
      </c>
      <c r="B1146" s="3">
        <v>46332</v>
      </c>
      <c r="C1146" s="2" t="s">
        <v>57</v>
      </c>
      <c r="D1146" s="2" t="s">
        <v>15</v>
      </c>
      <c r="E1146" s="2" t="s">
        <v>34</v>
      </c>
      <c r="F1146" s="2" t="s">
        <v>28</v>
      </c>
      <c r="G1146" s="2" t="s">
        <v>48</v>
      </c>
      <c r="H1146" s="2" t="s">
        <v>49</v>
      </c>
      <c r="I1146" s="2" t="s">
        <v>20</v>
      </c>
      <c r="J1146" s="4">
        <v>6</v>
      </c>
      <c r="K1146" s="5">
        <v>56.94</v>
      </c>
      <c r="L1146" s="6">
        <v>0</v>
      </c>
      <c r="M1146" s="5">
        <v>341.64</v>
      </c>
      <c r="P1146" t="str">
        <f>TEXT(Tableau2[[#This Row],[Date]],"mmmm aaaa")</f>
        <v>novembre 2026</v>
      </c>
    </row>
    <row r="1147" spans="1:16">
      <c r="A1147" s="2" t="s">
        <v>1234</v>
      </c>
      <c r="B1147" s="3">
        <v>46129</v>
      </c>
      <c r="C1147" s="2" t="s">
        <v>32</v>
      </c>
      <c r="D1147" s="2" t="s">
        <v>33</v>
      </c>
      <c r="E1147" s="2" t="s">
        <v>16</v>
      </c>
      <c r="F1147" s="2" t="s">
        <v>17</v>
      </c>
      <c r="G1147" s="2" t="s">
        <v>39</v>
      </c>
      <c r="H1147" s="2" t="s">
        <v>95</v>
      </c>
      <c r="I1147" s="2" t="s">
        <v>75</v>
      </c>
      <c r="J1147" s="4">
        <v>4</v>
      </c>
      <c r="K1147" s="5">
        <v>101.9</v>
      </c>
      <c r="L1147" s="6">
        <v>0</v>
      </c>
      <c r="M1147" s="5">
        <v>407.6</v>
      </c>
      <c r="P1147" t="str">
        <f>TEXT(Tableau2[[#This Row],[Date]],"mmmm aaaa")</f>
        <v>avril 2026</v>
      </c>
    </row>
    <row r="1148" spans="1:16">
      <c r="A1148" s="2" t="s">
        <v>1235</v>
      </c>
      <c r="B1148" s="3">
        <v>46344</v>
      </c>
      <c r="C1148" s="2" t="s">
        <v>57</v>
      </c>
      <c r="D1148" s="2" t="s">
        <v>15</v>
      </c>
      <c r="E1148" s="2" t="s">
        <v>34</v>
      </c>
      <c r="F1148" s="2" t="s">
        <v>17</v>
      </c>
      <c r="G1148" s="2" t="s">
        <v>48</v>
      </c>
      <c r="H1148" s="2" t="s">
        <v>88</v>
      </c>
      <c r="I1148" s="2" t="s">
        <v>50</v>
      </c>
      <c r="J1148" s="4">
        <v>5</v>
      </c>
      <c r="K1148" s="5">
        <v>74.27</v>
      </c>
      <c r="L1148" s="6">
        <v>0</v>
      </c>
      <c r="M1148" s="5">
        <v>371.35</v>
      </c>
      <c r="P1148" t="str">
        <f>TEXT(Tableau2[[#This Row],[Date]],"mmmm aaaa")</f>
        <v>novembre 2026</v>
      </c>
    </row>
    <row r="1149" spans="1:16">
      <c r="A1149" s="2" t="s">
        <v>1236</v>
      </c>
      <c r="B1149" s="3">
        <v>46114</v>
      </c>
      <c r="C1149" s="2" t="s">
        <v>116</v>
      </c>
      <c r="D1149" s="2" t="s">
        <v>15</v>
      </c>
      <c r="E1149" s="2" t="s">
        <v>43</v>
      </c>
      <c r="F1149" s="2" t="s">
        <v>17</v>
      </c>
      <c r="G1149" s="2" t="s">
        <v>48</v>
      </c>
      <c r="H1149" s="2" t="s">
        <v>84</v>
      </c>
      <c r="I1149" s="2" t="s">
        <v>41</v>
      </c>
      <c r="J1149" s="4">
        <v>5</v>
      </c>
      <c r="K1149" s="5">
        <v>91.01</v>
      </c>
      <c r="L1149" s="6">
        <v>0</v>
      </c>
      <c r="M1149" s="5">
        <v>455.05</v>
      </c>
      <c r="P1149" t="str">
        <f>TEXT(Tableau2[[#This Row],[Date]],"mmmm aaaa")</f>
        <v>avril 2026</v>
      </c>
    </row>
    <row r="1150" spans="1:16">
      <c r="A1150" s="2" t="s">
        <v>1237</v>
      </c>
      <c r="B1150" s="3">
        <v>46025</v>
      </c>
      <c r="C1150" s="2" t="s">
        <v>63</v>
      </c>
      <c r="D1150" s="2" t="s">
        <v>33</v>
      </c>
      <c r="E1150" s="2" t="s">
        <v>16</v>
      </c>
      <c r="F1150" s="2" t="s">
        <v>28</v>
      </c>
      <c r="G1150" s="2" t="s">
        <v>54</v>
      </c>
      <c r="H1150" s="2" t="s">
        <v>55</v>
      </c>
      <c r="I1150" s="2" t="s">
        <v>75</v>
      </c>
      <c r="J1150" s="4">
        <v>1</v>
      </c>
      <c r="K1150" s="5">
        <v>170.56</v>
      </c>
      <c r="L1150" s="6">
        <v>0</v>
      </c>
      <c r="M1150" s="5">
        <v>170.56</v>
      </c>
      <c r="P1150" t="str">
        <f>TEXT(Tableau2[[#This Row],[Date]],"mmmm aaaa")</f>
        <v>janvier 2026</v>
      </c>
    </row>
    <row r="1151" spans="1:16">
      <c r="A1151" s="2" t="s">
        <v>1238</v>
      </c>
      <c r="B1151" s="3">
        <v>46378</v>
      </c>
      <c r="C1151" s="2" t="s">
        <v>63</v>
      </c>
      <c r="D1151" s="2" t="s">
        <v>33</v>
      </c>
      <c r="E1151" s="2" t="s">
        <v>34</v>
      </c>
      <c r="F1151" s="2" t="s">
        <v>28</v>
      </c>
      <c r="G1151" s="2" t="s">
        <v>54</v>
      </c>
      <c r="H1151" s="2" t="s">
        <v>102</v>
      </c>
      <c r="I1151" s="2" t="s">
        <v>41</v>
      </c>
      <c r="J1151" s="4">
        <v>7</v>
      </c>
      <c r="K1151" s="5">
        <v>217.9</v>
      </c>
      <c r="L1151" s="6">
        <v>0</v>
      </c>
      <c r="M1151" s="5">
        <v>1525.3</v>
      </c>
      <c r="P1151" t="str">
        <f>TEXT(Tableau2[[#This Row],[Date]],"mmmm aaaa")</f>
        <v>décembre 2026</v>
      </c>
    </row>
    <row r="1152" spans="1:16">
      <c r="A1152" s="2" t="s">
        <v>1239</v>
      </c>
      <c r="B1152" s="3">
        <v>46343</v>
      </c>
      <c r="C1152" s="2" t="s">
        <v>119</v>
      </c>
      <c r="D1152" s="2" t="s">
        <v>15</v>
      </c>
      <c r="E1152" s="2" t="s">
        <v>16</v>
      </c>
      <c r="F1152" s="2" t="s">
        <v>17</v>
      </c>
      <c r="G1152" s="2" t="s">
        <v>54</v>
      </c>
      <c r="H1152" s="2" t="s">
        <v>102</v>
      </c>
      <c r="I1152" s="2" t="s">
        <v>58</v>
      </c>
      <c r="J1152" s="4">
        <v>1</v>
      </c>
      <c r="K1152" s="5">
        <v>230.6</v>
      </c>
      <c r="L1152" s="6">
        <v>0</v>
      </c>
      <c r="M1152" s="5">
        <v>230.6</v>
      </c>
      <c r="P1152" t="str">
        <f>TEXT(Tableau2[[#This Row],[Date]],"mmmm aaaa")</f>
        <v>novembre 2026</v>
      </c>
    </row>
    <row r="1153" spans="1:16">
      <c r="A1153" s="2" t="s">
        <v>1240</v>
      </c>
      <c r="B1153" s="3">
        <v>46317</v>
      </c>
      <c r="C1153" s="2" t="s">
        <v>160</v>
      </c>
      <c r="D1153" s="2" t="s">
        <v>33</v>
      </c>
      <c r="E1153" s="2" t="s">
        <v>16</v>
      </c>
      <c r="F1153" s="2" t="s">
        <v>17</v>
      </c>
      <c r="G1153" s="2" t="s">
        <v>48</v>
      </c>
      <c r="H1153" s="2" t="s">
        <v>77</v>
      </c>
      <c r="I1153" s="2" t="s">
        <v>58</v>
      </c>
      <c r="J1153" s="4">
        <v>1</v>
      </c>
      <c r="K1153" s="5">
        <v>79.099999999999994</v>
      </c>
      <c r="L1153" s="6">
        <v>0</v>
      </c>
      <c r="M1153" s="5">
        <v>79.099999999999994</v>
      </c>
      <c r="P1153" t="str">
        <f>TEXT(Tableau2[[#This Row],[Date]],"mmmm aaaa")</f>
        <v>octobre 2026</v>
      </c>
    </row>
    <row r="1154" spans="1:16">
      <c r="A1154" s="2" t="s">
        <v>1241</v>
      </c>
      <c r="B1154" s="3">
        <v>46332</v>
      </c>
      <c r="C1154" s="2" t="s">
        <v>169</v>
      </c>
      <c r="D1154" s="2" t="s">
        <v>33</v>
      </c>
      <c r="E1154" s="2" t="s">
        <v>16</v>
      </c>
      <c r="F1154" s="2" t="s">
        <v>17</v>
      </c>
      <c r="G1154" s="2" t="s">
        <v>48</v>
      </c>
      <c r="H1154" s="2" t="s">
        <v>88</v>
      </c>
      <c r="I1154" s="2" t="s">
        <v>75</v>
      </c>
      <c r="J1154" s="4">
        <v>1</v>
      </c>
      <c r="K1154" s="5">
        <v>78.22</v>
      </c>
      <c r="L1154" s="6">
        <v>0.1</v>
      </c>
      <c r="M1154" s="5">
        <v>70.400000000000006</v>
      </c>
      <c r="P1154" t="str">
        <f>TEXT(Tableau2[[#This Row],[Date]],"mmmm aaaa")</f>
        <v>novembre 2026</v>
      </c>
    </row>
    <row r="1155" spans="1:16">
      <c r="A1155" s="2" t="s">
        <v>1242</v>
      </c>
      <c r="B1155" s="3">
        <v>46340</v>
      </c>
      <c r="C1155" s="2" t="s">
        <v>14</v>
      </c>
      <c r="D1155" s="2" t="s">
        <v>15</v>
      </c>
      <c r="E1155" s="2" t="s">
        <v>34</v>
      </c>
      <c r="F1155" s="2" t="s">
        <v>17</v>
      </c>
      <c r="G1155" s="2" t="s">
        <v>39</v>
      </c>
      <c r="H1155" s="2" t="s">
        <v>95</v>
      </c>
      <c r="I1155" s="2" t="s">
        <v>45</v>
      </c>
      <c r="J1155" s="4">
        <v>2</v>
      </c>
      <c r="K1155" s="5">
        <v>101.31</v>
      </c>
      <c r="L1155" s="6">
        <v>0</v>
      </c>
      <c r="M1155" s="5">
        <v>202.62</v>
      </c>
      <c r="P1155" t="str">
        <f>TEXT(Tableau2[[#This Row],[Date]],"mmmm aaaa")</f>
        <v>novembre 2026</v>
      </c>
    </row>
    <row r="1156" spans="1:16">
      <c r="A1156" s="2" t="s">
        <v>1243</v>
      </c>
      <c r="B1156" s="3">
        <v>46189</v>
      </c>
      <c r="C1156" s="2" t="s">
        <v>86</v>
      </c>
      <c r="D1156" s="2" t="s">
        <v>53</v>
      </c>
      <c r="E1156" s="2" t="s">
        <v>16</v>
      </c>
      <c r="F1156" s="2" t="s">
        <v>17</v>
      </c>
      <c r="G1156" s="2" t="s">
        <v>48</v>
      </c>
      <c r="H1156" s="2" t="s">
        <v>88</v>
      </c>
      <c r="I1156" s="2" t="s">
        <v>36</v>
      </c>
      <c r="J1156" s="4">
        <v>5</v>
      </c>
      <c r="K1156" s="5">
        <v>79.08</v>
      </c>
      <c r="L1156" s="6">
        <v>0</v>
      </c>
      <c r="M1156" s="5">
        <v>395.4</v>
      </c>
      <c r="P1156" t="str">
        <f>TEXT(Tableau2[[#This Row],[Date]],"mmmm aaaa")</f>
        <v>juin 2026</v>
      </c>
    </row>
    <row r="1157" spans="1:16">
      <c r="A1157" s="2" t="s">
        <v>1244</v>
      </c>
      <c r="B1157" s="3">
        <v>46244</v>
      </c>
      <c r="C1157" s="2" t="s">
        <v>90</v>
      </c>
      <c r="D1157" s="2" t="s">
        <v>53</v>
      </c>
      <c r="E1157" s="2" t="s">
        <v>38</v>
      </c>
      <c r="F1157" s="2" t="s">
        <v>28</v>
      </c>
      <c r="G1157" s="2" t="s">
        <v>29</v>
      </c>
      <c r="H1157" s="2" t="s">
        <v>30</v>
      </c>
      <c r="I1157" s="2" t="s">
        <v>58</v>
      </c>
      <c r="J1157" s="4">
        <v>14</v>
      </c>
      <c r="K1157" s="5">
        <v>24.85</v>
      </c>
      <c r="L1157" s="6">
        <v>0.2</v>
      </c>
      <c r="M1157" s="5">
        <v>278.32</v>
      </c>
      <c r="P1157" t="str">
        <f>TEXT(Tableau2[[#This Row],[Date]],"mmmm aaaa")</f>
        <v>août 2026</v>
      </c>
    </row>
    <row r="1158" spans="1:16">
      <c r="A1158" s="2" t="s">
        <v>1245</v>
      </c>
      <c r="B1158" s="3">
        <v>46271</v>
      </c>
      <c r="C1158" s="2" t="s">
        <v>94</v>
      </c>
      <c r="D1158" s="2" t="s">
        <v>15</v>
      </c>
      <c r="E1158" s="2" t="s">
        <v>16</v>
      </c>
      <c r="F1158" s="2" t="s">
        <v>28</v>
      </c>
      <c r="G1158" s="2" t="s">
        <v>24</v>
      </c>
      <c r="H1158" s="2" t="s">
        <v>35</v>
      </c>
      <c r="I1158" s="2" t="s">
        <v>20</v>
      </c>
      <c r="J1158" s="4">
        <v>4</v>
      </c>
      <c r="K1158" s="5">
        <v>162.74</v>
      </c>
      <c r="L1158" s="6">
        <v>0.15</v>
      </c>
      <c r="M1158" s="5">
        <v>553.32000000000005</v>
      </c>
      <c r="P1158" t="str">
        <f>TEXT(Tableau2[[#This Row],[Date]],"mmmm aaaa")</f>
        <v>septembre 2026</v>
      </c>
    </row>
    <row r="1159" spans="1:16">
      <c r="A1159" s="2" t="s">
        <v>1246</v>
      </c>
      <c r="B1159" s="3">
        <v>46297</v>
      </c>
      <c r="C1159" s="2" t="s">
        <v>66</v>
      </c>
      <c r="D1159" s="2" t="s">
        <v>23</v>
      </c>
      <c r="E1159" s="2" t="s">
        <v>38</v>
      </c>
      <c r="F1159" s="2" t="s">
        <v>17</v>
      </c>
      <c r="G1159" s="2" t="s">
        <v>39</v>
      </c>
      <c r="H1159" s="2" t="s">
        <v>95</v>
      </c>
      <c r="I1159" s="2" t="s">
        <v>36</v>
      </c>
      <c r="J1159" s="4">
        <v>8</v>
      </c>
      <c r="K1159" s="5">
        <v>93.26</v>
      </c>
      <c r="L1159" s="6">
        <v>0.1</v>
      </c>
      <c r="M1159" s="5">
        <v>671.47</v>
      </c>
      <c r="P1159" t="str">
        <f>TEXT(Tableau2[[#This Row],[Date]],"mmmm aaaa")</f>
        <v>octobre 2026</v>
      </c>
    </row>
    <row r="1160" spans="1:16">
      <c r="A1160" s="2" t="s">
        <v>1247</v>
      </c>
      <c r="B1160" s="3">
        <v>46074</v>
      </c>
      <c r="C1160" s="2" t="s">
        <v>63</v>
      </c>
      <c r="D1160" s="2" t="s">
        <v>33</v>
      </c>
      <c r="E1160" s="2" t="s">
        <v>38</v>
      </c>
      <c r="F1160" s="2" t="s">
        <v>17</v>
      </c>
      <c r="G1160" s="2" t="s">
        <v>24</v>
      </c>
      <c r="H1160" s="2" t="s">
        <v>35</v>
      </c>
      <c r="I1160" s="2" t="s">
        <v>36</v>
      </c>
      <c r="J1160" s="4">
        <v>4</v>
      </c>
      <c r="K1160" s="5">
        <v>155.9</v>
      </c>
      <c r="L1160" s="6">
        <v>0</v>
      </c>
      <c r="M1160" s="5">
        <v>623.6</v>
      </c>
      <c r="P1160" t="str">
        <f>TEXT(Tableau2[[#This Row],[Date]],"mmmm aaaa")</f>
        <v>février 2026</v>
      </c>
    </row>
    <row r="1161" spans="1:16">
      <c r="A1161" s="2" t="s">
        <v>1248</v>
      </c>
      <c r="B1161" s="3">
        <v>46256</v>
      </c>
      <c r="C1161" s="2" t="s">
        <v>164</v>
      </c>
      <c r="D1161" s="2" t="s">
        <v>53</v>
      </c>
      <c r="E1161" s="2" t="s">
        <v>16</v>
      </c>
      <c r="F1161" s="2" t="s">
        <v>17</v>
      </c>
      <c r="G1161" s="2" t="s">
        <v>29</v>
      </c>
      <c r="H1161" s="2" t="s">
        <v>44</v>
      </c>
      <c r="I1161" s="2" t="s">
        <v>26</v>
      </c>
      <c r="J1161" s="4">
        <v>8</v>
      </c>
      <c r="K1161" s="5">
        <v>36.799999999999997</v>
      </c>
      <c r="L1161" s="6">
        <v>0</v>
      </c>
      <c r="M1161" s="5">
        <v>294.39999999999998</v>
      </c>
      <c r="P1161" t="str">
        <f>TEXT(Tableau2[[#This Row],[Date]],"mmmm aaaa")</f>
        <v>août 2026</v>
      </c>
    </row>
    <row r="1162" spans="1:16">
      <c r="A1162" s="2" t="s">
        <v>1249</v>
      </c>
      <c r="B1162" s="3">
        <v>46117</v>
      </c>
      <c r="C1162" s="2" t="s">
        <v>134</v>
      </c>
      <c r="D1162" s="2" t="s">
        <v>15</v>
      </c>
      <c r="E1162" s="2" t="s">
        <v>16</v>
      </c>
      <c r="F1162" s="2" t="s">
        <v>28</v>
      </c>
      <c r="G1162" s="2" t="s">
        <v>54</v>
      </c>
      <c r="H1162" s="2" t="s">
        <v>55</v>
      </c>
      <c r="I1162" s="2" t="s">
        <v>20</v>
      </c>
      <c r="J1162" s="4">
        <v>3</v>
      </c>
      <c r="K1162" s="5">
        <v>169.57</v>
      </c>
      <c r="L1162" s="6">
        <v>0</v>
      </c>
      <c r="M1162" s="5">
        <v>508.71</v>
      </c>
      <c r="P1162" t="str">
        <f>TEXT(Tableau2[[#This Row],[Date]],"mmmm aaaa")</f>
        <v>avril 2026</v>
      </c>
    </row>
    <row r="1163" spans="1:16">
      <c r="A1163" s="2" t="s">
        <v>1250</v>
      </c>
      <c r="B1163" s="3">
        <v>46317</v>
      </c>
      <c r="C1163" s="2" t="s">
        <v>63</v>
      </c>
      <c r="D1163" s="2" t="s">
        <v>33</v>
      </c>
      <c r="E1163" s="2" t="s">
        <v>43</v>
      </c>
      <c r="F1163" s="2" t="s">
        <v>17</v>
      </c>
      <c r="G1163" s="2" t="s">
        <v>48</v>
      </c>
      <c r="H1163" s="2" t="s">
        <v>84</v>
      </c>
      <c r="I1163" s="2" t="s">
        <v>26</v>
      </c>
      <c r="J1163" s="4">
        <v>4</v>
      </c>
      <c r="K1163" s="5">
        <v>93.1</v>
      </c>
      <c r="L1163" s="6">
        <v>0</v>
      </c>
      <c r="M1163" s="5">
        <v>372.4</v>
      </c>
      <c r="P1163" t="str">
        <f>TEXT(Tableau2[[#This Row],[Date]],"mmmm aaaa")</f>
        <v>octobre 2026</v>
      </c>
    </row>
    <row r="1164" spans="1:16">
      <c r="A1164" s="2" t="s">
        <v>1251</v>
      </c>
      <c r="B1164" s="3">
        <v>46226</v>
      </c>
      <c r="C1164" s="2" t="s">
        <v>79</v>
      </c>
      <c r="D1164" s="2" t="s">
        <v>33</v>
      </c>
      <c r="E1164" s="2" t="s">
        <v>34</v>
      </c>
      <c r="F1164" s="2" t="s">
        <v>17</v>
      </c>
      <c r="G1164" s="2" t="s">
        <v>18</v>
      </c>
      <c r="H1164" s="2" t="s">
        <v>136</v>
      </c>
      <c r="I1164" s="2" t="s">
        <v>41</v>
      </c>
      <c r="J1164" s="4">
        <v>1</v>
      </c>
      <c r="K1164" s="5">
        <v>32.56</v>
      </c>
      <c r="L1164" s="6">
        <v>0.05</v>
      </c>
      <c r="M1164" s="5">
        <v>30.93</v>
      </c>
      <c r="P1164" t="str">
        <f>TEXT(Tableau2[[#This Row],[Date]],"mmmm aaaa")</f>
        <v>juillet 2026</v>
      </c>
    </row>
    <row r="1165" spans="1:16">
      <c r="A1165" s="2" t="s">
        <v>1252</v>
      </c>
      <c r="B1165" s="3">
        <v>46361</v>
      </c>
      <c r="C1165" s="2" t="s">
        <v>123</v>
      </c>
      <c r="D1165" s="2" t="s">
        <v>53</v>
      </c>
      <c r="E1165" s="2" t="s">
        <v>16</v>
      </c>
      <c r="F1165" s="2" t="s">
        <v>17</v>
      </c>
      <c r="G1165" s="2" t="s">
        <v>18</v>
      </c>
      <c r="H1165" s="2" t="s">
        <v>158</v>
      </c>
      <c r="I1165" s="2" t="s">
        <v>45</v>
      </c>
      <c r="J1165" s="4">
        <v>5</v>
      </c>
      <c r="K1165" s="5">
        <v>49.2</v>
      </c>
      <c r="L1165" s="6">
        <v>0</v>
      </c>
      <c r="M1165" s="5">
        <v>246</v>
      </c>
      <c r="P1165" t="str">
        <f>TEXT(Tableau2[[#This Row],[Date]],"mmmm aaaa")</f>
        <v>décembre 2026</v>
      </c>
    </row>
    <row r="1166" spans="1:16">
      <c r="A1166" s="2" t="s">
        <v>1253</v>
      </c>
      <c r="B1166" s="3">
        <v>46289</v>
      </c>
      <c r="C1166" s="2" t="s">
        <v>14</v>
      </c>
      <c r="D1166" s="2" t="s">
        <v>15</v>
      </c>
      <c r="E1166" s="2" t="s">
        <v>34</v>
      </c>
      <c r="F1166" s="2" t="s">
        <v>17</v>
      </c>
      <c r="G1166" s="2" t="s">
        <v>54</v>
      </c>
      <c r="H1166" s="2" t="s">
        <v>55</v>
      </c>
      <c r="I1166" s="2" t="s">
        <v>50</v>
      </c>
      <c r="J1166" s="4">
        <v>4</v>
      </c>
      <c r="K1166" s="5">
        <v>158.52000000000001</v>
      </c>
      <c r="L1166" s="6">
        <v>0.1</v>
      </c>
      <c r="M1166" s="5">
        <v>570.66999999999996</v>
      </c>
      <c r="P1166" t="str">
        <f>TEXT(Tableau2[[#This Row],[Date]],"mmmm aaaa")</f>
        <v>septembre 2026</v>
      </c>
    </row>
    <row r="1167" spans="1:16">
      <c r="A1167" s="2" t="s">
        <v>1254</v>
      </c>
      <c r="B1167" s="3">
        <v>46308</v>
      </c>
      <c r="C1167" s="2" t="s">
        <v>22</v>
      </c>
      <c r="D1167" s="2" t="s">
        <v>23</v>
      </c>
      <c r="E1167" s="2" t="s">
        <v>16</v>
      </c>
      <c r="F1167" s="2" t="s">
        <v>28</v>
      </c>
      <c r="G1167" s="2" t="s">
        <v>18</v>
      </c>
      <c r="H1167" s="2" t="s">
        <v>136</v>
      </c>
      <c r="I1167" s="2" t="s">
        <v>45</v>
      </c>
      <c r="J1167" s="4">
        <v>1</v>
      </c>
      <c r="K1167" s="5">
        <v>29.89</v>
      </c>
      <c r="L1167" s="6">
        <v>0.15</v>
      </c>
      <c r="M1167" s="5">
        <v>25.41</v>
      </c>
      <c r="P1167" t="str">
        <f>TEXT(Tableau2[[#This Row],[Date]],"mmmm aaaa")</f>
        <v>octobre 2026</v>
      </c>
    </row>
    <row r="1168" spans="1:16">
      <c r="A1168" s="2" t="s">
        <v>1255</v>
      </c>
      <c r="B1168" s="3">
        <v>46303</v>
      </c>
      <c r="C1168" s="2" t="s">
        <v>57</v>
      </c>
      <c r="D1168" s="2" t="s">
        <v>15</v>
      </c>
      <c r="E1168" s="2" t="s">
        <v>34</v>
      </c>
      <c r="F1168" s="2" t="s">
        <v>28</v>
      </c>
      <c r="G1168" s="2" t="s">
        <v>18</v>
      </c>
      <c r="H1168" s="2" t="s">
        <v>158</v>
      </c>
      <c r="I1168" s="2" t="s">
        <v>20</v>
      </c>
      <c r="J1168" s="4">
        <v>6</v>
      </c>
      <c r="K1168" s="5">
        <v>45.19</v>
      </c>
      <c r="L1168" s="6">
        <v>0</v>
      </c>
      <c r="M1168" s="5">
        <v>271.14</v>
      </c>
      <c r="P1168" t="str">
        <f>TEXT(Tableau2[[#This Row],[Date]],"mmmm aaaa")</f>
        <v>octobre 2026</v>
      </c>
    </row>
    <row r="1169" spans="1:16">
      <c r="A1169" s="2" t="s">
        <v>1256</v>
      </c>
      <c r="B1169" s="3">
        <v>46252</v>
      </c>
      <c r="C1169" s="2" t="s">
        <v>160</v>
      </c>
      <c r="D1169" s="2" t="s">
        <v>33</v>
      </c>
      <c r="E1169" s="2" t="s">
        <v>34</v>
      </c>
      <c r="F1169" s="2" t="s">
        <v>17</v>
      </c>
      <c r="G1169" s="2" t="s">
        <v>18</v>
      </c>
      <c r="H1169" s="2" t="s">
        <v>143</v>
      </c>
      <c r="I1169" s="2" t="s">
        <v>26</v>
      </c>
      <c r="J1169" s="4">
        <v>3</v>
      </c>
      <c r="K1169" s="5">
        <v>66.489999999999995</v>
      </c>
      <c r="L1169" s="6">
        <v>0.05</v>
      </c>
      <c r="M1169" s="5">
        <v>189.5</v>
      </c>
      <c r="P1169" t="str">
        <f>TEXT(Tableau2[[#This Row],[Date]],"mmmm aaaa")</f>
        <v>août 2026</v>
      </c>
    </row>
    <row r="1170" spans="1:16">
      <c r="A1170" s="2" t="s">
        <v>1257</v>
      </c>
      <c r="B1170" s="3">
        <v>46116</v>
      </c>
      <c r="C1170" s="2" t="s">
        <v>156</v>
      </c>
      <c r="D1170" s="2" t="s">
        <v>15</v>
      </c>
      <c r="E1170" s="2" t="s">
        <v>34</v>
      </c>
      <c r="F1170" s="2" t="s">
        <v>28</v>
      </c>
      <c r="G1170" s="2" t="s">
        <v>18</v>
      </c>
      <c r="H1170" s="2" t="s">
        <v>143</v>
      </c>
      <c r="I1170" s="2" t="s">
        <v>36</v>
      </c>
      <c r="J1170" s="4">
        <v>6</v>
      </c>
      <c r="K1170" s="5">
        <v>72.22</v>
      </c>
      <c r="L1170" s="6">
        <v>0</v>
      </c>
      <c r="M1170" s="5">
        <v>433.32</v>
      </c>
      <c r="P1170" t="str">
        <f>TEXT(Tableau2[[#This Row],[Date]],"mmmm aaaa")</f>
        <v>avril 2026</v>
      </c>
    </row>
    <row r="1171" spans="1:16">
      <c r="A1171" s="2" t="s">
        <v>1258</v>
      </c>
      <c r="B1171" s="3">
        <v>46181</v>
      </c>
      <c r="C1171" s="2" t="s">
        <v>130</v>
      </c>
      <c r="D1171" s="2" t="s">
        <v>53</v>
      </c>
      <c r="E1171" s="2" t="s">
        <v>16</v>
      </c>
      <c r="F1171" s="2" t="s">
        <v>17</v>
      </c>
      <c r="G1171" s="2" t="s">
        <v>54</v>
      </c>
      <c r="H1171" s="2" t="s">
        <v>102</v>
      </c>
      <c r="I1171" s="2" t="s">
        <v>45</v>
      </c>
      <c r="J1171" s="4">
        <v>5</v>
      </c>
      <c r="K1171" s="5">
        <v>229.87</v>
      </c>
      <c r="L1171" s="6">
        <v>0.1</v>
      </c>
      <c r="M1171" s="5">
        <v>1034.4100000000001</v>
      </c>
      <c r="P1171" t="str">
        <f>TEXT(Tableau2[[#This Row],[Date]],"mmmm aaaa")</f>
        <v>juin 2026</v>
      </c>
    </row>
    <row r="1172" spans="1:16">
      <c r="A1172" s="2" t="s">
        <v>1259</v>
      </c>
      <c r="B1172" s="3">
        <v>46234</v>
      </c>
      <c r="C1172" s="2" t="s">
        <v>125</v>
      </c>
      <c r="D1172" s="2" t="s">
        <v>23</v>
      </c>
      <c r="E1172" s="2" t="s">
        <v>16</v>
      </c>
      <c r="F1172" s="2" t="s">
        <v>17</v>
      </c>
      <c r="G1172" s="2" t="s">
        <v>24</v>
      </c>
      <c r="H1172" s="2" t="s">
        <v>25</v>
      </c>
      <c r="I1172" s="2" t="s">
        <v>45</v>
      </c>
      <c r="J1172" s="4">
        <v>7</v>
      </c>
      <c r="K1172" s="5">
        <v>122.73</v>
      </c>
      <c r="L1172" s="6">
        <v>0</v>
      </c>
      <c r="M1172" s="5">
        <v>859.11</v>
      </c>
      <c r="P1172" t="str">
        <f>TEXT(Tableau2[[#This Row],[Date]],"mmmm aaaa")</f>
        <v>juillet 2026</v>
      </c>
    </row>
    <row r="1173" spans="1:16">
      <c r="A1173" s="2" t="s">
        <v>1260</v>
      </c>
      <c r="B1173" s="3">
        <v>46357</v>
      </c>
      <c r="C1173" s="2" t="s">
        <v>130</v>
      </c>
      <c r="D1173" s="2" t="s">
        <v>53</v>
      </c>
      <c r="E1173" s="2" t="s">
        <v>16</v>
      </c>
      <c r="F1173" s="2" t="s">
        <v>28</v>
      </c>
      <c r="G1173" s="2" t="s">
        <v>39</v>
      </c>
      <c r="H1173" s="2" t="s">
        <v>40</v>
      </c>
      <c r="I1173" s="2" t="s">
        <v>20</v>
      </c>
      <c r="J1173" s="4">
        <v>5</v>
      </c>
      <c r="K1173" s="5">
        <v>126.49</v>
      </c>
      <c r="L1173" s="6">
        <v>0.15</v>
      </c>
      <c r="M1173" s="5">
        <v>537.58000000000004</v>
      </c>
      <c r="P1173" t="str">
        <f>TEXT(Tableau2[[#This Row],[Date]],"mmmm aaaa")</f>
        <v>décembre 2026</v>
      </c>
    </row>
    <row r="1174" spans="1:16">
      <c r="A1174" s="2" t="s">
        <v>1261</v>
      </c>
      <c r="B1174" s="3">
        <v>46342</v>
      </c>
      <c r="C1174" s="2" t="s">
        <v>160</v>
      </c>
      <c r="D1174" s="2" t="s">
        <v>33</v>
      </c>
      <c r="E1174" s="2" t="s">
        <v>16</v>
      </c>
      <c r="F1174" s="2" t="s">
        <v>17</v>
      </c>
      <c r="G1174" s="2" t="s">
        <v>18</v>
      </c>
      <c r="H1174" s="2" t="s">
        <v>136</v>
      </c>
      <c r="I1174" s="2" t="s">
        <v>20</v>
      </c>
      <c r="J1174" s="4">
        <v>4</v>
      </c>
      <c r="K1174" s="5">
        <v>30.31</v>
      </c>
      <c r="L1174" s="6">
        <v>0</v>
      </c>
      <c r="M1174" s="5">
        <v>121.24</v>
      </c>
      <c r="P1174" t="str">
        <f>TEXT(Tableau2[[#This Row],[Date]],"mmmm aaaa")</f>
        <v>novembre 2026</v>
      </c>
    </row>
    <row r="1175" spans="1:16">
      <c r="A1175" s="2" t="s">
        <v>1262</v>
      </c>
      <c r="B1175" s="3">
        <v>46177</v>
      </c>
      <c r="C1175" s="2" t="s">
        <v>178</v>
      </c>
      <c r="D1175" s="2" t="s">
        <v>15</v>
      </c>
      <c r="E1175" s="2" t="s">
        <v>34</v>
      </c>
      <c r="F1175" s="2" t="s">
        <v>17</v>
      </c>
      <c r="G1175" s="2" t="s">
        <v>48</v>
      </c>
      <c r="H1175" s="2" t="s">
        <v>49</v>
      </c>
      <c r="I1175" s="2" t="s">
        <v>58</v>
      </c>
      <c r="J1175" s="4">
        <v>4</v>
      </c>
      <c r="K1175" s="5">
        <v>56.91</v>
      </c>
      <c r="L1175" s="6">
        <v>0.3</v>
      </c>
      <c r="M1175" s="5">
        <v>159.35</v>
      </c>
      <c r="P1175" t="str">
        <f>TEXT(Tableau2[[#This Row],[Date]],"mmmm aaaa")</f>
        <v>juin 2026</v>
      </c>
    </row>
    <row r="1176" spans="1:16">
      <c r="A1176" s="2" t="s">
        <v>1263</v>
      </c>
      <c r="B1176" s="3">
        <v>46163</v>
      </c>
      <c r="C1176" s="2" t="s">
        <v>119</v>
      </c>
      <c r="D1176" s="2" t="s">
        <v>15</v>
      </c>
      <c r="E1176" s="2" t="s">
        <v>43</v>
      </c>
      <c r="F1176" s="2" t="s">
        <v>28</v>
      </c>
      <c r="G1176" s="2" t="s">
        <v>18</v>
      </c>
      <c r="H1176" s="2" t="s">
        <v>143</v>
      </c>
      <c r="I1176" s="2" t="s">
        <v>41</v>
      </c>
      <c r="J1176" s="4">
        <v>3</v>
      </c>
      <c r="K1176" s="5">
        <v>64.22</v>
      </c>
      <c r="L1176" s="6">
        <v>0</v>
      </c>
      <c r="M1176" s="5">
        <v>192.66</v>
      </c>
      <c r="P1176" t="str">
        <f>TEXT(Tableau2[[#This Row],[Date]],"mmmm aaaa")</f>
        <v>mai 2026</v>
      </c>
    </row>
    <row r="1177" spans="1:16">
      <c r="A1177" s="2" t="s">
        <v>1264</v>
      </c>
      <c r="B1177" s="3">
        <v>46335</v>
      </c>
      <c r="C1177" s="2" t="s">
        <v>57</v>
      </c>
      <c r="D1177" s="2" t="s">
        <v>15</v>
      </c>
      <c r="E1177" s="2" t="s">
        <v>16</v>
      </c>
      <c r="F1177" s="2" t="s">
        <v>17</v>
      </c>
      <c r="G1177" s="2" t="s">
        <v>24</v>
      </c>
      <c r="H1177" s="2" t="s">
        <v>82</v>
      </c>
      <c r="I1177" s="2" t="s">
        <v>50</v>
      </c>
      <c r="J1177" s="4">
        <v>6</v>
      </c>
      <c r="K1177" s="5">
        <v>288.83999999999997</v>
      </c>
      <c r="L1177" s="6">
        <v>0</v>
      </c>
      <c r="M1177" s="5">
        <v>1733.04</v>
      </c>
      <c r="P1177" t="str">
        <f>TEXT(Tableau2[[#This Row],[Date]],"mmmm aaaa")</f>
        <v>novembre 2026</v>
      </c>
    </row>
    <row r="1178" spans="1:16">
      <c r="A1178" s="2" t="s">
        <v>1265</v>
      </c>
      <c r="B1178" s="3">
        <v>46162</v>
      </c>
      <c r="C1178" s="2" t="s">
        <v>125</v>
      </c>
      <c r="D1178" s="2" t="s">
        <v>23</v>
      </c>
      <c r="E1178" s="2" t="s">
        <v>34</v>
      </c>
      <c r="F1178" s="2" t="s">
        <v>28</v>
      </c>
      <c r="G1178" s="2" t="s">
        <v>29</v>
      </c>
      <c r="H1178" s="2" t="s">
        <v>99</v>
      </c>
      <c r="I1178" s="2" t="s">
        <v>41</v>
      </c>
      <c r="J1178" s="4">
        <v>3</v>
      </c>
      <c r="K1178" s="5">
        <v>64.88</v>
      </c>
      <c r="L1178" s="6">
        <v>0.3</v>
      </c>
      <c r="M1178" s="5">
        <v>136.25</v>
      </c>
      <c r="P1178" t="str">
        <f>TEXT(Tableau2[[#This Row],[Date]],"mmmm aaaa")</f>
        <v>mai 2026</v>
      </c>
    </row>
    <row r="1179" spans="1:16">
      <c r="A1179" s="2" t="s">
        <v>1266</v>
      </c>
      <c r="B1179" s="3">
        <v>46319</v>
      </c>
      <c r="C1179" s="2" t="s">
        <v>32</v>
      </c>
      <c r="D1179" s="2" t="s">
        <v>33</v>
      </c>
      <c r="E1179" s="2" t="s">
        <v>16</v>
      </c>
      <c r="F1179" s="2" t="s">
        <v>17</v>
      </c>
      <c r="G1179" s="2" t="s">
        <v>18</v>
      </c>
      <c r="H1179" s="2" t="s">
        <v>143</v>
      </c>
      <c r="I1179" s="2" t="s">
        <v>75</v>
      </c>
      <c r="J1179" s="4">
        <v>2</v>
      </c>
      <c r="K1179" s="5">
        <v>68.47</v>
      </c>
      <c r="L1179" s="6">
        <v>0</v>
      </c>
      <c r="M1179" s="5">
        <v>136.94</v>
      </c>
      <c r="P1179" t="str">
        <f>TEXT(Tableau2[[#This Row],[Date]],"mmmm aaaa")</f>
        <v>octobre 2026</v>
      </c>
    </row>
    <row r="1180" spans="1:16">
      <c r="A1180" s="2" t="s">
        <v>1267</v>
      </c>
      <c r="B1180" s="3">
        <v>46106</v>
      </c>
      <c r="C1180" s="2" t="s">
        <v>106</v>
      </c>
      <c r="D1180" s="2" t="s">
        <v>23</v>
      </c>
      <c r="E1180" s="2" t="s">
        <v>34</v>
      </c>
      <c r="F1180" s="2" t="s">
        <v>28</v>
      </c>
      <c r="G1180" s="2" t="s">
        <v>18</v>
      </c>
      <c r="H1180" s="2" t="s">
        <v>19</v>
      </c>
      <c r="I1180" s="2" t="s">
        <v>26</v>
      </c>
      <c r="J1180" s="4">
        <v>2</v>
      </c>
      <c r="K1180" s="5">
        <v>54.17</v>
      </c>
      <c r="L1180" s="6">
        <v>0.15</v>
      </c>
      <c r="M1180" s="5">
        <v>92.09</v>
      </c>
      <c r="P1180" t="str">
        <f>TEXT(Tableau2[[#This Row],[Date]],"mmmm aaaa")</f>
        <v>mars 2026</v>
      </c>
    </row>
    <row r="1181" spans="1:16">
      <c r="A1181" s="2" t="s">
        <v>1268</v>
      </c>
      <c r="B1181" s="3">
        <v>46065</v>
      </c>
      <c r="C1181" s="2" t="s">
        <v>63</v>
      </c>
      <c r="D1181" s="2" t="s">
        <v>33</v>
      </c>
      <c r="E1181" s="2" t="s">
        <v>38</v>
      </c>
      <c r="F1181" s="2" t="s">
        <v>17</v>
      </c>
      <c r="G1181" s="2" t="s">
        <v>24</v>
      </c>
      <c r="H1181" s="2" t="s">
        <v>25</v>
      </c>
      <c r="I1181" s="2" t="s">
        <v>50</v>
      </c>
      <c r="J1181" s="4">
        <v>1</v>
      </c>
      <c r="K1181" s="5">
        <v>121.19</v>
      </c>
      <c r="L1181" s="6">
        <v>0</v>
      </c>
      <c r="M1181" s="5">
        <v>121.19</v>
      </c>
      <c r="P1181" t="str">
        <f>TEXT(Tableau2[[#This Row],[Date]],"mmmm aaaa")</f>
        <v>février 2026</v>
      </c>
    </row>
    <row r="1182" spans="1:16">
      <c r="A1182" s="2" t="s">
        <v>1269</v>
      </c>
      <c r="B1182" s="3">
        <v>46274</v>
      </c>
      <c r="C1182" s="2" t="s">
        <v>160</v>
      </c>
      <c r="D1182" s="2" t="s">
        <v>33</v>
      </c>
      <c r="E1182" s="2" t="s">
        <v>16</v>
      </c>
      <c r="F1182" s="2" t="s">
        <v>17</v>
      </c>
      <c r="G1182" s="2" t="s">
        <v>29</v>
      </c>
      <c r="H1182" s="2" t="s">
        <v>140</v>
      </c>
      <c r="I1182" s="2" t="s">
        <v>36</v>
      </c>
      <c r="J1182" s="4">
        <v>5</v>
      </c>
      <c r="K1182" s="5">
        <v>45.48</v>
      </c>
      <c r="L1182" s="6">
        <v>0.05</v>
      </c>
      <c r="M1182" s="5">
        <v>216.03</v>
      </c>
      <c r="P1182" t="str">
        <f>TEXT(Tableau2[[#This Row],[Date]],"mmmm aaaa")</f>
        <v>septembre 2026</v>
      </c>
    </row>
    <row r="1183" spans="1:16">
      <c r="A1183" s="2" t="s">
        <v>1270</v>
      </c>
      <c r="B1183" s="3">
        <v>46257</v>
      </c>
      <c r="C1183" s="2" t="s">
        <v>164</v>
      </c>
      <c r="D1183" s="2" t="s">
        <v>53</v>
      </c>
      <c r="E1183" s="2" t="s">
        <v>34</v>
      </c>
      <c r="F1183" s="2" t="s">
        <v>17</v>
      </c>
      <c r="G1183" s="2" t="s">
        <v>39</v>
      </c>
      <c r="H1183" s="2" t="s">
        <v>95</v>
      </c>
      <c r="I1183" s="2" t="s">
        <v>50</v>
      </c>
      <c r="J1183" s="4">
        <v>10</v>
      </c>
      <c r="K1183" s="5">
        <v>91.83</v>
      </c>
      <c r="L1183" s="6">
        <v>0</v>
      </c>
      <c r="M1183" s="5">
        <v>918.3</v>
      </c>
      <c r="P1183" t="str">
        <f>TEXT(Tableau2[[#This Row],[Date]],"mmmm aaaa")</f>
        <v>août 2026</v>
      </c>
    </row>
    <row r="1184" spans="1:16">
      <c r="A1184" s="2" t="s">
        <v>1271</v>
      </c>
      <c r="B1184" s="3">
        <v>46311</v>
      </c>
      <c r="C1184" s="2" t="s">
        <v>66</v>
      </c>
      <c r="D1184" s="2" t="s">
        <v>23</v>
      </c>
      <c r="E1184" s="2" t="s">
        <v>16</v>
      </c>
      <c r="F1184" s="2" t="s">
        <v>17</v>
      </c>
      <c r="G1184" s="2" t="s">
        <v>48</v>
      </c>
      <c r="H1184" s="2" t="s">
        <v>88</v>
      </c>
      <c r="I1184" s="2" t="s">
        <v>20</v>
      </c>
      <c r="J1184" s="4">
        <v>6</v>
      </c>
      <c r="K1184" s="5">
        <v>77.180000000000007</v>
      </c>
      <c r="L1184" s="6">
        <v>0</v>
      </c>
      <c r="M1184" s="5">
        <v>463.08</v>
      </c>
      <c r="P1184" t="str">
        <f>TEXT(Tableau2[[#This Row],[Date]],"mmmm aaaa")</f>
        <v>octobre 2026</v>
      </c>
    </row>
    <row r="1185" spans="1:16">
      <c r="A1185" s="2" t="s">
        <v>1272</v>
      </c>
      <c r="B1185" s="3">
        <v>46361</v>
      </c>
      <c r="C1185" s="2" t="s">
        <v>125</v>
      </c>
      <c r="D1185" s="2" t="s">
        <v>23</v>
      </c>
      <c r="E1185" s="2" t="s">
        <v>43</v>
      </c>
      <c r="F1185" s="2" t="s">
        <v>17</v>
      </c>
      <c r="G1185" s="2" t="s">
        <v>24</v>
      </c>
      <c r="H1185" s="2" t="s">
        <v>35</v>
      </c>
      <c r="I1185" s="2" t="s">
        <v>26</v>
      </c>
      <c r="J1185" s="4">
        <v>1</v>
      </c>
      <c r="K1185" s="5">
        <v>164.79</v>
      </c>
      <c r="L1185" s="6">
        <v>0.15</v>
      </c>
      <c r="M1185" s="5">
        <v>140.07</v>
      </c>
      <c r="P1185" t="str">
        <f>TEXT(Tableau2[[#This Row],[Date]],"mmmm aaaa")</f>
        <v>décembre 2026</v>
      </c>
    </row>
    <row r="1186" spans="1:16">
      <c r="A1186" s="2" t="s">
        <v>1273</v>
      </c>
      <c r="B1186" s="3">
        <v>46239</v>
      </c>
      <c r="C1186" s="2" t="s">
        <v>119</v>
      </c>
      <c r="D1186" s="2" t="s">
        <v>15</v>
      </c>
      <c r="E1186" s="2" t="s">
        <v>43</v>
      </c>
      <c r="F1186" s="2" t="s">
        <v>28</v>
      </c>
      <c r="G1186" s="2" t="s">
        <v>29</v>
      </c>
      <c r="H1186" s="2" t="s">
        <v>140</v>
      </c>
      <c r="I1186" s="2" t="s">
        <v>45</v>
      </c>
      <c r="J1186" s="4">
        <v>1</v>
      </c>
      <c r="K1186" s="5">
        <v>47.55</v>
      </c>
      <c r="L1186" s="6">
        <v>0.05</v>
      </c>
      <c r="M1186" s="5">
        <v>45.17</v>
      </c>
      <c r="P1186" t="str">
        <f>TEXT(Tableau2[[#This Row],[Date]],"mmmm aaaa")</f>
        <v>août 2026</v>
      </c>
    </row>
    <row r="1187" spans="1:16">
      <c r="A1187" s="2" t="s">
        <v>1274</v>
      </c>
      <c r="B1187" s="3">
        <v>46211</v>
      </c>
      <c r="C1187" s="2" t="s">
        <v>169</v>
      </c>
      <c r="D1187" s="2" t="s">
        <v>33</v>
      </c>
      <c r="E1187" s="2" t="s">
        <v>38</v>
      </c>
      <c r="F1187" s="2" t="s">
        <v>17</v>
      </c>
      <c r="G1187" s="2" t="s">
        <v>48</v>
      </c>
      <c r="H1187" s="2" t="s">
        <v>77</v>
      </c>
      <c r="I1187" s="2" t="s">
        <v>41</v>
      </c>
      <c r="J1187" s="4">
        <v>1</v>
      </c>
      <c r="K1187" s="5">
        <v>89.37</v>
      </c>
      <c r="L1187" s="6">
        <v>0</v>
      </c>
      <c r="M1187" s="5">
        <v>89.37</v>
      </c>
      <c r="P1187" t="str">
        <f>TEXT(Tableau2[[#This Row],[Date]],"mmmm aaaa")</f>
        <v>juillet 2026</v>
      </c>
    </row>
    <row r="1188" spans="1:16">
      <c r="A1188" s="2" t="s">
        <v>1275</v>
      </c>
      <c r="B1188" s="3">
        <v>46055</v>
      </c>
      <c r="C1188" s="2" t="s">
        <v>90</v>
      </c>
      <c r="D1188" s="2" t="s">
        <v>53</v>
      </c>
      <c r="E1188" s="2" t="s">
        <v>16</v>
      </c>
      <c r="F1188" s="2" t="s">
        <v>17</v>
      </c>
      <c r="G1188" s="2" t="s">
        <v>54</v>
      </c>
      <c r="H1188" s="2" t="s">
        <v>102</v>
      </c>
      <c r="I1188" s="2" t="s">
        <v>75</v>
      </c>
      <c r="J1188" s="4">
        <v>1</v>
      </c>
      <c r="K1188" s="5">
        <v>224.21</v>
      </c>
      <c r="L1188" s="6">
        <v>0</v>
      </c>
      <c r="M1188" s="5">
        <v>224.21</v>
      </c>
      <c r="P1188" t="str">
        <f>TEXT(Tableau2[[#This Row],[Date]],"mmmm aaaa")</f>
        <v>février 2026</v>
      </c>
    </row>
    <row r="1189" spans="1:16">
      <c r="A1189" s="2" t="s">
        <v>1276</v>
      </c>
      <c r="B1189" s="3">
        <v>46239</v>
      </c>
      <c r="C1189" s="2" t="s">
        <v>164</v>
      </c>
      <c r="D1189" s="2" t="s">
        <v>53</v>
      </c>
      <c r="E1189" s="2" t="s">
        <v>38</v>
      </c>
      <c r="F1189" s="2" t="s">
        <v>17</v>
      </c>
      <c r="G1189" s="2" t="s">
        <v>18</v>
      </c>
      <c r="H1189" s="2" t="s">
        <v>136</v>
      </c>
      <c r="I1189" s="2" t="s">
        <v>26</v>
      </c>
      <c r="J1189" s="4">
        <v>1</v>
      </c>
      <c r="K1189" s="5">
        <v>33.590000000000003</v>
      </c>
      <c r="L1189" s="6">
        <v>0</v>
      </c>
      <c r="M1189" s="5">
        <v>33.590000000000003</v>
      </c>
      <c r="P1189" t="str">
        <f>TEXT(Tableau2[[#This Row],[Date]],"mmmm aaaa")</f>
        <v>août 2026</v>
      </c>
    </row>
    <row r="1190" spans="1:16">
      <c r="A1190" s="2" t="s">
        <v>1277</v>
      </c>
      <c r="B1190" s="3">
        <v>46305</v>
      </c>
      <c r="C1190" s="2" t="s">
        <v>57</v>
      </c>
      <c r="D1190" s="2" t="s">
        <v>15</v>
      </c>
      <c r="E1190" s="2" t="s">
        <v>16</v>
      </c>
      <c r="F1190" s="2" t="s">
        <v>17</v>
      </c>
      <c r="G1190" s="2" t="s">
        <v>18</v>
      </c>
      <c r="H1190" s="2" t="s">
        <v>143</v>
      </c>
      <c r="I1190" s="2" t="s">
        <v>26</v>
      </c>
      <c r="J1190" s="4">
        <v>5</v>
      </c>
      <c r="K1190" s="5">
        <v>72.41</v>
      </c>
      <c r="L1190" s="6">
        <v>0</v>
      </c>
      <c r="M1190" s="5">
        <v>362.05</v>
      </c>
      <c r="P1190" t="str">
        <f>TEXT(Tableau2[[#This Row],[Date]],"mmmm aaaa")</f>
        <v>octobre 2026</v>
      </c>
    </row>
    <row r="1191" spans="1:16">
      <c r="A1191" s="2" t="s">
        <v>1278</v>
      </c>
      <c r="B1191" s="3">
        <v>46061</v>
      </c>
      <c r="C1191" s="2" t="s">
        <v>130</v>
      </c>
      <c r="D1191" s="2" t="s">
        <v>53</v>
      </c>
      <c r="E1191" s="2" t="s">
        <v>34</v>
      </c>
      <c r="F1191" s="2" t="s">
        <v>28</v>
      </c>
      <c r="G1191" s="2" t="s">
        <v>48</v>
      </c>
      <c r="H1191" s="2" t="s">
        <v>77</v>
      </c>
      <c r="I1191" s="2" t="s">
        <v>20</v>
      </c>
      <c r="J1191" s="4">
        <v>3</v>
      </c>
      <c r="K1191" s="5">
        <v>85.29</v>
      </c>
      <c r="L1191" s="6">
        <v>0</v>
      </c>
      <c r="M1191" s="5">
        <v>255.87</v>
      </c>
      <c r="P1191" t="str">
        <f>TEXT(Tableau2[[#This Row],[Date]],"mmmm aaaa")</f>
        <v>février 2026</v>
      </c>
    </row>
    <row r="1192" spans="1:16">
      <c r="A1192" s="2" t="s">
        <v>1279</v>
      </c>
      <c r="B1192" s="3">
        <v>46096</v>
      </c>
      <c r="C1192" s="2" t="s">
        <v>125</v>
      </c>
      <c r="D1192" s="2" t="s">
        <v>23</v>
      </c>
      <c r="E1192" s="2" t="s">
        <v>43</v>
      </c>
      <c r="F1192" s="2" t="s">
        <v>28</v>
      </c>
      <c r="G1192" s="2" t="s">
        <v>18</v>
      </c>
      <c r="H1192" s="2" t="s">
        <v>19</v>
      </c>
      <c r="I1192" s="2" t="s">
        <v>41</v>
      </c>
      <c r="J1192" s="4">
        <v>3</v>
      </c>
      <c r="K1192" s="5">
        <v>57.15</v>
      </c>
      <c r="L1192" s="6">
        <v>0</v>
      </c>
      <c r="M1192" s="5">
        <v>171.45</v>
      </c>
      <c r="P1192" t="str">
        <f>TEXT(Tableau2[[#This Row],[Date]],"mmmm aaaa")</f>
        <v>mars 2026</v>
      </c>
    </row>
    <row r="1193" spans="1:16">
      <c r="A1193" s="2" t="s">
        <v>1280</v>
      </c>
      <c r="B1193" s="3">
        <v>46275</v>
      </c>
      <c r="C1193" s="2" t="s">
        <v>14</v>
      </c>
      <c r="D1193" s="2" t="s">
        <v>15</v>
      </c>
      <c r="E1193" s="2" t="s">
        <v>43</v>
      </c>
      <c r="F1193" s="2" t="s">
        <v>28</v>
      </c>
      <c r="G1193" s="2" t="s">
        <v>18</v>
      </c>
      <c r="H1193" s="2" t="s">
        <v>143</v>
      </c>
      <c r="I1193" s="2" t="s">
        <v>20</v>
      </c>
      <c r="J1193" s="4">
        <v>3</v>
      </c>
      <c r="K1193" s="5">
        <v>73.069999999999993</v>
      </c>
      <c r="L1193" s="6">
        <v>0.05</v>
      </c>
      <c r="M1193" s="5">
        <v>208.25</v>
      </c>
      <c r="P1193" t="str">
        <f>TEXT(Tableau2[[#This Row],[Date]],"mmmm aaaa")</f>
        <v>septembre 2026</v>
      </c>
    </row>
    <row r="1194" spans="1:16">
      <c r="A1194" s="2" t="s">
        <v>1281</v>
      </c>
      <c r="B1194" s="3">
        <v>46152</v>
      </c>
      <c r="C1194" s="2" t="s">
        <v>106</v>
      </c>
      <c r="D1194" s="2" t="s">
        <v>23</v>
      </c>
      <c r="E1194" s="2" t="s">
        <v>34</v>
      </c>
      <c r="F1194" s="2" t="s">
        <v>17</v>
      </c>
      <c r="G1194" s="2" t="s">
        <v>48</v>
      </c>
      <c r="H1194" s="2" t="s">
        <v>84</v>
      </c>
      <c r="I1194" s="2" t="s">
        <v>26</v>
      </c>
      <c r="J1194" s="4">
        <v>5</v>
      </c>
      <c r="K1194" s="5">
        <v>90.98</v>
      </c>
      <c r="L1194" s="6">
        <v>0</v>
      </c>
      <c r="M1194" s="5">
        <v>454.9</v>
      </c>
      <c r="P1194" t="str">
        <f>TEXT(Tableau2[[#This Row],[Date]],"mmmm aaaa")</f>
        <v>mai 2026</v>
      </c>
    </row>
    <row r="1195" spans="1:16">
      <c r="A1195" s="2" t="s">
        <v>1282</v>
      </c>
      <c r="B1195" s="3">
        <v>46266</v>
      </c>
      <c r="C1195" s="2" t="s">
        <v>57</v>
      </c>
      <c r="D1195" s="2" t="s">
        <v>15</v>
      </c>
      <c r="E1195" s="2" t="s">
        <v>16</v>
      </c>
      <c r="F1195" s="2" t="s">
        <v>28</v>
      </c>
      <c r="G1195" s="2" t="s">
        <v>24</v>
      </c>
      <c r="H1195" s="2" t="s">
        <v>82</v>
      </c>
      <c r="I1195" s="2" t="s">
        <v>50</v>
      </c>
      <c r="J1195" s="4">
        <v>4</v>
      </c>
      <c r="K1195" s="5">
        <v>298.19</v>
      </c>
      <c r="L1195" s="6">
        <v>0</v>
      </c>
      <c r="M1195" s="5">
        <v>1192.76</v>
      </c>
      <c r="P1195" t="str">
        <f>TEXT(Tableau2[[#This Row],[Date]],"mmmm aaaa")</f>
        <v>septembre 2026</v>
      </c>
    </row>
    <row r="1196" spans="1:16">
      <c r="A1196" s="2" t="s">
        <v>1283</v>
      </c>
      <c r="B1196" s="3">
        <v>46192</v>
      </c>
      <c r="C1196" s="2" t="s">
        <v>60</v>
      </c>
      <c r="D1196" s="2" t="s">
        <v>33</v>
      </c>
      <c r="E1196" s="2" t="s">
        <v>43</v>
      </c>
      <c r="F1196" s="2" t="s">
        <v>17</v>
      </c>
      <c r="G1196" s="2" t="s">
        <v>18</v>
      </c>
      <c r="H1196" s="2" t="s">
        <v>143</v>
      </c>
      <c r="I1196" s="2" t="s">
        <v>58</v>
      </c>
      <c r="J1196" s="4">
        <v>1</v>
      </c>
      <c r="K1196" s="5">
        <v>69.19</v>
      </c>
      <c r="L1196" s="6">
        <v>0.15</v>
      </c>
      <c r="M1196" s="5">
        <v>58.81</v>
      </c>
      <c r="P1196" t="str">
        <f>TEXT(Tableau2[[#This Row],[Date]],"mmmm aaaa")</f>
        <v>juin 2026</v>
      </c>
    </row>
    <row r="1197" spans="1:16">
      <c r="A1197" s="2" t="s">
        <v>1284</v>
      </c>
      <c r="B1197" s="3">
        <v>46270</v>
      </c>
      <c r="C1197" s="2" t="s">
        <v>160</v>
      </c>
      <c r="D1197" s="2" t="s">
        <v>33</v>
      </c>
      <c r="E1197" s="2" t="s">
        <v>16</v>
      </c>
      <c r="F1197" s="2" t="s">
        <v>17</v>
      </c>
      <c r="G1197" s="2" t="s">
        <v>18</v>
      </c>
      <c r="H1197" s="2" t="s">
        <v>136</v>
      </c>
      <c r="I1197" s="2" t="s">
        <v>36</v>
      </c>
      <c r="J1197" s="4">
        <v>15</v>
      </c>
      <c r="K1197" s="5">
        <v>34.25</v>
      </c>
      <c r="L1197" s="6">
        <v>0</v>
      </c>
      <c r="M1197" s="5">
        <v>513.75</v>
      </c>
      <c r="P1197" t="str">
        <f>TEXT(Tableau2[[#This Row],[Date]],"mmmm aaaa")</f>
        <v>septembre 2026</v>
      </c>
    </row>
    <row r="1198" spans="1:16">
      <c r="A1198" s="2" t="s">
        <v>1285</v>
      </c>
      <c r="B1198" s="3">
        <v>46328</v>
      </c>
      <c r="C1198" s="2" t="s">
        <v>63</v>
      </c>
      <c r="D1198" s="2" t="s">
        <v>33</v>
      </c>
      <c r="E1198" s="2" t="s">
        <v>16</v>
      </c>
      <c r="F1198" s="2" t="s">
        <v>28</v>
      </c>
      <c r="G1198" s="2" t="s">
        <v>24</v>
      </c>
      <c r="H1198" s="2" t="s">
        <v>35</v>
      </c>
      <c r="I1198" s="2" t="s">
        <v>50</v>
      </c>
      <c r="J1198" s="4">
        <v>5</v>
      </c>
      <c r="K1198" s="5">
        <v>162.87</v>
      </c>
      <c r="L1198" s="6">
        <v>0</v>
      </c>
      <c r="M1198" s="5">
        <v>814.35</v>
      </c>
      <c r="P1198" t="str">
        <f>TEXT(Tableau2[[#This Row],[Date]],"mmmm aaaa")</f>
        <v>novembre 2026</v>
      </c>
    </row>
    <row r="1199" spans="1:16">
      <c r="A1199" s="2" t="s">
        <v>1286</v>
      </c>
      <c r="B1199" s="3">
        <v>46187</v>
      </c>
      <c r="C1199" s="2" t="s">
        <v>63</v>
      </c>
      <c r="D1199" s="2" t="s">
        <v>33</v>
      </c>
      <c r="E1199" s="2" t="s">
        <v>43</v>
      </c>
      <c r="F1199" s="2" t="s">
        <v>17</v>
      </c>
      <c r="G1199" s="2" t="s">
        <v>18</v>
      </c>
      <c r="H1199" s="2" t="s">
        <v>143</v>
      </c>
      <c r="I1199" s="2" t="s">
        <v>20</v>
      </c>
      <c r="J1199" s="4">
        <v>1</v>
      </c>
      <c r="K1199" s="5">
        <v>71.92</v>
      </c>
      <c r="L1199" s="6">
        <v>0.2</v>
      </c>
      <c r="M1199" s="5">
        <v>57.54</v>
      </c>
      <c r="P1199" t="str">
        <f>TEXT(Tableau2[[#This Row],[Date]],"mmmm aaaa")</f>
        <v>juin 2026</v>
      </c>
    </row>
    <row r="1200" spans="1:16">
      <c r="A1200" s="2" t="s">
        <v>1287</v>
      </c>
      <c r="B1200" s="3">
        <v>46185</v>
      </c>
      <c r="C1200" s="2" t="s">
        <v>160</v>
      </c>
      <c r="D1200" s="2" t="s">
        <v>33</v>
      </c>
      <c r="E1200" s="2" t="s">
        <v>34</v>
      </c>
      <c r="F1200" s="2" t="s">
        <v>28</v>
      </c>
      <c r="G1200" s="2" t="s">
        <v>54</v>
      </c>
      <c r="H1200" s="2" t="s">
        <v>64</v>
      </c>
      <c r="I1200" s="2" t="s">
        <v>36</v>
      </c>
      <c r="J1200" s="4">
        <v>5</v>
      </c>
      <c r="K1200" s="5">
        <v>86.28</v>
      </c>
      <c r="L1200" s="6">
        <v>0</v>
      </c>
      <c r="M1200" s="5">
        <v>431.4</v>
      </c>
      <c r="P1200" t="str">
        <f>TEXT(Tableau2[[#This Row],[Date]],"mmmm aaaa")</f>
        <v>juin 2026</v>
      </c>
    </row>
    <row r="1201" spans="1:16">
      <c r="A1201" s="2" t="s">
        <v>1288</v>
      </c>
      <c r="B1201" s="3">
        <v>46367</v>
      </c>
      <c r="C1201" s="2" t="s">
        <v>116</v>
      </c>
      <c r="D1201" s="2" t="s">
        <v>15</v>
      </c>
      <c r="E1201" s="2" t="s">
        <v>16</v>
      </c>
      <c r="F1201" s="2" t="s">
        <v>17</v>
      </c>
      <c r="G1201" s="2" t="s">
        <v>18</v>
      </c>
      <c r="H1201" s="2" t="s">
        <v>143</v>
      </c>
      <c r="I1201" s="2" t="s">
        <v>75</v>
      </c>
      <c r="J1201" s="4">
        <v>3</v>
      </c>
      <c r="K1201" s="5">
        <v>64.28</v>
      </c>
      <c r="L1201" s="6">
        <v>0</v>
      </c>
      <c r="M1201" s="5">
        <v>192.84</v>
      </c>
      <c r="P1201" t="str">
        <f>TEXT(Tableau2[[#This Row],[Date]],"mmmm aaaa")</f>
        <v>décembre 2026</v>
      </c>
    </row>
    <row r="1202" spans="1:16">
      <c r="A1202" s="2" t="s">
        <v>1289</v>
      </c>
      <c r="B1202" s="3">
        <v>46222</v>
      </c>
      <c r="C1202" s="2" t="s">
        <v>106</v>
      </c>
      <c r="D1202" s="2" t="s">
        <v>23</v>
      </c>
      <c r="E1202" s="2" t="s">
        <v>16</v>
      </c>
      <c r="F1202" s="2" t="s">
        <v>17</v>
      </c>
      <c r="G1202" s="2" t="s">
        <v>18</v>
      </c>
      <c r="H1202" s="2" t="s">
        <v>19</v>
      </c>
      <c r="I1202" s="2" t="s">
        <v>75</v>
      </c>
      <c r="J1202" s="4">
        <v>4</v>
      </c>
      <c r="K1202" s="5">
        <v>54.07</v>
      </c>
      <c r="L1202" s="6">
        <v>0</v>
      </c>
      <c r="M1202" s="5">
        <v>216.28</v>
      </c>
      <c r="P1202" t="str">
        <f>TEXT(Tableau2[[#This Row],[Date]],"mmmm aaaa")</f>
        <v>juillet 2026</v>
      </c>
    </row>
    <row r="1203" spans="1:16">
      <c r="A1203" s="2" t="s">
        <v>1290</v>
      </c>
      <c r="B1203" s="3">
        <v>46137</v>
      </c>
      <c r="C1203" s="2" t="s">
        <v>123</v>
      </c>
      <c r="D1203" s="2" t="s">
        <v>53</v>
      </c>
      <c r="E1203" s="2" t="s">
        <v>43</v>
      </c>
      <c r="F1203" s="2" t="s">
        <v>17</v>
      </c>
      <c r="G1203" s="2" t="s">
        <v>48</v>
      </c>
      <c r="H1203" s="2" t="s">
        <v>77</v>
      </c>
      <c r="I1203" s="2" t="s">
        <v>26</v>
      </c>
      <c r="J1203" s="4">
        <v>1</v>
      </c>
      <c r="K1203" s="5">
        <v>82.1</v>
      </c>
      <c r="L1203" s="6">
        <v>0</v>
      </c>
      <c r="M1203" s="5">
        <v>82.1</v>
      </c>
      <c r="P1203" t="str">
        <f>TEXT(Tableau2[[#This Row],[Date]],"mmmm aaaa")</f>
        <v>avril 2026</v>
      </c>
    </row>
    <row r="1204" spans="1:16">
      <c r="A1204" s="2" t="s">
        <v>1291</v>
      </c>
      <c r="B1204" s="3">
        <v>46082</v>
      </c>
      <c r="C1204" s="2" t="s">
        <v>106</v>
      </c>
      <c r="D1204" s="2" t="s">
        <v>23</v>
      </c>
      <c r="E1204" s="2" t="s">
        <v>38</v>
      </c>
      <c r="F1204" s="2" t="s">
        <v>28</v>
      </c>
      <c r="G1204" s="2" t="s">
        <v>24</v>
      </c>
      <c r="H1204" s="2" t="s">
        <v>61</v>
      </c>
      <c r="I1204" s="2" t="s">
        <v>50</v>
      </c>
      <c r="J1204" s="4">
        <v>2</v>
      </c>
      <c r="K1204" s="5">
        <v>233.11</v>
      </c>
      <c r="L1204" s="6">
        <v>0</v>
      </c>
      <c r="M1204" s="5">
        <v>466.22</v>
      </c>
      <c r="P1204" t="str">
        <f>TEXT(Tableau2[[#This Row],[Date]],"mmmm aaaa")</f>
        <v>mars 2026</v>
      </c>
    </row>
    <row r="1205" spans="1:16">
      <c r="A1205" s="2" t="s">
        <v>1292</v>
      </c>
      <c r="B1205" s="3">
        <v>46375</v>
      </c>
      <c r="C1205" s="2" t="s">
        <v>63</v>
      </c>
      <c r="D1205" s="2" t="s">
        <v>33</v>
      </c>
      <c r="E1205" s="2" t="s">
        <v>38</v>
      </c>
      <c r="F1205" s="2" t="s">
        <v>28</v>
      </c>
      <c r="G1205" s="2" t="s">
        <v>39</v>
      </c>
      <c r="H1205" s="2" t="s">
        <v>40</v>
      </c>
      <c r="I1205" s="2" t="s">
        <v>50</v>
      </c>
      <c r="J1205" s="4">
        <v>5</v>
      </c>
      <c r="K1205" s="5">
        <v>131.58000000000001</v>
      </c>
      <c r="L1205" s="6">
        <v>0</v>
      </c>
      <c r="M1205" s="5">
        <v>657.9</v>
      </c>
      <c r="P1205" t="str">
        <f>TEXT(Tableau2[[#This Row],[Date]],"mmmm aaaa")</f>
        <v>décembre 2026</v>
      </c>
    </row>
    <row r="1206" spans="1:16">
      <c r="A1206" s="2" t="s">
        <v>1293</v>
      </c>
      <c r="B1206" s="3">
        <v>46221</v>
      </c>
      <c r="C1206" s="2" t="s">
        <v>116</v>
      </c>
      <c r="D1206" s="2" t="s">
        <v>15</v>
      </c>
      <c r="E1206" s="2" t="s">
        <v>16</v>
      </c>
      <c r="F1206" s="2" t="s">
        <v>17</v>
      </c>
      <c r="G1206" s="2" t="s">
        <v>54</v>
      </c>
      <c r="H1206" s="2" t="s">
        <v>102</v>
      </c>
      <c r="I1206" s="2" t="s">
        <v>45</v>
      </c>
      <c r="J1206" s="4">
        <v>4</v>
      </c>
      <c r="K1206" s="5">
        <v>209.46</v>
      </c>
      <c r="L1206" s="6">
        <v>0</v>
      </c>
      <c r="M1206" s="5">
        <v>837.84</v>
      </c>
      <c r="P1206" t="str">
        <f>TEXT(Tableau2[[#This Row],[Date]],"mmmm aaaa")</f>
        <v>juillet 2026</v>
      </c>
    </row>
    <row r="1207" spans="1:16">
      <c r="A1207" s="2" t="s">
        <v>1294</v>
      </c>
      <c r="B1207" s="3">
        <v>46141</v>
      </c>
      <c r="C1207" s="2" t="s">
        <v>22</v>
      </c>
      <c r="D1207" s="2" t="s">
        <v>23</v>
      </c>
      <c r="E1207" s="2" t="s">
        <v>16</v>
      </c>
      <c r="F1207" s="2" t="s">
        <v>17</v>
      </c>
      <c r="G1207" s="2" t="s">
        <v>39</v>
      </c>
      <c r="H1207" s="2" t="s">
        <v>71</v>
      </c>
      <c r="I1207" s="2" t="s">
        <v>20</v>
      </c>
      <c r="J1207" s="4">
        <v>1</v>
      </c>
      <c r="K1207" s="5">
        <v>115.28</v>
      </c>
      <c r="L1207" s="6">
        <v>0</v>
      </c>
      <c r="M1207" s="5">
        <v>115.28</v>
      </c>
      <c r="P1207" t="str">
        <f>TEXT(Tableau2[[#This Row],[Date]],"mmmm aaaa")</f>
        <v>avril 2026</v>
      </c>
    </row>
    <row r="1208" spans="1:16">
      <c r="A1208" s="2" t="s">
        <v>1295</v>
      </c>
      <c r="B1208" s="3">
        <v>46201</v>
      </c>
      <c r="C1208" s="2" t="s">
        <v>101</v>
      </c>
      <c r="D1208" s="2" t="s">
        <v>33</v>
      </c>
      <c r="E1208" s="2" t="s">
        <v>16</v>
      </c>
      <c r="F1208" s="2" t="s">
        <v>28</v>
      </c>
      <c r="G1208" s="2" t="s">
        <v>29</v>
      </c>
      <c r="H1208" s="2" t="s">
        <v>99</v>
      </c>
      <c r="I1208" s="2" t="s">
        <v>26</v>
      </c>
      <c r="J1208" s="4">
        <v>1</v>
      </c>
      <c r="K1208" s="5">
        <v>65.069999999999993</v>
      </c>
      <c r="L1208" s="6">
        <v>0</v>
      </c>
      <c r="M1208" s="5">
        <v>65.069999999999993</v>
      </c>
      <c r="P1208" t="str">
        <f>TEXT(Tableau2[[#This Row],[Date]],"mmmm aaaa")</f>
        <v>juin 2026</v>
      </c>
    </row>
    <row r="1209" spans="1:16">
      <c r="A1209" s="2" t="s">
        <v>1296</v>
      </c>
      <c r="B1209" s="3">
        <v>46106</v>
      </c>
      <c r="C1209" s="2" t="s">
        <v>116</v>
      </c>
      <c r="D1209" s="2" t="s">
        <v>15</v>
      </c>
      <c r="E1209" s="2" t="s">
        <v>34</v>
      </c>
      <c r="F1209" s="2" t="s">
        <v>17</v>
      </c>
      <c r="G1209" s="2" t="s">
        <v>24</v>
      </c>
      <c r="H1209" s="2" t="s">
        <v>25</v>
      </c>
      <c r="I1209" s="2" t="s">
        <v>50</v>
      </c>
      <c r="J1209" s="4">
        <v>1</v>
      </c>
      <c r="K1209" s="5">
        <v>136.07</v>
      </c>
      <c r="L1209" s="6">
        <v>0</v>
      </c>
      <c r="M1209" s="5">
        <v>136.07</v>
      </c>
      <c r="P1209" t="str">
        <f>TEXT(Tableau2[[#This Row],[Date]],"mmmm aaaa")</f>
        <v>mars 2026</v>
      </c>
    </row>
    <row r="1210" spans="1:16">
      <c r="A1210" s="2" t="s">
        <v>1297</v>
      </c>
      <c r="B1210" s="3">
        <v>46202</v>
      </c>
      <c r="C1210" s="2" t="s">
        <v>14</v>
      </c>
      <c r="D1210" s="2" t="s">
        <v>15</v>
      </c>
      <c r="E1210" s="2" t="s">
        <v>38</v>
      </c>
      <c r="F1210" s="2" t="s">
        <v>17</v>
      </c>
      <c r="G1210" s="2" t="s">
        <v>24</v>
      </c>
      <c r="H1210" s="2" t="s">
        <v>82</v>
      </c>
      <c r="I1210" s="2" t="s">
        <v>36</v>
      </c>
      <c r="J1210" s="4">
        <v>1</v>
      </c>
      <c r="K1210" s="5">
        <v>287.8</v>
      </c>
      <c r="L1210" s="6">
        <v>0</v>
      </c>
      <c r="M1210" s="5">
        <v>287.8</v>
      </c>
      <c r="P1210" t="str">
        <f>TEXT(Tableau2[[#This Row],[Date]],"mmmm aaaa")</f>
        <v>juin 2026</v>
      </c>
    </row>
    <row r="1211" spans="1:16">
      <c r="A1211" s="2" t="s">
        <v>1298</v>
      </c>
      <c r="B1211" s="3">
        <v>46134</v>
      </c>
      <c r="C1211" s="2" t="s">
        <v>79</v>
      </c>
      <c r="D1211" s="2" t="s">
        <v>33</v>
      </c>
      <c r="E1211" s="2" t="s">
        <v>38</v>
      </c>
      <c r="F1211" s="2" t="s">
        <v>17</v>
      </c>
      <c r="G1211" s="2" t="s">
        <v>29</v>
      </c>
      <c r="H1211" s="2" t="s">
        <v>30</v>
      </c>
      <c r="I1211" s="2" t="s">
        <v>26</v>
      </c>
      <c r="J1211" s="4">
        <v>3</v>
      </c>
      <c r="K1211" s="5">
        <v>25.11</v>
      </c>
      <c r="L1211" s="6">
        <v>0</v>
      </c>
      <c r="M1211" s="5">
        <v>75.33</v>
      </c>
      <c r="P1211" t="str">
        <f>TEXT(Tableau2[[#This Row],[Date]],"mmmm aaaa")</f>
        <v>avril 2026</v>
      </c>
    </row>
    <row r="1212" spans="1:16">
      <c r="A1212" s="2" t="s">
        <v>1299</v>
      </c>
      <c r="B1212" s="3">
        <v>46221</v>
      </c>
      <c r="C1212" s="2" t="s">
        <v>63</v>
      </c>
      <c r="D1212" s="2" t="s">
        <v>33</v>
      </c>
      <c r="E1212" s="2" t="s">
        <v>16</v>
      </c>
      <c r="F1212" s="2" t="s">
        <v>17</v>
      </c>
      <c r="G1212" s="2" t="s">
        <v>18</v>
      </c>
      <c r="H1212" s="2" t="s">
        <v>158</v>
      </c>
      <c r="I1212" s="2" t="s">
        <v>20</v>
      </c>
      <c r="J1212" s="4">
        <v>1</v>
      </c>
      <c r="K1212" s="5">
        <v>48.06</v>
      </c>
      <c r="L1212" s="6">
        <v>0</v>
      </c>
      <c r="M1212" s="5">
        <v>48.06</v>
      </c>
      <c r="P1212" t="str">
        <f>TEXT(Tableau2[[#This Row],[Date]],"mmmm aaaa")</f>
        <v>juillet 2026</v>
      </c>
    </row>
    <row r="1213" spans="1:16">
      <c r="A1213" s="2" t="s">
        <v>1300</v>
      </c>
      <c r="B1213" s="3">
        <v>46055</v>
      </c>
      <c r="C1213" s="2" t="s">
        <v>90</v>
      </c>
      <c r="D1213" s="2" t="s">
        <v>53</v>
      </c>
      <c r="E1213" s="2" t="s">
        <v>16</v>
      </c>
      <c r="F1213" s="2" t="s">
        <v>17</v>
      </c>
      <c r="G1213" s="2" t="s">
        <v>29</v>
      </c>
      <c r="H1213" s="2" t="s">
        <v>99</v>
      </c>
      <c r="I1213" s="2" t="s">
        <v>20</v>
      </c>
      <c r="J1213" s="4">
        <v>1</v>
      </c>
      <c r="K1213" s="5">
        <v>60.56</v>
      </c>
      <c r="L1213" s="6">
        <v>0</v>
      </c>
      <c r="M1213" s="5">
        <v>60.56</v>
      </c>
      <c r="P1213" t="str">
        <f>TEXT(Tableau2[[#This Row],[Date]],"mmmm aaaa")</f>
        <v>février 2026</v>
      </c>
    </row>
    <row r="1214" spans="1:16">
      <c r="A1214" s="2" t="s">
        <v>1301</v>
      </c>
      <c r="B1214" s="3">
        <v>46353</v>
      </c>
      <c r="C1214" s="2" t="s">
        <v>116</v>
      </c>
      <c r="D1214" s="2" t="s">
        <v>15</v>
      </c>
      <c r="E1214" s="2" t="s">
        <v>43</v>
      </c>
      <c r="F1214" s="2" t="s">
        <v>17</v>
      </c>
      <c r="G1214" s="2" t="s">
        <v>54</v>
      </c>
      <c r="H1214" s="2" t="s">
        <v>102</v>
      </c>
      <c r="I1214" s="2" t="s">
        <v>58</v>
      </c>
      <c r="J1214" s="4">
        <v>1</v>
      </c>
      <c r="K1214" s="5">
        <v>225.71</v>
      </c>
      <c r="L1214" s="6">
        <v>0</v>
      </c>
      <c r="M1214" s="5">
        <v>225.71</v>
      </c>
      <c r="P1214" t="str">
        <f>TEXT(Tableau2[[#This Row],[Date]],"mmmm aaaa")</f>
        <v>novembre 2026</v>
      </c>
    </row>
    <row r="1215" spans="1:16">
      <c r="A1215" s="2" t="s">
        <v>1302</v>
      </c>
      <c r="B1215" s="3">
        <v>46066</v>
      </c>
      <c r="C1215" s="2" t="s">
        <v>79</v>
      </c>
      <c r="D1215" s="2" t="s">
        <v>33</v>
      </c>
      <c r="E1215" s="2" t="s">
        <v>16</v>
      </c>
      <c r="F1215" s="2" t="s">
        <v>17</v>
      </c>
      <c r="G1215" s="2" t="s">
        <v>18</v>
      </c>
      <c r="H1215" s="2" t="s">
        <v>143</v>
      </c>
      <c r="I1215" s="2" t="s">
        <v>75</v>
      </c>
      <c r="J1215" s="4">
        <v>5</v>
      </c>
      <c r="K1215" s="5">
        <v>67.66</v>
      </c>
      <c r="L1215" s="6">
        <v>0.05</v>
      </c>
      <c r="M1215" s="5">
        <v>321.38</v>
      </c>
      <c r="P1215" t="str">
        <f>TEXT(Tableau2[[#This Row],[Date]],"mmmm aaaa")</f>
        <v>février 2026</v>
      </c>
    </row>
    <row r="1216" spans="1:16">
      <c r="A1216" s="2" t="s">
        <v>1303</v>
      </c>
      <c r="B1216" s="3">
        <v>46117</v>
      </c>
      <c r="C1216" s="2" t="s">
        <v>116</v>
      </c>
      <c r="D1216" s="2" t="s">
        <v>15</v>
      </c>
      <c r="E1216" s="2" t="s">
        <v>16</v>
      </c>
      <c r="F1216" s="2" t="s">
        <v>17</v>
      </c>
      <c r="G1216" s="2" t="s">
        <v>48</v>
      </c>
      <c r="H1216" s="2" t="s">
        <v>84</v>
      </c>
      <c r="I1216" s="2" t="s">
        <v>75</v>
      </c>
      <c r="J1216" s="4">
        <v>6</v>
      </c>
      <c r="K1216" s="5">
        <v>92.97</v>
      </c>
      <c r="L1216" s="6">
        <v>0</v>
      </c>
      <c r="M1216" s="5">
        <v>557.82000000000005</v>
      </c>
      <c r="P1216" t="str">
        <f>TEXT(Tableau2[[#This Row],[Date]],"mmmm aaaa")</f>
        <v>avril 2026</v>
      </c>
    </row>
    <row r="1217" spans="1:16">
      <c r="A1217" s="2" t="s">
        <v>1304</v>
      </c>
      <c r="B1217" s="3">
        <v>46050</v>
      </c>
      <c r="C1217" s="2" t="s">
        <v>116</v>
      </c>
      <c r="D1217" s="2" t="s">
        <v>15</v>
      </c>
      <c r="E1217" s="2" t="s">
        <v>34</v>
      </c>
      <c r="F1217" s="2" t="s">
        <v>28</v>
      </c>
      <c r="G1217" s="2" t="s">
        <v>48</v>
      </c>
      <c r="H1217" s="2" t="s">
        <v>88</v>
      </c>
      <c r="I1217" s="2" t="s">
        <v>75</v>
      </c>
      <c r="J1217" s="4">
        <v>1</v>
      </c>
      <c r="K1217" s="5">
        <v>70.989999999999995</v>
      </c>
      <c r="L1217" s="6">
        <v>0.15</v>
      </c>
      <c r="M1217" s="5">
        <v>60.34</v>
      </c>
      <c r="P1217" t="str">
        <f>TEXT(Tableau2[[#This Row],[Date]],"mmmm aaaa")</f>
        <v>janvier 2026</v>
      </c>
    </row>
    <row r="1218" spans="1:16">
      <c r="A1218" s="2" t="s">
        <v>1305</v>
      </c>
      <c r="B1218" s="3">
        <v>46070</v>
      </c>
      <c r="C1218" s="2" t="s">
        <v>47</v>
      </c>
      <c r="D1218" s="2" t="s">
        <v>15</v>
      </c>
      <c r="E1218" s="2" t="s">
        <v>34</v>
      </c>
      <c r="F1218" s="2" t="s">
        <v>28</v>
      </c>
      <c r="G1218" s="2" t="s">
        <v>24</v>
      </c>
      <c r="H1218" s="2" t="s">
        <v>35</v>
      </c>
      <c r="I1218" s="2" t="s">
        <v>36</v>
      </c>
      <c r="J1218" s="4">
        <v>1</v>
      </c>
      <c r="K1218" s="5">
        <v>157.76</v>
      </c>
      <c r="L1218" s="6">
        <v>0</v>
      </c>
      <c r="M1218" s="5">
        <v>157.76</v>
      </c>
      <c r="P1218" t="str">
        <f>TEXT(Tableau2[[#This Row],[Date]],"mmmm aaaa")</f>
        <v>février 2026</v>
      </c>
    </row>
    <row r="1219" spans="1:16">
      <c r="A1219" s="2" t="s">
        <v>1306</v>
      </c>
      <c r="B1219" s="3">
        <v>46343</v>
      </c>
      <c r="C1219" s="2" t="s">
        <v>106</v>
      </c>
      <c r="D1219" s="2" t="s">
        <v>23</v>
      </c>
      <c r="E1219" s="2" t="s">
        <v>43</v>
      </c>
      <c r="F1219" s="2" t="s">
        <v>28</v>
      </c>
      <c r="G1219" s="2" t="s">
        <v>18</v>
      </c>
      <c r="H1219" s="2" t="s">
        <v>158</v>
      </c>
      <c r="I1219" s="2" t="s">
        <v>26</v>
      </c>
      <c r="J1219" s="4">
        <v>2</v>
      </c>
      <c r="K1219" s="5">
        <v>47.79</v>
      </c>
      <c r="L1219" s="6">
        <v>0</v>
      </c>
      <c r="M1219" s="5">
        <v>95.58</v>
      </c>
      <c r="P1219" t="str">
        <f>TEXT(Tableau2[[#This Row],[Date]],"mmmm aaaa")</f>
        <v>novembre 2026</v>
      </c>
    </row>
    <row r="1220" spans="1:16">
      <c r="A1220" s="2" t="s">
        <v>1307</v>
      </c>
      <c r="B1220" s="3">
        <v>46293</v>
      </c>
      <c r="C1220" s="2" t="s">
        <v>116</v>
      </c>
      <c r="D1220" s="2" t="s">
        <v>15</v>
      </c>
      <c r="E1220" s="2" t="s">
        <v>38</v>
      </c>
      <c r="F1220" s="2" t="s">
        <v>17</v>
      </c>
      <c r="G1220" s="2" t="s">
        <v>48</v>
      </c>
      <c r="H1220" s="2" t="s">
        <v>49</v>
      </c>
      <c r="I1220" s="2" t="s">
        <v>58</v>
      </c>
      <c r="J1220" s="4">
        <v>5</v>
      </c>
      <c r="K1220" s="5">
        <v>57.94</v>
      </c>
      <c r="L1220" s="6">
        <v>0.1</v>
      </c>
      <c r="M1220" s="5">
        <v>260.73</v>
      </c>
      <c r="P1220" t="str">
        <f>TEXT(Tableau2[[#This Row],[Date]],"mmmm aaaa")</f>
        <v>septembre 2026</v>
      </c>
    </row>
    <row r="1221" spans="1:16">
      <c r="A1221" s="2" t="s">
        <v>1308</v>
      </c>
      <c r="B1221" s="3">
        <v>46381</v>
      </c>
      <c r="C1221" s="2" t="s">
        <v>106</v>
      </c>
      <c r="D1221" s="2" t="s">
        <v>23</v>
      </c>
      <c r="E1221" s="2" t="s">
        <v>16</v>
      </c>
      <c r="F1221" s="2" t="s">
        <v>17</v>
      </c>
      <c r="G1221" s="2" t="s">
        <v>48</v>
      </c>
      <c r="H1221" s="2" t="s">
        <v>49</v>
      </c>
      <c r="I1221" s="2" t="s">
        <v>58</v>
      </c>
      <c r="J1221" s="4">
        <v>1</v>
      </c>
      <c r="K1221" s="5">
        <v>56.47</v>
      </c>
      <c r="L1221" s="6">
        <v>0.1</v>
      </c>
      <c r="M1221" s="5">
        <v>50.82</v>
      </c>
      <c r="P1221" t="str">
        <f>TEXT(Tableau2[[#This Row],[Date]],"mmmm aaaa")</f>
        <v>décembre 2026</v>
      </c>
    </row>
    <row r="1222" spans="1:16">
      <c r="A1222" s="2" t="s">
        <v>1309</v>
      </c>
      <c r="B1222" s="3">
        <v>46199</v>
      </c>
      <c r="C1222" s="2" t="s">
        <v>22</v>
      </c>
      <c r="D1222" s="2" t="s">
        <v>23</v>
      </c>
      <c r="E1222" s="2" t="s">
        <v>16</v>
      </c>
      <c r="F1222" s="2" t="s">
        <v>17</v>
      </c>
      <c r="G1222" s="2" t="s">
        <v>54</v>
      </c>
      <c r="H1222" s="2" t="s">
        <v>55</v>
      </c>
      <c r="I1222" s="2" t="s">
        <v>26</v>
      </c>
      <c r="J1222" s="4">
        <v>1</v>
      </c>
      <c r="K1222" s="5">
        <v>169.56</v>
      </c>
      <c r="L1222" s="6">
        <v>0.1</v>
      </c>
      <c r="M1222" s="5">
        <v>152.6</v>
      </c>
      <c r="P1222" t="str">
        <f>TEXT(Tableau2[[#This Row],[Date]],"mmmm aaaa")</f>
        <v>juin 2026</v>
      </c>
    </row>
    <row r="1223" spans="1:16">
      <c r="A1223" s="2" t="s">
        <v>1310</v>
      </c>
      <c r="B1223" s="3">
        <v>46213</v>
      </c>
      <c r="C1223" s="2" t="s">
        <v>22</v>
      </c>
      <c r="D1223" s="2" t="s">
        <v>23</v>
      </c>
      <c r="E1223" s="2" t="s">
        <v>16</v>
      </c>
      <c r="F1223" s="2" t="s">
        <v>28</v>
      </c>
      <c r="G1223" s="2" t="s">
        <v>48</v>
      </c>
      <c r="H1223" s="2" t="s">
        <v>77</v>
      </c>
      <c r="I1223" s="2" t="s">
        <v>26</v>
      </c>
      <c r="J1223" s="4">
        <v>1</v>
      </c>
      <c r="K1223" s="5">
        <v>87.55</v>
      </c>
      <c r="L1223" s="6">
        <v>0</v>
      </c>
      <c r="M1223" s="5">
        <v>87.55</v>
      </c>
      <c r="P1223" t="str">
        <f>TEXT(Tableau2[[#This Row],[Date]],"mmmm aaaa")</f>
        <v>juillet 2026</v>
      </c>
    </row>
    <row r="1224" spans="1:16">
      <c r="A1224" s="2" t="s">
        <v>1311</v>
      </c>
      <c r="B1224" s="3">
        <v>46374</v>
      </c>
      <c r="C1224" s="2" t="s">
        <v>116</v>
      </c>
      <c r="D1224" s="2" t="s">
        <v>15</v>
      </c>
      <c r="E1224" s="2" t="s">
        <v>34</v>
      </c>
      <c r="F1224" s="2" t="s">
        <v>28</v>
      </c>
      <c r="G1224" s="2" t="s">
        <v>18</v>
      </c>
      <c r="H1224" s="2" t="s">
        <v>143</v>
      </c>
      <c r="I1224" s="2" t="s">
        <v>58</v>
      </c>
      <c r="J1224" s="4">
        <v>2</v>
      </c>
      <c r="K1224" s="5">
        <v>71.239999999999995</v>
      </c>
      <c r="L1224" s="6">
        <v>0.1</v>
      </c>
      <c r="M1224" s="5">
        <v>128.22999999999999</v>
      </c>
      <c r="P1224" t="str">
        <f>TEXT(Tableau2[[#This Row],[Date]],"mmmm aaaa")</f>
        <v>décembre 2026</v>
      </c>
    </row>
    <row r="1225" spans="1:16">
      <c r="A1225" s="2" t="s">
        <v>1312</v>
      </c>
      <c r="B1225" s="3">
        <v>46229</v>
      </c>
      <c r="C1225" s="2" t="s">
        <v>90</v>
      </c>
      <c r="D1225" s="2" t="s">
        <v>53</v>
      </c>
      <c r="E1225" s="2" t="s">
        <v>16</v>
      </c>
      <c r="F1225" s="2" t="s">
        <v>28</v>
      </c>
      <c r="G1225" s="2" t="s">
        <v>29</v>
      </c>
      <c r="H1225" s="2" t="s">
        <v>140</v>
      </c>
      <c r="I1225" s="2" t="s">
        <v>45</v>
      </c>
      <c r="J1225" s="4">
        <v>2</v>
      </c>
      <c r="K1225" s="5">
        <v>47.66</v>
      </c>
      <c r="L1225" s="6">
        <v>0.1</v>
      </c>
      <c r="M1225" s="5">
        <v>85.79</v>
      </c>
      <c r="P1225" t="str">
        <f>TEXT(Tableau2[[#This Row],[Date]],"mmmm aaaa")</f>
        <v>juillet 2026</v>
      </c>
    </row>
    <row r="1226" spans="1:16">
      <c r="A1226" s="2" t="s">
        <v>1313</v>
      </c>
      <c r="B1226" s="3">
        <v>46139</v>
      </c>
      <c r="C1226" s="2" t="s">
        <v>79</v>
      </c>
      <c r="D1226" s="2" t="s">
        <v>33</v>
      </c>
      <c r="E1226" s="2" t="s">
        <v>43</v>
      </c>
      <c r="F1226" s="2" t="s">
        <v>28</v>
      </c>
      <c r="G1226" s="2" t="s">
        <v>48</v>
      </c>
      <c r="H1226" s="2" t="s">
        <v>88</v>
      </c>
      <c r="I1226" s="2" t="s">
        <v>41</v>
      </c>
      <c r="J1226" s="4">
        <v>3</v>
      </c>
      <c r="K1226" s="5">
        <v>77.55</v>
      </c>
      <c r="L1226" s="6">
        <v>0</v>
      </c>
      <c r="M1226" s="5">
        <v>232.65</v>
      </c>
      <c r="P1226" t="str">
        <f>TEXT(Tableau2[[#This Row],[Date]],"mmmm aaaa")</f>
        <v>avril 2026</v>
      </c>
    </row>
    <row r="1227" spans="1:16">
      <c r="A1227" s="2" t="s">
        <v>1314</v>
      </c>
      <c r="B1227" s="3">
        <v>46220</v>
      </c>
      <c r="C1227" s="2" t="s">
        <v>106</v>
      </c>
      <c r="D1227" s="2" t="s">
        <v>23</v>
      </c>
      <c r="E1227" s="2" t="s">
        <v>34</v>
      </c>
      <c r="F1227" s="2" t="s">
        <v>28</v>
      </c>
      <c r="G1227" s="2" t="s">
        <v>18</v>
      </c>
      <c r="H1227" s="2" t="s">
        <v>143</v>
      </c>
      <c r="I1227" s="2" t="s">
        <v>50</v>
      </c>
      <c r="J1227" s="4">
        <v>1</v>
      </c>
      <c r="K1227" s="5">
        <v>71.010000000000005</v>
      </c>
      <c r="L1227" s="6">
        <v>0</v>
      </c>
      <c r="M1227" s="5">
        <v>71.010000000000005</v>
      </c>
      <c r="P1227" t="str">
        <f>TEXT(Tableau2[[#This Row],[Date]],"mmmm aaaa")</f>
        <v>juillet 2026</v>
      </c>
    </row>
    <row r="1228" spans="1:16">
      <c r="A1228" s="2" t="s">
        <v>1315</v>
      </c>
      <c r="B1228" s="3">
        <v>46167</v>
      </c>
      <c r="C1228" s="2" t="s">
        <v>32</v>
      </c>
      <c r="D1228" s="2" t="s">
        <v>33</v>
      </c>
      <c r="E1228" s="2" t="s">
        <v>34</v>
      </c>
      <c r="F1228" s="2" t="s">
        <v>28</v>
      </c>
      <c r="G1228" s="2" t="s">
        <v>48</v>
      </c>
      <c r="H1228" s="2" t="s">
        <v>88</v>
      </c>
      <c r="I1228" s="2" t="s">
        <v>75</v>
      </c>
      <c r="J1228" s="4">
        <v>11</v>
      </c>
      <c r="K1228" s="5">
        <v>72.81</v>
      </c>
      <c r="L1228" s="6">
        <v>0.05</v>
      </c>
      <c r="M1228" s="5">
        <v>760.86</v>
      </c>
      <c r="P1228" t="str">
        <f>TEXT(Tableau2[[#This Row],[Date]],"mmmm aaaa")</f>
        <v>mai 2026</v>
      </c>
    </row>
    <row r="1229" spans="1:16">
      <c r="A1229" s="2" t="s">
        <v>1316</v>
      </c>
      <c r="B1229" s="3">
        <v>46290</v>
      </c>
      <c r="C1229" s="2" t="s">
        <v>130</v>
      </c>
      <c r="D1229" s="2" t="s">
        <v>53</v>
      </c>
      <c r="E1229" s="2" t="s">
        <v>38</v>
      </c>
      <c r="F1229" s="2" t="s">
        <v>28</v>
      </c>
      <c r="G1229" s="2" t="s">
        <v>24</v>
      </c>
      <c r="H1229" s="2" t="s">
        <v>82</v>
      </c>
      <c r="I1229" s="2" t="s">
        <v>58</v>
      </c>
      <c r="J1229" s="4">
        <v>6</v>
      </c>
      <c r="K1229" s="5">
        <v>275.27999999999997</v>
      </c>
      <c r="L1229" s="6">
        <v>0.1</v>
      </c>
      <c r="M1229" s="5">
        <v>1486.51</v>
      </c>
      <c r="P1229" t="str">
        <f>TEXT(Tableau2[[#This Row],[Date]],"mmmm aaaa")</f>
        <v>septembre 2026</v>
      </c>
    </row>
    <row r="1230" spans="1:16">
      <c r="A1230" s="2" t="s">
        <v>1317</v>
      </c>
      <c r="B1230" s="3">
        <v>46305</v>
      </c>
      <c r="C1230" s="2" t="s">
        <v>106</v>
      </c>
      <c r="D1230" s="2" t="s">
        <v>23</v>
      </c>
      <c r="E1230" s="2" t="s">
        <v>34</v>
      </c>
      <c r="F1230" s="2" t="s">
        <v>28</v>
      </c>
      <c r="G1230" s="2" t="s">
        <v>29</v>
      </c>
      <c r="H1230" s="2" t="s">
        <v>30</v>
      </c>
      <c r="I1230" s="2" t="s">
        <v>36</v>
      </c>
      <c r="J1230" s="4">
        <v>5</v>
      </c>
      <c r="K1230" s="5">
        <v>27.22</v>
      </c>
      <c r="L1230" s="6">
        <v>0.1</v>
      </c>
      <c r="M1230" s="5">
        <v>122.49</v>
      </c>
      <c r="P1230" t="str">
        <f>TEXT(Tableau2[[#This Row],[Date]],"mmmm aaaa")</f>
        <v>octobre 2026</v>
      </c>
    </row>
    <row r="1231" spans="1:16">
      <c r="A1231" s="2" t="s">
        <v>1318</v>
      </c>
      <c r="B1231" s="3">
        <v>46371</v>
      </c>
      <c r="C1231" s="2" t="s">
        <v>106</v>
      </c>
      <c r="D1231" s="2" t="s">
        <v>23</v>
      </c>
      <c r="E1231" s="2" t="s">
        <v>16</v>
      </c>
      <c r="F1231" s="2" t="s">
        <v>17</v>
      </c>
      <c r="G1231" s="2" t="s">
        <v>18</v>
      </c>
      <c r="H1231" s="2" t="s">
        <v>136</v>
      </c>
      <c r="I1231" s="2" t="s">
        <v>58</v>
      </c>
      <c r="J1231" s="4">
        <v>1</v>
      </c>
      <c r="K1231" s="5">
        <v>32.729999999999997</v>
      </c>
      <c r="L1231" s="6">
        <v>0</v>
      </c>
      <c r="M1231" s="5">
        <v>32.729999999999997</v>
      </c>
      <c r="P1231" t="str">
        <f>TEXT(Tableau2[[#This Row],[Date]],"mmmm aaaa")</f>
        <v>décembre 2026</v>
      </c>
    </row>
    <row r="1232" spans="1:16">
      <c r="A1232" s="2" t="s">
        <v>1319</v>
      </c>
      <c r="B1232" s="3">
        <v>46283</v>
      </c>
      <c r="C1232" s="2" t="s">
        <v>52</v>
      </c>
      <c r="D1232" s="2" t="s">
        <v>53</v>
      </c>
      <c r="E1232" s="2" t="s">
        <v>16</v>
      </c>
      <c r="F1232" s="2" t="s">
        <v>17</v>
      </c>
      <c r="G1232" s="2" t="s">
        <v>24</v>
      </c>
      <c r="H1232" s="2" t="s">
        <v>61</v>
      </c>
      <c r="I1232" s="2" t="s">
        <v>75</v>
      </c>
      <c r="J1232" s="4">
        <v>3</v>
      </c>
      <c r="K1232" s="5">
        <v>253.74</v>
      </c>
      <c r="L1232" s="6">
        <v>0.1</v>
      </c>
      <c r="M1232" s="5">
        <v>685.1</v>
      </c>
      <c r="P1232" t="str">
        <f>TEXT(Tableau2[[#This Row],[Date]],"mmmm aaaa")</f>
        <v>septembre 2026</v>
      </c>
    </row>
    <row r="1233" spans="1:16">
      <c r="A1233" s="2" t="s">
        <v>1320</v>
      </c>
      <c r="B1233" s="3">
        <v>46154</v>
      </c>
      <c r="C1233" s="2" t="s">
        <v>14</v>
      </c>
      <c r="D1233" s="2" t="s">
        <v>15</v>
      </c>
      <c r="E1233" s="2" t="s">
        <v>16</v>
      </c>
      <c r="F1233" s="2" t="s">
        <v>17</v>
      </c>
      <c r="G1233" s="2" t="s">
        <v>39</v>
      </c>
      <c r="H1233" s="2" t="s">
        <v>40</v>
      </c>
      <c r="I1233" s="2" t="s">
        <v>50</v>
      </c>
      <c r="J1233" s="4">
        <v>5</v>
      </c>
      <c r="K1233" s="5">
        <v>135.6</v>
      </c>
      <c r="L1233" s="6">
        <v>0</v>
      </c>
      <c r="M1233" s="5">
        <v>678</v>
      </c>
      <c r="P1233" t="str">
        <f>TEXT(Tableau2[[#This Row],[Date]],"mmmm aaaa")</f>
        <v>mai 2026</v>
      </c>
    </row>
    <row r="1234" spans="1:16">
      <c r="A1234" s="2" t="s">
        <v>1321</v>
      </c>
      <c r="B1234" s="3">
        <v>46323</v>
      </c>
      <c r="C1234" s="2" t="s">
        <v>66</v>
      </c>
      <c r="D1234" s="2" t="s">
        <v>23</v>
      </c>
      <c r="E1234" s="2" t="s">
        <v>34</v>
      </c>
      <c r="F1234" s="2" t="s">
        <v>17</v>
      </c>
      <c r="G1234" s="2" t="s">
        <v>54</v>
      </c>
      <c r="H1234" s="2" t="s">
        <v>64</v>
      </c>
      <c r="I1234" s="2" t="s">
        <v>75</v>
      </c>
      <c r="J1234" s="4">
        <v>8</v>
      </c>
      <c r="K1234" s="5">
        <v>91.38</v>
      </c>
      <c r="L1234" s="6">
        <v>0</v>
      </c>
      <c r="M1234" s="5">
        <v>731.04</v>
      </c>
      <c r="P1234" t="str">
        <f>TEXT(Tableau2[[#This Row],[Date]],"mmmm aaaa")</f>
        <v>octobre 2026</v>
      </c>
    </row>
    <row r="1235" spans="1:16">
      <c r="A1235" s="2" t="s">
        <v>1322</v>
      </c>
      <c r="B1235" s="3">
        <v>46069</v>
      </c>
      <c r="C1235" s="2" t="s">
        <v>57</v>
      </c>
      <c r="D1235" s="2" t="s">
        <v>15</v>
      </c>
      <c r="E1235" s="2" t="s">
        <v>43</v>
      </c>
      <c r="F1235" s="2" t="s">
        <v>17</v>
      </c>
      <c r="G1235" s="2" t="s">
        <v>29</v>
      </c>
      <c r="H1235" s="2" t="s">
        <v>99</v>
      </c>
      <c r="I1235" s="2" t="s">
        <v>58</v>
      </c>
      <c r="J1235" s="4">
        <v>2</v>
      </c>
      <c r="K1235" s="5">
        <v>66.489999999999995</v>
      </c>
      <c r="L1235" s="6">
        <v>0</v>
      </c>
      <c r="M1235" s="5">
        <v>132.97999999999999</v>
      </c>
      <c r="P1235" t="str">
        <f>TEXT(Tableau2[[#This Row],[Date]],"mmmm aaaa")</f>
        <v>février 2026</v>
      </c>
    </row>
    <row r="1236" spans="1:16">
      <c r="A1236" s="2" t="s">
        <v>1323</v>
      </c>
      <c r="B1236" s="3">
        <v>46058</v>
      </c>
      <c r="C1236" s="2" t="s">
        <v>130</v>
      </c>
      <c r="D1236" s="2" t="s">
        <v>53</v>
      </c>
      <c r="E1236" s="2" t="s">
        <v>16</v>
      </c>
      <c r="F1236" s="2" t="s">
        <v>17</v>
      </c>
      <c r="G1236" s="2" t="s">
        <v>39</v>
      </c>
      <c r="H1236" s="2" t="s">
        <v>71</v>
      </c>
      <c r="I1236" s="2" t="s">
        <v>45</v>
      </c>
      <c r="J1236" s="4">
        <v>4</v>
      </c>
      <c r="K1236" s="5">
        <v>118.76</v>
      </c>
      <c r="L1236" s="6">
        <v>0</v>
      </c>
      <c r="M1236" s="5">
        <v>475.04</v>
      </c>
      <c r="P1236" t="str">
        <f>TEXT(Tableau2[[#This Row],[Date]],"mmmm aaaa")</f>
        <v>février 2026</v>
      </c>
    </row>
    <row r="1237" spans="1:16">
      <c r="A1237" s="2" t="s">
        <v>1324</v>
      </c>
      <c r="B1237" s="3">
        <v>46381</v>
      </c>
      <c r="C1237" s="2" t="s">
        <v>130</v>
      </c>
      <c r="D1237" s="2" t="s">
        <v>53</v>
      </c>
      <c r="E1237" s="2" t="s">
        <v>34</v>
      </c>
      <c r="F1237" s="2" t="s">
        <v>17</v>
      </c>
      <c r="G1237" s="2" t="s">
        <v>48</v>
      </c>
      <c r="H1237" s="2" t="s">
        <v>49</v>
      </c>
      <c r="I1237" s="2" t="s">
        <v>75</v>
      </c>
      <c r="J1237" s="4">
        <v>3</v>
      </c>
      <c r="K1237" s="5">
        <v>57.78</v>
      </c>
      <c r="L1237" s="6">
        <v>0.15</v>
      </c>
      <c r="M1237" s="5">
        <v>147.34</v>
      </c>
      <c r="P1237" t="str">
        <f>TEXT(Tableau2[[#This Row],[Date]],"mmmm aaaa")</f>
        <v>décembre 2026</v>
      </c>
    </row>
    <row r="1238" spans="1:16">
      <c r="A1238" s="2" t="s">
        <v>1325</v>
      </c>
      <c r="B1238" s="3">
        <v>46112</v>
      </c>
      <c r="C1238" s="2" t="s">
        <v>14</v>
      </c>
      <c r="D1238" s="2" t="s">
        <v>15</v>
      </c>
      <c r="E1238" s="2" t="s">
        <v>16</v>
      </c>
      <c r="F1238" s="2" t="s">
        <v>17</v>
      </c>
      <c r="G1238" s="2" t="s">
        <v>29</v>
      </c>
      <c r="H1238" s="2" t="s">
        <v>140</v>
      </c>
      <c r="I1238" s="2" t="s">
        <v>58</v>
      </c>
      <c r="J1238" s="4">
        <v>8</v>
      </c>
      <c r="K1238" s="5">
        <v>51.35</v>
      </c>
      <c r="L1238" s="6">
        <v>0</v>
      </c>
      <c r="M1238" s="5">
        <v>410.8</v>
      </c>
      <c r="P1238" t="str">
        <f>TEXT(Tableau2[[#This Row],[Date]],"mmmm aaaa")</f>
        <v>mars 2026</v>
      </c>
    </row>
    <row r="1239" spans="1:16">
      <c r="A1239" s="2" t="s">
        <v>1326</v>
      </c>
      <c r="B1239" s="3">
        <v>46357</v>
      </c>
      <c r="C1239" s="2" t="s">
        <v>57</v>
      </c>
      <c r="D1239" s="2" t="s">
        <v>15</v>
      </c>
      <c r="E1239" s="2" t="s">
        <v>16</v>
      </c>
      <c r="F1239" s="2" t="s">
        <v>28</v>
      </c>
      <c r="G1239" s="2" t="s">
        <v>18</v>
      </c>
      <c r="H1239" s="2" t="s">
        <v>19</v>
      </c>
      <c r="I1239" s="2" t="s">
        <v>41</v>
      </c>
      <c r="J1239" s="4">
        <v>13</v>
      </c>
      <c r="K1239" s="5">
        <v>51.72</v>
      </c>
      <c r="L1239" s="6">
        <v>0</v>
      </c>
      <c r="M1239" s="5">
        <v>672.36</v>
      </c>
      <c r="P1239" t="str">
        <f>TEXT(Tableau2[[#This Row],[Date]],"mmmm aaaa")</f>
        <v>décembre 2026</v>
      </c>
    </row>
    <row r="1240" spans="1:16">
      <c r="A1240" s="2" t="s">
        <v>1327</v>
      </c>
      <c r="B1240" s="3">
        <v>46358</v>
      </c>
      <c r="C1240" s="2" t="s">
        <v>94</v>
      </c>
      <c r="D1240" s="2" t="s">
        <v>15</v>
      </c>
      <c r="E1240" s="2" t="s">
        <v>38</v>
      </c>
      <c r="F1240" s="2" t="s">
        <v>28</v>
      </c>
      <c r="G1240" s="2" t="s">
        <v>24</v>
      </c>
      <c r="H1240" s="2" t="s">
        <v>82</v>
      </c>
      <c r="I1240" s="2" t="s">
        <v>50</v>
      </c>
      <c r="J1240" s="4">
        <v>1</v>
      </c>
      <c r="K1240" s="5">
        <v>279.54000000000002</v>
      </c>
      <c r="L1240" s="6">
        <v>0</v>
      </c>
      <c r="M1240" s="5">
        <v>279.54000000000002</v>
      </c>
      <c r="P1240" t="str">
        <f>TEXT(Tableau2[[#This Row],[Date]],"mmmm aaaa")</f>
        <v>décembre 2026</v>
      </c>
    </row>
    <row r="1241" spans="1:16">
      <c r="A1241" s="2" t="s">
        <v>1328</v>
      </c>
      <c r="B1241" s="3">
        <v>46237</v>
      </c>
      <c r="C1241" s="2" t="s">
        <v>14</v>
      </c>
      <c r="D1241" s="2" t="s">
        <v>15</v>
      </c>
      <c r="E1241" s="2" t="s">
        <v>16</v>
      </c>
      <c r="F1241" s="2" t="s">
        <v>17</v>
      </c>
      <c r="G1241" s="2" t="s">
        <v>48</v>
      </c>
      <c r="H1241" s="2" t="s">
        <v>49</v>
      </c>
      <c r="I1241" s="2" t="s">
        <v>41</v>
      </c>
      <c r="J1241" s="4">
        <v>1</v>
      </c>
      <c r="K1241" s="5">
        <v>55.55</v>
      </c>
      <c r="L1241" s="6">
        <v>0</v>
      </c>
      <c r="M1241" s="5">
        <v>55.55</v>
      </c>
      <c r="P1241" t="str">
        <f>TEXT(Tableau2[[#This Row],[Date]],"mmmm aaaa")</f>
        <v>août 2026</v>
      </c>
    </row>
    <row r="1242" spans="1:16">
      <c r="A1242" s="2" t="s">
        <v>1329</v>
      </c>
      <c r="B1242" s="3">
        <v>46181</v>
      </c>
      <c r="C1242" s="2" t="s">
        <v>178</v>
      </c>
      <c r="D1242" s="2" t="s">
        <v>15</v>
      </c>
      <c r="E1242" s="2" t="s">
        <v>16</v>
      </c>
      <c r="F1242" s="2" t="s">
        <v>17</v>
      </c>
      <c r="G1242" s="2" t="s">
        <v>24</v>
      </c>
      <c r="H1242" s="2" t="s">
        <v>61</v>
      </c>
      <c r="I1242" s="2" t="s">
        <v>58</v>
      </c>
      <c r="J1242" s="4">
        <v>2</v>
      </c>
      <c r="K1242" s="5">
        <v>251.66</v>
      </c>
      <c r="L1242" s="6">
        <v>0</v>
      </c>
      <c r="M1242" s="5">
        <v>503.32</v>
      </c>
      <c r="P1242" t="str">
        <f>TEXT(Tableau2[[#This Row],[Date]],"mmmm aaaa")</f>
        <v>juin 2026</v>
      </c>
    </row>
    <row r="1243" spans="1:16">
      <c r="A1243" s="2" t="s">
        <v>1330</v>
      </c>
      <c r="B1243" s="3">
        <v>46362</v>
      </c>
      <c r="C1243" s="2" t="s">
        <v>47</v>
      </c>
      <c r="D1243" s="2" t="s">
        <v>15</v>
      </c>
      <c r="E1243" s="2" t="s">
        <v>16</v>
      </c>
      <c r="F1243" s="2" t="s">
        <v>28</v>
      </c>
      <c r="G1243" s="2" t="s">
        <v>29</v>
      </c>
      <c r="H1243" s="2" t="s">
        <v>140</v>
      </c>
      <c r="I1243" s="2" t="s">
        <v>26</v>
      </c>
      <c r="J1243" s="4">
        <v>10</v>
      </c>
      <c r="K1243" s="5">
        <v>51.47</v>
      </c>
      <c r="L1243" s="6">
        <v>0</v>
      </c>
      <c r="M1243" s="5">
        <v>514.70000000000005</v>
      </c>
      <c r="P1243" t="str">
        <f>TEXT(Tableau2[[#This Row],[Date]],"mmmm aaaa")</f>
        <v>décembre 2026</v>
      </c>
    </row>
    <row r="1244" spans="1:16">
      <c r="A1244" s="2" t="s">
        <v>1331</v>
      </c>
      <c r="B1244" s="3">
        <v>46188</v>
      </c>
      <c r="C1244" s="2" t="s">
        <v>22</v>
      </c>
      <c r="D1244" s="2" t="s">
        <v>23</v>
      </c>
      <c r="E1244" s="2" t="s">
        <v>16</v>
      </c>
      <c r="F1244" s="2" t="s">
        <v>28</v>
      </c>
      <c r="G1244" s="2" t="s">
        <v>29</v>
      </c>
      <c r="H1244" s="2" t="s">
        <v>44</v>
      </c>
      <c r="I1244" s="2" t="s">
        <v>41</v>
      </c>
      <c r="J1244" s="4">
        <v>1</v>
      </c>
      <c r="K1244" s="5">
        <v>37.51</v>
      </c>
      <c r="L1244" s="6">
        <v>0</v>
      </c>
      <c r="M1244" s="5">
        <v>37.51</v>
      </c>
      <c r="P1244" t="str">
        <f>TEXT(Tableau2[[#This Row],[Date]],"mmmm aaaa")</f>
        <v>juin 2026</v>
      </c>
    </row>
    <row r="1245" spans="1:16">
      <c r="A1245" s="2" t="s">
        <v>1332</v>
      </c>
      <c r="B1245" s="3">
        <v>46269</v>
      </c>
      <c r="C1245" s="2" t="s">
        <v>22</v>
      </c>
      <c r="D1245" s="2" t="s">
        <v>23</v>
      </c>
      <c r="E1245" s="2" t="s">
        <v>34</v>
      </c>
      <c r="F1245" s="2" t="s">
        <v>17</v>
      </c>
      <c r="G1245" s="2" t="s">
        <v>48</v>
      </c>
      <c r="H1245" s="2" t="s">
        <v>84</v>
      </c>
      <c r="I1245" s="2" t="s">
        <v>75</v>
      </c>
      <c r="J1245" s="4">
        <v>8</v>
      </c>
      <c r="K1245" s="5">
        <v>92.54</v>
      </c>
      <c r="L1245" s="6">
        <v>0.1</v>
      </c>
      <c r="M1245" s="5">
        <v>666.29</v>
      </c>
      <c r="P1245" t="str">
        <f>TEXT(Tableau2[[#This Row],[Date]],"mmmm aaaa")</f>
        <v>septembre 2026</v>
      </c>
    </row>
    <row r="1246" spans="1:16">
      <c r="A1246" s="2" t="s">
        <v>1333</v>
      </c>
      <c r="B1246" s="3">
        <v>46036</v>
      </c>
      <c r="C1246" s="2" t="s">
        <v>119</v>
      </c>
      <c r="D1246" s="2" t="s">
        <v>15</v>
      </c>
      <c r="E1246" s="2" t="s">
        <v>16</v>
      </c>
      <c r="F1246" s="2" t="s">
        <v>17</v>
      </c>
      <c r="G1246" s="2" t="s">
        <v>24</v>
      </c>
      <c r="H1246" s="2" t="s">
        <v>25</v>
      </c>
      <c r="I1246" s="2" t="s">
        <v>75</v>
      </c>
      <c r="J1246" s="4">
        <v>1</v>
      </c>
      <c r="K1246" s="5">
        <v>131.02000000000001</v>
      </c>
      <c r="L1246" s="6">
        <v>0</v>
      </c>
      <c r="M1246" s="5">
        <v>131.02000000000001</v>
      </c>
      <c r="P1246" t="str">
        <f>TEXT(Tableau2[[#This Row],[Date]],"mmmm aaaa")</f>
        <v>janvier 2026</v>
      </c>
    </row>
    <row r="1247" spans="1:16">
      <c r="A1247" s="2" t="s">
        <v>1334</v>
      </c>
      <c r="B1247" s="3">
        <v>46241</v>
      </c>
      <c r="C1247" s="2" t="s">
        <v>14</v>
      </c>
      <c r="D1247" s="2" t="s">
        <v>15</v>
      </c>
      <c r="E1247" s="2" t="s">
        <v>16</v>
      </c>
      <c r="F1247" s="2" t="s">
        <v>28</v>
      </c>
      <c r="G1247" s="2" t="s">
        <v>39</v>
      </c>
      <c r="H1247" s="2" t="s">
        <v>95</v>
      </c>
      <c r="I1247" s="2" t="s">
        <v>75</v>
      </c>
      <c r="J1247" s="4">
        <v>8</v>
      </c>
      <c r="K1247" s="5">
        <v>95.01</v>
      </c>
      <c r="L1247" s="6">
        <v>0</v>
      </c>
      <c r="M1247" s="5">
        <v>760.08</v>
      </c>
      <c r="P1247" t="str">
        <f>TEXT(Tableau2[[#This Row],[Date]],"mmmm aaaa")</f>
        <v>août 2026</v>
      </c>
    </row>
    <row r="1248" spans="1:16">
      <c r="A1248" s="2" t="s">
        <v>1335</v>
      </c>
      <c r="B1248" s="3">
        <v>46294</v>
      </c>
      <c r="C1248" s="2" t="s">
        <v>22</v>
      </c>
      <c r="D1248" s="2" t="s">
        <v>23</v>
      </c>
      <c r="E1248" s="2" t="s">
        <v>16</v>
      </c>
      <c r="F1248" s="2" t="s">
        <v>28</v>
      </c>
      <c r="G1248" s="2" t="s">
        <v>39</v>
      </c>
      <c r="H1248" s="2" t="s">
        <v>71</v>
      </c>
      <c r="I1248" s="2" t="s">
        <v>75</v>
      </c>
      <c r="J1248" s="4">
        <v>5</v>
      </c>
      <c r="K1248" s="5">
        <v>115.92</v>
      </c>
      <c r="L1248" s="6">
        <v>0</v>
      </c>
      <c r="M1248" s="5">
        <v>579.6</v>
      </c>
      <c r="P1248" t="str">
        <f>TEXT(Tableau2[[#This Row],[Date]],"mmmm aaaa")</f>
        <v>septembre 2026</v>
      </c>
    </row>
    <row r="1249" spans="1:16">
      <c r="A1249" s="2" t="s">
        <v>1336</v>
      </c>
      <c r="B1249" s="3">
        <v>46028</v>
      </c>
      <c r="C1249" s="2" t="s">
        <v>14</v>
      </c>
      <c r="D1249" s="2" t="s">
        <v>15</v>
      </c>
      <c r="E1249" s="2" t="s">
        <v>16</v>
      </c>
      <c r="F1249" s="2" t="s">
        <v>28</v>
      </c>
      <c r="G1249" s="2" t="s">
        <v>48</v>
      </c>
      <c r="H1249" s="2" t="s">
        <v>88</v>
      </c>
      <c r="I1249" s="2" t="s">
        <v>20</v>
      </c>
      <c r="J1249" s="4">
        <v>2</v>
      </c>
      <c r="K1249" s="5">
        <v>79.010000000000005</v>
      </c>
      <c r="L1249" s="6">
        <v>0</v>
      </c>
      <c r="M1249" s="5">
        <v>158.02000000000001</v>
      </c>
      <c r="P1249" t="str">
        <f>TEXT(Tableau2[[#This Row],[Date]],"mmmm aaaa")</f>
        <v>janvier 2026</v>
      </c>
    </row>
    <row r="1250" spans="1:16">
      <c r="A1250" s="2" t="s">
        <v>1337</v>
      </c>
      <c r="B1250" s="3">
        <v>46173</v>
      </c>
      <c r="C1250" s="2" t="s">
        <v>79</v>
      </c>
      <c r="D1250" s="2" t="s">
        <v>33</v>
      </c>
      <c r="E1250" s="2" t="s">
        <v>34</v>
      </c>
      <c r="F1250" s="2" t="s">
        <v>28</v>
      </c>
      <c r="G1250" s="2" t="s">
        <v>48</v>
      </c>
      <c r="H1250" s="2" t="s">
        <v>49</v>
      </c>
      <c r="I1250" s="2" t="s">
        <v>20</v>
      </c>
      <c r="J1250" s="4">
        <v>6</v>
      </c>
      <c r="K1250" s="5">
        <v>54.94</v>
      </c>
      <c r="L1250" s="6">
        <v>0.1</v>
      </c>
      <c r="M1250" s="5">
        <v>296.68</v>
      </c>
      <c r="P1250" t="str">
        <f>TEXT(Tableau2[[#This Row],[Date]],"mmmm aaaa")</f>
        <v>mai 2026</v>
      </c>
    </row>
    <row r="1251" spans="1:16">
      <c r="A1251" s="2" t="s">
        <v>1338</v>
      </c>
      <c r="B1251" s="3">
        <v>46306</v>
      </c>
      <c r="C1251" s="2" t="s">
        <v>63</v>
      </c>
      <c r="D1251" s="2" t="s">
        <v>33</v>
      </c>
      <c r="E1251" s="2" t="s">
        <v>16</v>
      </c>
      <c r="F1251" s="2" t="s">
        <v>17</v>
      </c>
      <c r="G1251" s="2" t="s">
        <v>18</v>
      </c>
      <c r="H1251" s="2" t="s">
        <v>143</v>
      </c>
      <c r="I1251" s="2" t="s">
        <v>50</v>
      </c>
      <c r="J1251" s="4">
        <v>4</v>
      </c>
      <c r="K1251" s="5">
        <v>73.33</v>
      </c>
      <c r="L1251" s="6">
        <v>0</v>
      </c>
      <c r="M1251" s="5">
        <v>293.32</v>
      </c>
      <c r="P1251" t="str">
        <f>TEXT(Tableau2[[#This Row],[Date]],"mmmm aaaa")</f>
        <v>octobre 2026</v>
      </c>
    </row>
    <row r="1252" spans="1:16">
      <c r="A1252" s="2" t="s">
        <v>1339</v>
      </c>
      <c r="B1252" s="3">
        <v>46114</v>
      </c>
      <c r="C1252" s="2" t="s">
        <v>14</v>
      </c>
      <c r="D1252" s="2" t="s">
        <v>15</v>
      </c>
      <c r="E1252" s="2" t="s">
        <v>34</v>
      </c>
      <c r="F1252" s="2" t="s">
        <v>17</v>
      </c>
      <c r="G1252" s="2" t="s">
        <v>48</v>
      </c>
      <c r="H1252" s="2" t="s">
        <v>84</v>
      </c>
      <c r="I1252" s="2" t="s">
        <v>75</v>
      </c>
      <c r="J1252" s="4">
        <v>2</v>
      </c>
      <c r="K1252" s="5">
        <v>93.07</v>
      </c>
      <c r="L1252" s="6">
        <v>0</v>
      </c>
      <c r="M1252" s="5">
        <v>186.14</v>
      </c>
      <c r="P1252" t="str">
        <f>TEXT(Tableau2[[#This Row],[Date]],"mmmm aaaa")</f>
        <v>avril 2026</v>
      </c>
    </row>
    <row r="1253" spans="1:16">
      <c r="A1253" s="2" t="s">
        <v>1340</v>
      </c>
      <c r="B1253" s="3">
        <v>46266</v>
      </c>
      <c r="C1253" s="2" t="s">
        <v>101</v>
      </c>
      <c r="D1253" s="2" t="s">
        <v>33</v>
      </c>
      <c r="E1253" s="2" t="s">
        <v>38</v>
      </c>
      <c r="F1253" s="2" t="s">
        <v>28</v>
      </c>
      <c r="G1253" s="2" t="s">
        <v>24</v>
      </c>
      <c r="H1253" s="2" t="s">
        <v>25</v>
      </c>
      <c r="I1253" s="2" t="s">
        <v>20</v>
      </c>
      <c r="J1253" s="4">
        <v>1</v>
      </c>
      <c r="K1253" s="5">
        <v>129.80000000000001</v>
      </c>
      <c r="L1253" s="6">
        <v>0.05</v>
      </c>
      <c r="M1253" s="5">
        <v>123.31</v>
      </c>
      <c r="P1253" t="str">
        <f>TEXT(Tableau2[[#This Row],[Date]],"mmmm aaaa")</f>
        <v>septembre 2026</v>
      </c>
    </row>
    <row r="1254" spans="1:16">
      <c r="A1254" s="2" t="s">
        <v>1341</v>
      </c>
      <c r="B1254" s="3">
        <v>46294</v>
      </c>
      <c r="C1254" s="2" t="s">
        <v>57</v>
      </c>
      <c r="D1254" s="2" t="s">
        <v>15</v>
      </c>
      <c r="E1254" s="2" t="s">
        <v>16</v>
      </c>
      <c r="F1254" s="2" t="s">
        <v>17</v>
      </c>
      <c r="G1254" s="2" t="s">
        <v>29</v>
      </c>
      <c r="H1254" s="2" t="s">
        <v>140</v>
      </c>
      <c r="I1254" s="2" t="s">
        <v>41</v>
      </c>
      <c r="J1254" s="4">
        <v>1</v>
      </c>
      <c r="K1254" s="5">
        <v>46.31</v>
      </c>
      <c r="L1254" s="6">
        <v>0.05</v>
      </c>
      <c r="M1254" s="5">
        <v>43.99</v>
      </c>
      <c r="P1254" t="str">
        <f>TEXT(Tableau2[[#This Row],[Date]],"mmmm aaaa")</f>
        <v>septembre 2026</v>
      </c>
    </row>
    <row r="1255" spans="1:16">
      <c r="A1255" s="2" t="s">
        <v>1342</v>
      </c>
      <c r="B1255" s="3">
        <v>46243</v>
      </c>
      <c r="C1255" s="2" t="s">
        <v>14</v>
      </c>
      <c r="D1255" s="2" t="s">
        <v>15</v>
      </c>
      <c r="E1255" s="2" t="s">
        <v>43</v>
      </c>
      <c r="F1255" s="2" t="s">
        <v>17</v>
      </c>
      <c r="G1255" s="2" t="s">
        <v>54</v>
      </c>
      <c r="H1255" s="2" t="s">
        <v>102</v>
      </c>
      <c r="I1255" s="2" t="s">
        <v>41</v>
      </c>
      <c r="J1255" s="4">
        <v>5</v>
      </c>
      <c r="K1255" s="5">
        <v>203.13</v>
      </c>
      <c r="L1255" s="6">
        <v>0</v>
      </c>
      <c r="M1255" s="5">
        <v>1015.65</v>
      </c>
      <c r="P1255" t="str">
        <f>TEXT(Tableau2[[#This Row],[Date]],"mmmm aaaa")</f>
        <v>août 2026</v>
      </c>
    </row>
    <row r="1256" spans="1:16">
      <c r="A1256" s="2" t="s">
        <v>1343</v>
      </c>
      <c r="B1256" s="3">
        <v>46280</v>
      </c>
      <c r="C1256" s="2" t="s">
        <v>22</v>
      </c>
      <c r="D1256" s="2" t="s">
        <v>23</v>
      </c>
      <c r="E1256" s="2" t="s">
        <v>16</v>
      </c>
      <c r="F1256" s="2" t="s">
        <v>28</v>
      </c>
      <c r="G1256" s="2" t="s">
        <v>39</v>
      </c>
      <c r="H1256" s="2" t="s">
        <v>71</v>
      </c>
      <c r="I1256" s="2" t="s">
        <v>36</v>
      </c>
      <c r="J1256" s="4">
        <v>2</v>
      </c>
      <c r="K1256" s="5">
        <v>119.25</v>
      </c>
      <c r="L1256" s="6">
        <v>0.05</v>
      </c>
      <c r="M1256" s="5">
        <v>226.57</v>
      </c>
      <c r="P1256" t="str">
        <f>TEXT(Tableau2[[#This Row],[Date]],"mmmm aaaa")</f>
        <v>septembre 2026</v>
      </c>
    </row>
    <row r="1257" spans="1:16">
      <c r="A1257" s="2" t="s">
        <v>1344</v>
      </c>
      <c r="B1257" s="3">
        <v>46109</v>
      </c>
      <c r="C1257" s="2" t="s">
        <v>164</v>
      </c>
      <c r="D1257" s="2" t="s">
        <v>53</v>
      </c>
      <c r="E1257" s="2" t="s">
        <v>16</v>
      </c>
      <c r="F1257" s="2" t="s">
        <v>17</v>
      </c>
      <c r="G1257" s="2" t="s">
        <v>29</v>
      </c>
      <c r="H1257" s="2" t="s">
        <v>99</v>
      </c>
      <c r="I1257" s="2" t="s">
        <v>45</v>
      </c>
      <c r="J1257" s="4">
        <v>1</v>
      </c>
      <c r="K1257" s="5">
        <v>59.07</v>
      </c>
      <c r="L1257" s="6">
        <v>0</v>
      </c>
      <c r="M1257" s="5">
        <v>59.07</v>
      </c>
      <c r="P1257" t="str">
        <f>TEXT(Tableau2[[#This Row],[Date]],"mmmm aaaa")</f>
        <v>mars 2026</v>
      </c>
    </row>
    <row r="1258" spans="1:16">
      <c r="A1258" s="2" t="s">
        <v>1345</v>
      </c>
      <c r="B1258" s="3">
        <v>46113</v>
      </c>
      <c r="C1258" s="2" t="s">
        <v>106</v>
      </c>
      <c r="D1258" s="2" t="s">
        <v>23</v>
      </c>
      <c r="E1258" s="2" t="s">
        <v>16</v>
      </c>
      <c r="F1258" s="2" t="s">
        <v>17</v>
      </c>
      <c r="G1258" s="2" t="s">
        <v>18</v>
      </c>
      <c r="H1258" s="2" t="s">
        <v>158</v>
      </c>
      <c r="I1258" s="2" t="s">
        <v>20</v>
      </c>
      <c r="J1258" s="4">
        <v>3</v>
      </c>
      <c r="K1258" s="5">
        <v>49.27</v>
      </c>
      <c r="L1258" s="6">
        <v>0.05</v>
      </c>
      <c r="M1258" s="5">
        <v>140.41999999999999</v>
      </c>
      <c r="P1258" t="str">
        <f>TEXT(Tableau2[[#This Row],[Date]],"mmmm aaaa")</f>
        <v>avril 2026</v>
      </c>
    </row>
    <row r="1259" spans="1:16">
      <c r="A1259" s="2" t="s">
        <v>1346</v>
      </c>
      <c r="B1259" s="3">
        <v>46141</v>
      </c>
      <c r="C1259" s="2" t="s">
        <v>47</v>
      </c>
      <c r="D1259" s="2" t="s">
        <v>15</v>
      </c>
      <c r="E1259" s="2" t="s">
        <v>16</v>
      </c>
      <c r="F1259" s="2" t="s">
        <v>17</v>
      </c>
      <c r="G1259" s="2" t="s">
        <v>18</v>
      </c>
      <c r="H1259" s="2" t="s">
        <v>158</v>
      </c>
      <c r="I1259" s="2" t="s">
        <v>58</v>
      </c>
      <c r="J1259" s="4">
        <v>1</v>
      </c>
      <c r="K1259" s="5">
        <v>46.28</v>
      </c>
      <c r="L1259" s="6">
        <v>0</v>
      </c>
      <c r="M1259" s="5">
        <v>46.28</v>
      </c>
      <c r="P1259" t="str">
        <f>TEXT(Tableau2[[#This Row],[Date]],"mmmm aaaa")</f>
        <v>avril 2026</v>
      </c>
    </row>
    <row r="1260" spans="1:16">
      <c r="A1260" s="2" t="s">
        <v>1347</v>
      </c>
      <c r="B1260" s="3">
        <v>46134</v>
      </c>
      <c r="C1260" s="2" t="s">
        <v>119</v>
      </c>
      <c r="D1260" s="2" t="s">
        <v>15</v>
      </c>
      <c r="E1260" s="2" t="s">
        <v>43</v>
      </c>
      <c r="F1260" s="2" t="s">
        <v>17</v>
      </c>
      <c r="G1260" s="2" t="s">
        <v>54</v>
      </c>
      <c r="H1260" s="2" t="s">
        <v>102</v>
      </c>
      <c r="I1260" s="2" t="s">
        <v>20</v>
      </c>
      <c r="J1260" s="4">
        <v>5</v>
      </c>
      <c r="K1260" s="5">
        <v>206.71</v>
      </c>
      <c r="L1260" s="6">
        <v>0.05</v>
      </c>
      <c r="M1260" s="5">
        <v>981.87</v>
      </c>
      <c r="P1260" t="str">
        <f>TEXT(Tableau2[[#This Row],[Date]],"mmmm aaaa")</f>
        <v>avril 2026</v>
      </c>
    </row>
    <row r="1261" spans="1:16">
      <c r="A1261" s="2" t="s">
        <v>1348</v>
      </c>
      <c r="B1261" s="3">
        <v>46139</v>
      </c>
      <c r="C1261" s="2" t="s">
        <v>22</v>
      </c>
      <c r="D1261" s="2" t="s">
        <v>23</v>
      </c>
      <c r="E1261" s="2" t="s">
        <v>38</v>
      </c>
      <c r="F1261" s="2" t="s">
        <v>17</v>
      </c>
      <c r="G1261" s="2" t="s">
        <v>29</v>
      </c>
      <c r="H1261" s="2" t="s">
        <v>44</v>
      </c>
      <c r="I1261" s="2" t="s">
        <v>20</v>
      </c>
      <c r="J1261" s="4">
        <v>3</v>
      </c>
      <c r="K1261" s="5">
        <v>39.369999999999997</v>
      </c>
      <c r="L1261" s="6">
        <v>0.05</v>
      </c>
      <c r="M1261" s="5">
        <v>112.2</v>
      </c>
      <c r="P1261" t="str">
        <f>TEXT(Tableau2[[#This Row],[Date]],"mmmm aaaa")</f>
        <v>avril 2026</v>
      </c>
    </row>
    <row r="1262" spans="1:16">
      <c r="A1262" s="2" t="s">
        <v>1349</v>
      </c>
      <c r="B1262" s="3">
        <v>46136</v>
      </c>
      <c r="C1262" s="2" t="s">
        <v>22</v>
      </c>
      <c r="D1262" s="2" t="s">
        <v>23</v>
      </c>
      <c r="E1262" s="2" t="s">
        <v>16</v>
      </c>
      <c r="F1262" s="2" t="s">
        <v>28</v>
      </c>
      <c r="G1262" s="2" t="s">
        <v>39</v>
      </c>
      <c r="H1262" s="2" t="s">
        <v>71</v>
      </c>
      <c r="I1262" s="2" t="s">
        <v>75</v>
      </c>
      <c r="J1262" s="4">
        <v>2</v>
      </c>
      <c r="K1262" s="5">
        <v>122.24</v>
      </c>
      <c r="L1262" s="6">
        <v>0</v>
      </c>
      <c r="M1262" s="5">
        <v>244.48</v>
      </c>
      <c r="P1262" t="str">
        <f>TEXT(Tableau2[[#This Row],[Date]],"mmmm aaaa")</f>
        <v>avril 2026</v>
      </c>
    </row>
    <row r="1263" spans="1:16">
      <c r="A1263" s="2" t="s">
        <v>1350</v>
      </c>
      <c r="B1263" s="3">
        <v>46051</v>
      </c>
      <c r="C1263" s="2" t="s">
        <v>52</v>
      </c>
      <c r="D1263" s="2" t="s">
        <v>53</v>
      </c>
      <c r="E1263" s="2" t="s">
        <v>16</v>
      </c>
      <c r="F1263" s="2" t="s">
        <v>28</v>
      </c>
      <c r="G1263" s="2" t="s">
        <v>48</v>
      </c>
      <c r="H1263" s="2" t="s">
        <v>77</v>
      </c>
      <c r="I1263" s="2" t="s">
        <v>45</v>
      </c>
      <c r="J1263" s="4">
        <v>1</v>
      </c>
      <c r="K1263" s="5">
        <v>81.08</v>
      </c>
      <c r="L1263" s="6">
        <v>0</v>
      </c>
      <c r="M1263" s="5">
        <v>81.08</v>
      </c>
      <c r="P1263" t="str">
        <f>TEXT(Tableau2[[#This Row],[Date]],"mmmm aaaa")</f>
        <v>janvier 2026</v>
      </c>
    </row>
    <row r="1264" spans="1:16">
      <c r="A1264" s="2" t="s">
        <v>1351</v>
      </c>
      <c r="B1264" s="3">
        <v>46217</v>
      </c>
      <c r="C1264" s="2" t="s">
        <v>134</v>
      </c>
      <c r="D1264" s="2" t="s">
        <v>15</v>
      </c>
      <c r="E1264" s="2" t="s">
        <v>16</v>
      </c>
      <c r="F1264" s="2" t="s">
        <v>28</v>
      </c>
      <c r="G1264" s="2" t="s">
        <v>24</v>
      </c>
      <c r="H1264" s="2" t="s">
        <v>61</v>
      </c>
      <c r="I1264" s="2" t="s">
        <v>45</v>
      </c>
      <c r="J1264" s="4">
        <v>9</v>
      </c>
      <c r="K1264" s="5">
        <v>248.43</v>
      </c>
      <c r="L1264" s="6">
        <v>0.15</v>
      </c>
      <c r="M1264" s="5">
        <v>1900.49</v>
      </c>
      <c r="P1264" t="str">
        <f>TEXT(Tableau2[[#This Row],[Date]],"mmmm aaaa")</f>
        <v>juillet 2026</v>
      </c>
    </row>
    <row r="1265" spans="1:16">
      <c r="A1265" s="2" t="s">
        <v>1352</v>
      </c>
      <c r="B1265" s="3">
        <v>46250</v>
      </c>
      <c r="C1265" s="2" t="s">
        <v>94</v>
      </c>
      <c r="D1265" s="2" t="s">
        <v>15</v>
      </c>
      <c r="E1265" s="2" t="s">
        <v>43</v>
      </c>
      <c r="F1265" s="2" t="s">
        <v>17</v>
      </c>
      <c r="G1265" s="2" t="s">
        <v>29</v>
      </c>
      <c r="H1265" s="2" t="s">
        <v>99</v>
      </c>
      <c r="I1265" s="2" t="s">
        <v>50</v>
      </c>
      <c r="J1265" s="4">
        <v>1</v>
      </c>
      <c r="K1265" s="5">
        <v>62.06</v>
      </c>
      <c r="L1265" s="6">
        <v>0</v>
      </c>
      <c r="M1265" s="5">
        <v>62.06</v>
      </c>
      <c r="P1265" t="str">
        <f>TEXT(Tableau2[[#This Row],[Date]],"mmmm aaaa")</f>
        <v>août 2026</v>
      </c>
    </row>
    <row r="1266" spans="1:16">
      <c r="A1266" s="2" t="s">
        <v>1353</v>
      </c>
      <c r="B1266" s="3">
        <v>46277</v>
      </c>
      <c r="C1266" s="2" t="s">
        <v>14</v>
      </c>
      <c r="D1266" s="2" t="s">
        <v>15</v>
      </c>
      <c r="E1266" s="2" t="s">
        <v>43</v>
      </c>
      <c r="F1266" s="2" t="s">
        <v>17</v>
      </c>
      <c r="G1266" s="2" t="s">
        <v>29</v>
      </c>
      <c r="H1266" s="2" t="s">
        <v>140</v>
      </c>
      <c r="I1266" s="2" t="s">
        <v>41</v>
      </c>
      <c r="J1266" s="4">
        <v>4</v>
      </c>
      <c r="K1266" s="5">
        <v>49.66</v>
      </c>
      <c r="L1266" s="6">
        <v>0.3</v>
      </c>
      <c r="M1266" s="5">
        <v>139.05000000000001</v>
      </c>
      <c r="P1266" t="str">
        <f>TEXT(Tableau2[[#This Row],[Date]],"mmmm aaaa")</f>
        <v>septembre 2026</v>
      </c>
    </row>
    <row r="1267" spans="1:16">
      <c r="A1267" s="2" t="s">
        <v>1354</v>
      </c>
      <c r="B1267" s="3">
        <v>46100</v>
      </c>
      <c r="C1267" s="2" t="s">
        <v>57</v>
      </c>
      <c r="D1267" s="2" t="s">
        <v>15</v>
      </c>
      <c r="E1267" s="2" t="s">
        <v>34</v>
      </c>
      <c r="F1267" s="2" t="s">
        <v>17</v>
      </c>
      <c r="G1267" s="2" t="s">
        <v>48</v>
      </c>
      <c r="H1267" s="2" t="s">
        <v>49</v>
      </c>
      <c r="I1267" s="2" t="s">
        <v>36</v>
      </c>
      <c r="J1267" s="4">
        <v>2</v>
      </c>
      <c r="K1267" s="5">
        <v>59</v>
      </c>
      <c r="L1267" s="6">
        <v>0</v>
      </c>
      <c r="M1267" s="5">
        <v>118</v>
      </c>
      <c r="P1267" t="str">
        <f>TEXT(Tableau2[[#This Row],[Date]],"mmmm aaaa")</f>
        <v>mars 2026</v>
      </c>
    </row>
    <row r="1268" spans="1:16">
      <c r="A1268" s="2" t="s">
        <v>1355</v>
      </c>
      <c r="B1268" s="3">
        <v>46121</v>
      </c>
      <c r="C1268" s="2" t="s">
        <v>441</v>
      </c>
      <c r="D1268" s="2" t="s">
        <v>23</v>
      </c>
      <c r="E1268" s="2" t="s">
        <v>16</v>
      </c>
      <c r="F1268" s="2" t="s">
        <v>17</v>
      </c>
      <c r="G1268" s="2" t="s">
        <v>39</v>
      </c>
      <c r="H1268" s="2" t="s">
        <v>71</v>
      </c>
      <c r="I1268" s="2" t="s">
        <v>26</v>
      </c>
      <c r="J1268" s="4">
        <v>2</v>
      </c>
      <c r="K1268" s="5">
        <v>114.15</v>
      </c>
      <c r="L1268" s="6">
        <v>0</v>
      </c>
      <c r="M1268" s="5">
        <v>228.3</v>
      </c>
      <c r="P1268" t="str">
        <f>TEXT(Tableau2[[#This Row],[Date]],"mmmm aaaa")</f>
        <v>avril 2026</v>
      </c>
    </row>
    <row r="1269" spans="1:16">
      <c r="A1269" s="2" t="s">
        <v>1356</v>
      </c>
      <c r="B1269" s="3">
        <v>46341</v>
      </c>
      <c r="C1269" s="2" t="s">
        <v>119</v>
      </c>
      <c r="D1269" s="2" t="s">
        <v>15</v>
      </c>
      <c r="E1269" s="2" t="s">
        <v>34</v>
      </c>
      <c r="F1269" s="2" t="s">
        <v>17</v>
      </c>
      <c r="G1269" s="2" t="s">
        <v>18</v>
      </c>
      <c r="H1269" s="2" t="s">
        <v>158</v>
      </c>
      <c r="I1269" s="2" t="s">
        <v>45</v>
      </c>
      <c r="J1269" s="4">
        <v>1</v>
      </c>
      <c r="K1269" s="5">
        <v>43.01</v>
      </c>
      <c r="L1269" s="6">
        <v>0.15</v>
      </c>
      <c r="M1269" s="5">
        <v>36.56</v>
      </c>
      <c r="P1269" t="str">
        <f>TEXT(Tableau2[[#This Row],[Date]],"mmmm aaaa")</f>
        <v>novembre 2026</v>
      </c>
    </row>
    <row r="1270" spans="1:16">
      <c r="A1270" s="2" t="s">
        <v>1357</v>
      </c>
      <c r="B1270" s="3">
        <v>46318</v>
      </c>
      <c r="C1270" s="2" t="s">
        <v>164</v>
      </c>
      <c r="D1270" s="2" t="s">
        <v>53</v>
      </c>
      <c r="E1270" s="2" t="s">
        <v>43</v>
      </c>
      <c r="F1270" s="2" t="s">
        <v>17</v>
      </c>
      <c r="G1270" s="2" t="s">
        <v>54</v>
      </c>
      <c r="H1270" s="2" t="s">
        <v>64</v>
      </c>
      <c r="I1270" s="2" t="s">
        <v>26</v>
      </c>
      <c r="J1270" s="4">
        <v>2</v>
      </c>
      <c r="K1270" s="5">
        <v>84.49</v>
      </c>
      <c r="L1270" s="6">
        <v>0.15</v>
      </c>
      <c r="M1270" s="5">
        <v>143.63</v>
      </c>
      <c r="P1270" t="str">
        <f>TEXT(Tableau2[[#This Row],[Date]],"mmmm aaaa")</f>
        <v>octobre 2026</v>
      </c>
    </row>
    <row r="1271" spans="1:16">
      <c r="A1271" s="2" t="s">
        <v>1358</v>
      </c>
      <c r="B1271" s="3">
        <v>46221</v>
      </c>
      <c r="C1271" s="2" t="s">
        <v>14</v>
      </c>
      <c r="D1271" s="2" t="s">
        <v>15</v>
      </c>
      <c r="E1271" s="2" t="s">
        <v>34</v>
      </c>
      <c r="F1271" s="2" t="s">
        <v>28</v>
      </c>
      <c r="G1271" s="2" t="s">
        <v>29</v>
      </c>
      <c r="H1271" s="2" t="s">
        <v>44</v>
      </c>
      <c r="I1271" s="2" t="s">
        <v>50</v>
      </c>
      <c r="J1271" s="4">
        <v>4</v>
      </c>
      <c r="K1271" s="5">
        <v>39.909999999999997</v>
      </c>
      <c r="L1271" s="6">
        <v>0</v>
      </c>
      <c r="M1271" s="5">
        <v>159.63999999999999</v>
      </c>
      <c r="P1271" t="str">
        <f>TEXT(Tableau2[[#This Row],[Date]],"mmmm aaaa")</f>
        <v>juillet 2026</v>
      </c>
    </row>
    <row r="1272" spans="1:16">
      <c r="A1272" s="2" t="s">
        <v>1359</v>
      </c>
      <c r="B1272" s="3">
        <v>46291</v>
      </c>
      <c r="C1272" s="2" t="s">
        <v>130</v>
      </c>
      <c r="D1272" s="2" t="s">
        <v>53</v>
      </c>
      <c r="E1272" s="2" t="s">
        <v>34</v>
      </c>
      <c r="F1272" s="2" t="s">
        <v>17</v>
      </c>
      <c r="G1272" s="2" t="s">
        <v>39</v>
      </c>
      <c r="H1272" s="2" t="s">
        <v>95</v>
      </c>
      <c r="I1272" s="2" t="s">
        <v>50</v>
      </c>
      <c r="J1272" s="4">
        <v>1</v>
      </c>
      <c r="K1272" s="5">
        <v>92.61</v>
      </c>
      <c r="L1272" s="6">
        <v>0.15</v>
      </c>
      <c r="M1272" s="5">
        <v>78.72</v>
      </c>
      <c r="P1272" t="str">
        <f>TEXT(Tableau2[[#This Row],[Date]],"mmmm aaaa")</f>
        <v>septembre 2026</v>
      </c>
    </row>
    <row r="1273" spans="1:16">
      <c r="A1273" s="2" t="s">
        <v>1360</v>
      </c>
      <c r="B1273" s="3">
        <v>46057</v>
      </c>
      <c r="C1273" s="2" t="s">
        <v>32</v>
      </c>
      <c r="D1273" s="2" t="s">
        <v>33</v>
      </c>
      <c r="E1273" s="2" t="s">
        <v>16</v>
      </c>
      <c r="F1273" s="2" t="s">
        <v>28</v>
      </c>
      <c r="G1273" s="2" t="s">
        <v>29</v>
      </c>
      <c r="H1273" s="2" t="s">
        <v>30</v>
      </c>
      <c r="I1273" s="2" t="s">
        <v>45</v>
      </c>
      <c r="J1273" s="4">
        <v>3</v>
      </c>
      <c r="K1273" s="5">
        <v>27.87</v>
      </c>
      <c r="L1273" s="6">
        <v>0</v>
      </c>
      <c r="M1273" s="5">
        <v>83.61</v>
      </c>
      <c r="P1273" t="str">
        <f>TEXT(Tableau2[[#This Row],[Date]],"mmmm aaaa")</f>
        <v>février 2026</v>
      </c>
    </row>
    <row r="1274" spans="1:16">
      <c r="A1274" s="2" t="s">
        <v>1361</v>
      </c>
      <c r="B1274" s="3">
        <v>46131</v>
      </c>
      <c r="C1274" s="2" t="s">
        <v>125</v>
      </c>
      <c r="D1274" s="2" t="s">
        <v>23</v>
      </c>
      <c r="E1274" s="2" t="s">
        <v>16</v>
      </c>
      <c r="F1274" s="2" t="s">
        <v>28</v>
      </c>
      <c r="G1274" s="2" t="s">
        <v>54</v>
      </c>
      <c r="H1274" s="2" t="s">
        <v>55</v>
      </c>
      <c r="I1274" s="2" t="s">
        <v>50</v>
      </c>
      <c r="J1274" s="4">
        <v>2</v>
      </c>
      <c r="K1274" s="5">
        <v>157.61000000000001</v>
      </c>
      <c r="L1274" s="6">
        <v>0</v>
      </c>
      <c r="M1274" s="5">
        <v>315.22000000000003</v>
      </c>
      <c r="P1274" t="str">
        <f>TEXT(Tableau2[[#This Row],[Date]],"mmmm aaaa")</f>
        <v>avril 2026</v>
      </c>
    </row>
    <row r="1275" spans="1:16">
      <c r="A1275" s="2" t="s">
        <v>1362</v>
      </c>
      <c r="B1275" s="3">
        <v>46365</v>
      </c>
      <c r="C1275" s="2" t="s">
        <v>125</v>
      </c>
      <c r="D1275" s="2" t="s">
        <v>23</v>
      </c>
      <c r="E1275" s="2" t="s">
        <v>16</v>
      </c>
      <c r="F1275" s="2" t="s">
        <v>28</v>
      </c>
      <c r="G1275" s="2" t="s">
        <v>39</v>
      </c>
      <c r="H1275" s="2" t="s">
        <v>95</v>
      </c>
      <c r="I1275" s="2" t="s">
        <v>45</v>
      </c>
      <c r="J1275" s="4">
        <v>3</v>
      </c>
      <c r="K1275" s="5">
        <v>101.16</v>
      </c>
      <c r="L1275" s="6">
        <v>0</v>
      </c>
      <c r="M1275" s="5">
        <v>303.48</v>
      </c>
      <c r="P1275" t="str">
        <f>TEXT(Tableau2[[#This Row],[Date]],"mmmm aaaa")</f>
        <v>décembre 2026</v>
      </c>
    </row>
    <row r="1276" spans="1:16">
      <c r="A1276" s="2" t="s">
        <v>1363</v>
      </c>
      <c r="B1276" s="3">
        <v>46089</v>
      </c>
      <c r="C1276" s="2" t="s">
        <v>14</v>
      </c>
      <c r="D1276" s="2" t="s">
        <v>15</v>
      </c>
      <c r="E1276" s="2" t="s">
        <v>16</v>
      </c>
      <c r="F1276" s="2" t="s">
        <v>28</v>
      </c>
      <c r="G1276" s="2" t="s">
        <v>24</v>
      </c>
      <c r="H1276" s="2" t="s">
        <v>35</v>
      </c>
      <c r="I1276" s="2" t="s">
        <v>50</v>
      </c>
      <c r="J1276" s="4">
        <v>5</v>
      </c>
      <c r="K1276" s="5">
        <v>170.16</v>
      </c>
      <c r="L1276" s="6">
        <v>0.05</v>
      </c>
      <c r="M1276" s="5">
        <v>808.26</v>
      </c>
      <c r="P1276" t="str">
        <f>TEXT(Tableau2[[#This Row],[Date]],"mmmm aaaa")</f>
        <v>mars 2026</v>
      </c>
    </row>
    <row r="1277" spans="1:16">
      <c r="A1277" s="2" t="s">
        <v>1364</v>
      </c>
      <c r="B1277" s="3">
        <v>46281</v>
      </c>
      <c r="C1277" s="2" t="s">
        <v>79</v>
      </c>
      <c r="D1277" s="2" t="s">
        <v>33</v>
      </c>
      <c r="E1277" s="2" t="s">
        <v>34</v>
      </c>
      <c r="F1277" s="2" t="s">
        <v>17</v>
      </c>
      <c r="G1277" s="2" t="s">
        <v>54</v>
      </c>
      <c r="H1277" s="2" t="s">
        <v>55</v>
      </c>
      <c r="I1277" s="2" t="s">
        <v>36</v>
      </c>
      <c r="J1277" s="4">
        <v>3</v>
      </c>
      <c r="K1277" s="5">
        <v>170.54</v>
      </c>
      <c r="L1277" s="6">
        <v>0.1</v>
      </c>
      <c r="M1277" s="5">
        <v>460.46</v>
      </c>
      <c r="P1277" t="str">
        <f>TEXT(Tableau2[[#This Row],[Date]],"mmmm aaaa")</f>
        <v>septembre 2026</v>
      </c>
    </row>
    <row r="1278" spans="1:16">
      <c r="A1278" s="2" t="s">
        <v>1365</v>
      </c>
      <c r="B1278" s="3">
        <v>46201</v>
      </c>
      <c r="C1278" s="2" t="s">
        <v>101</v>
      </c>
      <c r="D1278" s="2" t="s">
        <v>33</v>
      </c>
      <c r="E1278" s="2" t="s">
        <v>43</v>
      </c>
      <c r="F1278" s="2" t="s">
        <v>28</v>
      </c>
      <c r="G1278" s="2" t="s">
        <v>18</v>
      </c>
      <c r="H1278" s="2" t="s">
        <v>143</v>
      </c>
      <c r="I1278" s="2" t="s">
        <v>36</v>
      </c>
      <c r="J1278" s="4">
        <v>1</v>
      </c>
      <c r="K1278" s="5">
        <v>71.48</v>
      </c>
      <c r="L1278" s="6">
        <v>0</v>
      </c>
      <c r="M1278" s="5">
        <v>71.48</v>
      </c>
      <c r="P1278" t="str">
        <f>TEXT(Tableau2[[#This Row],[Date]],"mmmm aaaa")</f>
        <v>juin 2026</v>
      </c>
    </row>
    <row r="1279" spans="1:16">
      <c r="A1279" s="2" t="s">
        <v>1366</v>
      </c>
      <c r="B1279" s="3">
        <v>46182</v>
      </c>
      <c r="C1279" s="2" t="s">
        <v>106</v>
      </c>
      <c r="D1279" s="2" t="s">
        <v>23</v>
      </c>
      <c r="E1279" s="2" t="s">
        <v>43</v>
      </c>
      <c r="F1279" s="2" t="s">
        <v>17</v>
      </c>
      <c r="G1279" s="2" t="s">
        <v>48</v>
      </c>
      <c r="H1279" s="2" t="s">
        <v>77</v>
      </c>
      <c r="I1279" s="2" t="s">
        <v>41</v>
      </c>
      <c r="J1279" s="4">
        <v>9</v>
      </c>
      <c r="K1279" s="5">
        <v>80.63</v>
      </c>
      <c r="L1279" s="6">
        <v>0</v>
      </c>
      <c r="M1279" s="5">
        <v>725.67</v>
      </c>
      <c r="P1279" t="str">
        <f>TEXT(Tableau2[[#This Row],[Date]],"mmmm aaaa")</f>
        <v>juin 2026</v>
      </c>
    </row>
    <row r="1280" spans="1:16">
      <c r="A1280" s="2" t="s">
        <v>1367</v>
      </c>
      <c r="B1280" s="3">
        <v>46236</v>
      </c>
      <c r="C1280" s="2" t="s">
        <v>22</v>
      </c>
      <c r="D1280" s="2" t="s">
        <v>23</v>
      </c>
      <c r="E1280" s="2" t="s">
        <v>34</v>
      </c>
      <c r="F1280" s="2" t="s">
        <v>17</v>
      </c>
      <c r="G1280" s="2" t="s">
        <v>18</v>
      </c>
      <c r="H1280" s="2" t="s">
        <v>143</v>
      </c>
      <c r="I1280" s="2" t="s">
        <v>50</v>
      </c>
      <c r="J1280" s="4">
        <v>2</v>
      </c>
      <c r="K1280" s="5">
        <v>70.38</v>
      </c>
      <c r="L1280" s="6">
        <v>0</v>
      </c>
      <c r="M1280" s="5">
        <v>140.76</v>
      </c>
      <c r="P1280" t="str">
        <f>TEXT(Tableau2[[#This Row],[Date]],"mmmm aaaa")</f>
        <v>août 2026</v>
      </c>
    </row>
    <row r="1281" spans="1:16">
      <c r="A1281" s="2" t="s">
        <v>1368</v>
      </c>
      <c r="B1281" s="3">
        <v>46185</v>
      </c>
      <c r="C1281" s="2" t="s">
        <v>106</v>
      </c>
      <c r="D1281" s="2" t="s">
        <v>23</v>
      </c>
      <c r="E1281" s="2" t="s">
        <v>34</v>
      </c>
      <c r="F1281" s="2" t="s">
        <v>17</v>
      </c>
      <c r="G1281" s="2" t="s">
        <v>54</v>
      </c>
      <c r="H1281" s="2" t="s">
        <v>102</v>
      </c>
      <c r="I1281" s="2" t="s">
        <v>75</v>
      </c>
      <c r="J1281" s="4">
        <v>13</v>
      </c>
      <c r="K1281" s="5">
        <v>215.04</v>
      </c>
      <c r="L1281" s="6">
        <v>0</v>
      </c>
      <c r="M1281" s="5">
        <v>2795.52</v>
      </c>
      <c r="P1281" t="str">
        <f>TEXT(Tableau2[[#This Row],[Date]],"mmmm aaaa")</f>
        <v>juin 2026</v>
      </c>
    </row>
    <row r="1282" spans="1:16">
      <c r="A1282" s="2" t="s">
        <v>1369</v>
      </c>
      <c r="B1282" s="3">
        <v>46296</v>
      </c>
      <c r="C1282" s="2" t="s">
        <v>52</v>
      </c>
      <c r="D1282" s="2" t="s">
        <v>53</v>
      </c>
      <c r="E1282" s="2" t="s">
        <v>16</v>
      </c>
      <c r="F1282" s="2" t="s">
        <v>17</v>
      </c>
      <c r="G1282" s="2" t="s">
        <v>54</v>
      </c>
      <c r="H1282" s="2" t="s">
        <v>64</v>
      </c>
      <c r="I1282" s="2" t="s">
        <v>20</v>
      </c>
      <c r="J1282" s="4">
        <v>2</v>
      </c>
      <c r="K1282" s="5">
        <v>87.84</v>
      </c>
      <c r="L1282" s="6">
        <v>0</v>
      </c>
      <c r="M1282" s="5">
        <v>175.68</v>
      </c>
      <c r="P1282" t="str">
        <f>TEXT(Tableau2[[#This Row],[Date]],"mmmm aaaa")</f>
        <v>octobre 2026</v>
      </c>
    </row>
    <row r="1283" spans="1:16">
      <c r="A1283" s="2" t="s">
        <v>1370</v>
      </c>
      <c r="B1283" s="3">
        <v>46095</v>
      </c>
      <c r="C1283" s="2" t="s">
        <v>60</v>
      </c>
      <c r="D1283" s="2" t="s">
        <v>33</v>
      </c>
      <c r="E1283" s="2" t="s">
        <v>16</v>
      </c>
      <c r="F1283" s="2" t="s">
        <v>28</v>
      </c>
      <c r="G1283" s="2" t="s">
        <v>29</v>
      </c>
      <c r="H1283" s="2" t="s">
        <v>99</v>
      </c>
      <c r="I1283" s="2" t="s">
        <v>45</v>
      </c>
      <c r="J1283" s="4">
        <v>4</v>
      </c>
      <c r="K1283" s="5">
        <v>57.25</v>
      </c>
      <c r="L1283" s="6">
        <v>0</v>
      </c>
      <c r="M1283" s="5">
        <v>229</v>
      </c>
      <c r="P1283" t="str">
        <f>TEXT(Tableau2[[#This Row],[Date]],"mmmm aaaa")</f>
        <v>mars 2026</v>
      </c>
    </row>
    <row r="1284" spans="1:16">
      <c r="A1284" s="2" t="s">
        <v>1371</v>
      </c>
      <c r="B1284" s="3">
        <v>46119</v>
      </c>
      <c r="C1284" s="2" t="s">
        <v>57</v>
      </c>
      <c r="D1284" s="2" t="s">
        <v>15</v>
      </c>
      <c r="E1284" s="2" t="s">
        <v>34</v>
      </c>
      <c r="F1284" s="2" t="s">
        <v>17</v>
      </c>
      <c r="G1284" s="2" t="s">
        <v>54</v>
      </c>
      <c r="H1284" s="2" t="s">
        <v>102</v>
      </c>
      <c r="I1284" s="2" t="s">
        <v>26</v>
      </c>
      <c r="J1284" s="4">
        <v>1</v>
      </c>
      <c r="K1284" s="5">
        <v>226.29</v>
      </c>
      <c r="L1284" s="6">
        <v>0</v>
      </c>
      <c r="M1284" s="5">
        <v>226.29</v>
      </c>
      <c r="P1284" t="str">
        <f>TEXT(Tableau2[[#This Row],[Date]],"mmmm aaaa")</f>
        <v>avril 2026</v>
      </c>
    </row>
    <row r="1285" spans="1:16">
      <c r="A1285" s="2" t="s">
        <v>1372</v>
      </c>
      <c r="B1285" s="3">
        <v>46149</v>
      </c>
      <c r="C1285" s="2" t="s">
        <v>86</v>
      </c>
      <c r="D1285" s="2" t="s">
        <v>53</v>
      </c>
      <c r="E1285" s="2" t="s">
        <v>43</v>
      </c>
      <c r="F1285" s="2" t="s">
        <v>17</v>
      </c>
      <c r="G1285" s="2" t="s">
        <v>24</v>
      </c>
      <c r="H1285" s="2" t="s">
        <v>35</v>
      </c>
      <c r="I1285" s="2" t="s">
        <v>45</v>
      </c>
      <c r="J1285" s="4">
        <v>2</v>
      </c>
      <c r="K1285" s="5">
        <v>162.38999999999999</v>
      </c>
      <c r="L1285" s="6">
        <v>0</v>
      </c>
      <c r="M1285" s="5">
        <v>324.77999999999997</v>
      </c>
      <c r="P1285" t="str">
        <f>TEXT(Tableau2[[#This Row],[Date]],"mmmm aaaa")</f>
        <v>mai 2026</v>
      </c>
    </row>
    <row r="1286" spans="1:16">
      <c r="A1286" s="2" t="s">
        <v>1373</v>
      </c>
      <c r="B1286" s="3">
        <v>46036</v>
      </c>
      <c r="C1286" s="2" t="s">
        <v>63</v>
      </c>
      <c r="D1286" s="2" t="s">
        <v>33</v>
      </c>
      <c r="E1286" s="2" t="s">
        <v>16</v>
      </c>
      <c r="F1286" s="2" t="s">
        <v>17</v>
      </c>
      <c r="G1286" s="2" t="s">
        <v>48</v>
      </c>
      <c r="H1286" s="2" t="s">
        <v>77</v>
      </c>
      <c r="I1286" s="2" t="s">
        <v>75</v>
      </c>
      <c r="J1286" s="4">
        <v>1</v>
      </c>
      <c r="K1286" s="5">
        <v>83.12</v>
      </c>
      <c r="L1286" s="6">
        <v>0.05</v>
      </c>
      <c r="M1286" s="5">
        <v>78.959999999999994</v>
      </c>
      <c r="P1286" t="str">
        <f>TEXT(Tableau2[[#This Row],[Date]],"mmmm aaaa")</f>
        <v>janvier 2026</v>
      </c>
    </row>
    <row r="1287" spans="1:16">
      <c r="A1287" s="2" t="s">
        <v>1374</v>
      </c>
      <c r="B1287" s="3">
        <v>46100</v>
      </c>
      <c r="C1287" s="2" t="s">
        <v>169</v>
      </c>
      <c r="D1287" s="2" t="s">
        <v>33</v>
      </c>
      <c r="E1287" s="2" t="s">
        <v>16</v>
      </c>
      <c r="F1287" s="2" t="s">
        <v>17</v>
      </c>
      <c r="G1287" s="2" t="s">
        <v>48</v>
      </c>
      <c r="H1287" s="2" t="s">
        <v>77</v>
      </c>
      <c r="I1287" s="2" t="s">
        <v>50</v>
      </c>
      <c r="J1287" s="4">
        <v>2</v>
      </c>
      <c r="K1287" s="5">
        <v>78.72</v>
      </c>
      <c r="L1287" s="6">
        <v>0.05</v>
      </c>
      <c r="M1287" s="5">
        <v>149.57</v>
      </c>
      <c r="P1287" t="str">
        <f>TEXT(Tableau2[[#This Row],[Date]],"mmmm aaaa")</f>
        <v>mars 2026</v>
      </c>
    </row>
    <row r="1288" spans="1:16">
      <c r="A1288" s="2" t="s">
        <v>1375</v>
      </c>
      <c r="B1288" s="3">
        <v>46105</v>
      </c>
      <c r="C1288" s="2" t="s">
        <v>22</v>
      </c>
      <c r="D1288" s="2" t="s">
        <v>23</v>
      </c>
      <c r="E1288" s="2" t="s">
        <v>16</v>
      </c>
      <c r="F1288" s="2" t="s">
        <v>17</v>
      </c>
      <c r="G1288" s="2" t="s">
        <v>24</v>
      </c>
      <c r="H1288" s="2" t="s">
        <v>35</v>
      </c>
      <c r="I1288" s="2" t="s">
        <v>41</v>
      </c>
      <c r="J1288" s="4">
        <v>3</v>
      </c>
      <c r="K1288" s="5">
        <v>158.13999999999999</v>
      </c>
      <c r="L1288" s="6">
        <v>0</v>
      </c>
      <c r="M1288" s="5">
        <v>474.42</v>
      </c>
      <c r="P1288" t="str">
        <f>TEXT(Tableau2[[#This Row],[Date]],"mmmm aaaa")</f>
        <v>mars 2026</v>
      </c>
    </row>
    <row r="1289" spans="1:16">
      <c r="A1289" s="2" t="s">
        <v>1376</v>
      </c>
      <c r="B1289" s="3">
        <v>46200</v>
      </c>
      <c r="C1289" s="2" t="s">
        <v>66</v>
      </c>
      <c r="D1289" s="2" t="s">
        <v>23</v>
      </c>
      <c r="E1289" s="2" t="s">
        <v>38</v>
      </c>
      <c r="F1289" s="2" t="s">
        <v>17</v>
      </c>
      <c r="G1289" s="2" t="s">
        <v>29</v>
      </c>
      <c r="H1289" s="2" t="s">
        <v>99</v>
      </c>
      <c r="I1289" s="2" t="s">
        <v>45</v>
      </c>
      <c r="J1289" s="4">
        <v>5</v>
      </c>
      <c r="K1289" s="5">
        <v>66.06</v>
      </c>
      <c r="L1289" s="6">
        <v>0</v>
      </c>
      <c r="M1289" s="5">
        <v>330.3</v>
      </c>
      <c r="P1289" t="str">
        <f>TEXT(Tableau2[[#This Row],[Date]],"mmmm aaaa")</f>
        <v>juin 2026</v>
      </c>
    </row>
    <row r="1290" spans="1:16">
      <c r="A1290" s="2" t="s">
        <v>1377</v>
      </c>
      <c r="B1290" s="3">
        <v>46063</v>
      </c>
      <c r="C1290" s="2" t="s">
        <v>164</v>
      </c>
      <c r="D1290" s="2" t="s">
        <v>53</v>
      </c>
      <c r="E1290" s="2" t="s">
        <v>34</v>
      </c>
      <c r="F1290" s="2" t="s">
        <v>17</v>
      </c>
      <c r="G1290" s="2" t="s">
        <v>48</v>
      </c>
      <c r="H1290" s="2" t="s">
        <v>77</v>
      </c>
      <c r="I1290" s="2" t="s">
        <v>45</v>
      </c>
      <c r="J1290" s="4">
        <v>2</v>
      </c>
      <c r="K1290" s="5">
        <v>78</v>
      </c>
      <c r="L1290" s="6">
        <v>0.2</v>
      </c>
      <c r="M1290" s="5">
        <v>124.8</v>
      </c>
      <c r="P1290" t="str">
        <f>TEXT(Tableau2[[#This Row],[Date]],"mmmm aaaa")</f>
        <v>février 2026</v>
      </c>
    </row>
    <row r="1291" spans="1:16">
      <c r="A1291" s="2" t="s">
        <v>1378</v>
      </c>
      <c r="B1291" s="3">
        <v>46256</v>
      </c>
      <c r="C1291" s="2" t="s">
        <v>156</v>
      </c>
      <c r="D1291" s="2" t="s">
        <v>15</v>
      </c>
      <c r="E1291" s="2" t="s">
        <v>16</v>
      </c>
      <c r="F1291" s="2" t="s">
        <v>17</v>
      </c>
      <c r="G1291" s="2" t="s">
        <v>29</v>
      </c>
      <c r="H1291" s="2" t="s">
        <v>140</v>
      </c>
      <c r="I1291" s="2" t="s">
        <v>45</v>
      </c>
      <c r="J1291" s="4">
        <v>2</v>
      </c>
      <c r="K1291" s="5">
        <v>51</v>
      </c>
      <c r="L1291" s="6">
        <v>0</v>
      </c>
      <c r="M1291" s="5">
        <v>102</v>
      </c>
      <c r="P1291" t="str">
        <f>TEXT(Tableau2[[#This Row],[Date]],"mmmm aaaa")</f>
        <v>août 2026</v>
      </c>
    </row>
    <row r="1292" spans="1:16">
      <c r="A1292" s="2" t="s">
        <v>1379</v>
      </c>
      <c r="B1292" s="3">
        <v>46346</v>
      </c>
      <c r="C1292" s="2" t="s">
        <v>101</v>
      </c>
      <c r="D1292" s="2" t="s">
        <v>33</v>
      </c>
      <c r="E1292" s="2" t="s">
        <v>16</v>
      </c>
      <c r="F1292" s="2" t="s">
        <v>28</v>
      </c>
      <c r="G1292" s="2" t="s">
        <v>24</v>
      </c>
      <c r="H1292" s="2" t="s">
        <v>82</v>
      </c>
      <c r="I1292" s="2" t="s">
        <v>58</v>
      </c>
      <c r="J1292" s="4">
        <v>6</v>
      </c>
      <c r="K1292" s="5">
        <v>297.05</v>
      </c>
      <c r="L1292" s="6">
        <v>0.05</v>
      </c>
      <c r="M1292" s="5">
        <v>1693.19</v>
      </c>
      <c r="P1292" t="str">
        <f>TEXT(Tableau2[[#This Row],[Date]],"mmmm aaaa")</f>
        <v>novembre 2026</v>
      </c>
    </row>
    <row r="1293" spans="1:16">
      <c r="A1293" s="2" t="s">
        <v>1380</v>
      </c>
      <c r="B1293" s="3">
        <v>46087</v>
      </c>
      <c r="C1293" s="2" t="s">
        <v>14</v>
      </c>
      <c r="D1293" s="2" t="s">
        <v>15</v>
      </c>
      <c r="E1293" s="2" t="s">
        <v>38</v>
      </c>
      <c r="F1293" s="2" t="s">
        <v>17</v>
      </c>
      <c r="G1293" s="2" t="s">
        <v>48</v>
      </c>
      <c r="H1293" s="2" t="s">
        <v>88</v>
      </c>
      <c r="I1293" s="2" t="s">
        <v>45</v>
      </c>
      <c r="J1293" s="4">
        <v>1</v>
      </c>
      <c r="K1293" s="5">
        <v>78</v>
      </c>
      <c r="L1293" s="6">
        <v>0.15</v>
      </c>
      <c r="M1293" s="5">
        <v>66.3</v>
      </c>
      <c r="P1293" t="str">
        <f>TEXT(Tableau2[[#This Row],[Date]],"mmmm aaaa")</f>
        <v>mars 2026</v>
      </c>
    </row>
    <row r="1294" spans="1:16">
      <c r="A1294" s="2" t="s">
        <v>1381</v>
      </c>
      <c r="B1294" s="3">
        <v>46364</v>
      </c>
      <c r="C1294" s="2" t="s">
        <v>101</v>
      </c>
      <c r="D1294" s="2" t="s">
        <v>33</v>
      </c>
      <c r="E1294" s="2" t="s">
        <v>34</v>
      </c>
      <c r="F1294" s="2" t="s">
        <v>17</v>
      </c>
      <c r="G1294" s="2" t="s">
        <v>39</v>
      </c>
      <c r="H1294" s="2" t="s">
        <v>71</v>
      </c>
      <c r="I1294" s="2" t="s">
        <v>41</v>
      </c>
      <c r="J1294" s="4">
        <v>13</v>
      </c>
      <c r="K1294" s="5">
        <v>125.17</v>
      </c>
      <c r="L1294" s="6">
        <v>0.1</v>
      </c>
      <c r="M1294" s="5">
        <v>1464.49</v>
      </c>
      <c r="P1294" t="str">
        <f>TEXT(Tableau2[[#This Row],[Date]],"mmmm aaaa")</f>
        <v>décembre 2026</v>
      </c>
    </row>
    <row r="1295" spans="1:16">
      <c r="A1295" s="2" t="s">
        <v>1382</v>
      </c>
      <c r="B1295" s="3">
        <v>46328</v>
      </c>
      <c r="C1295" s="2" t="s">
        <v>63</v>
      </c>
      <c r="D1295" s="2" t="s">
        <v>33</v>
      </c>
      <c r="E1295" s="2" t="s">
        <v>38</v>
      </c>
      <c r="F1295" s="2" t="s">
        <v>17</v>
      </c>
      <c r="G1295" s="2" t="s">
        <v>18</v>
      </c>
      <c r="H1295" s="2" t="s">
        <v>136</v>
      </c>
      <c r="I1295" s="2" t="s">
        <v>50</v>
      </c>
      <c r="J1295" s="4">
        <v>2</v>
      </c>
      <c r="K1295" s="5">
        <v>32.130000000000003</v>
      </c>
      <c r="L1295" s="6">
        <v>0</v>
      </c>
      <c r="M1295" s="5">
        <v>64.260000000000005</v>
      </c>
      <c r="P1295" t="str">
        <f>TEXT(Tableau2[[#This Row],[Date]],"mmmm aaaa")</f>
        <v>novembre 2026</v>
      </c>
    </row>
    <row r="1296" spans="1:16">
      <c r="A1296" s="2" t="s">
        <v>1383</v>
      </c>
      <c r="B1296" s="3">
        <v>46371</v>
      </c>
      <c r="C1296" s="2" t="s">
        <v>441</v>
      </c>
      <c r="D1296" s="2" t="s">
        <v>23</v>
      </c>
      <c r="E1296" s="2" t="s">
        <v>16</v>
      </c>
      <c r="F1296" s="2" t="s">
        <v>28</v>
      </c>
      <c r="G1296" s="2" t="s">
        <v>18</v>
      </c>
      <c r="H1296" s="2" t="s">
        <v>136</v>
      </c>
      <c r="I1296" s="2" t="s">
        <v>75</v>
      </c>
      <c r="J1296" s="4">
        <v>2</v>
      </c>
      <c r="K1296" s="5">
        <v>30.51</v>
      </c>
      <c r="L1296" s="6">
        <v>0</v>
      </c>
      <c r="M1296" s="5">
        <v>61.02</v>
      </c>
      <c r="P1296" t="str">
        <f>TEXT(Tableau2[[#This Row],[Date]],"mmmm aaaa")</f>
        <v>décembre 2026</v>
      </c>
    </row>
    <row r="1297" spans="1:16">
      <c r="A1297" s="2" t="s">
        <v>1384</v>
      </c>
      <c r="B1297" s="3">
        <v>46049</v>
      </c>
      <c r="C1297" s="2" t="s">
        <v>86</v>
      </c>
      <c r="D1297" s="2" t="s">
        <v>53</v>
      </c>
      <c r="E1297" s="2" t="s">
        <v>16</v>
      </c>
      <c r="F1297" s="2" t="s">
        <v>17</v>
      </c>
      <c r="G1297" s="2" t="s">
        <v>29</v>
      </c>
      <c r="H1297" s="2" t="s">
        <v>44</v>
      </c>
      <c r="I1297" s="2" t="s">
        <v>20</v>
      </c>
      <c r="J1297" s="4">
        <v>1</v>
      </c>
      <c r="K1297" s="5">
        <v>39.39</v>
      </c>
      <c r="L1297" s="6">
        <v>0.1</v>
      </c>
      <c r="M1297" s="5">
        <v>35.450000000000003</v>
      </c>
      <c r="P1297" t="str">
        <f>TEXT(Tableau2[[#This Row],[Date]],"mmmm aaaa")</f>
        <v>janvier 2026</v>
      </c>
    </row>
    <row r="1298" spans="1:16">
      <c r="A1298" s="2" t="s">
        <v>1385</v>
      </c>
      <c r="B1298" s="3">
        <v>46284</v>
      </c>
      <c r="C1298" s="2" t="s">
        <v>130</v>
      </c>
      <c r="D1298" s="2" t="s">
        <v>53</v>
      </c>
      <c r="E1298" s="2" t="s">
        <v>38</v>
      </c>
      <c r="F1298" s="2" t="s">
        <v>17</v>
      </c>
      <c r="G1298" s="2" t="s">
        <v>18</v>
      </c>
      <c r="H1298" s="2" t="s">
        <v>19</v>
      </c>
      <c r="I1298" s="2" t="s">
        <v>58</v>
      </c>
      <c r="J1298" s="4">
        <v>5</v>
      </c>
      <c r="K1298" s="5">
        <v>52.68</v>
      </c>
      <c r="L1298" s="6">
        <v>0</v>
      </c>
      <c r="M1298" s="5">
        <v>263.39999999999998</v>
      </c>
      <c r="P1298" t="str">
        <f>TEXT(Tableau2[[#This Row],[Date]],"mmmm aaaa")</f>
        <v>septembre 2026</v>
      </c>
    </row>
    <row r="1299" spans="1:16">
      <c r="A1299" s="2" t="s">
        <v>1386</v>
      </c>
      <c r="B1299" s="3">
        <v>46048</v>
      </c>
      <c r="C1299" s="2" t="s">
        <v>32</v>
      </c>
      <c r="D1299" s="2" t="s">
        <v>33</v>
      </c>
      <c r="E1299" s="2" t="s">
        <v>16</v>
      </c>
      <c r="F1299" s="2" t="s">
        <v>28</v>
      </c>
      <c r="G1299" s="2" t="s">
        <v>39</v>
      </c>
      <c r="H1299" s="2" t="s">
        <v>95</v>
      </c>
      <c r="I1299" s="2" t="s">
        <v>20</v>
      </c>
      <c r="J1299" s="4">
        <v>1</v>
      </c>
      <c r="K1299" s="5">
        <v>99.03</v>
      </c>
      <c r="L1299" s="6">
        <v>0.15</v>
      </c>
      <c r="M1299" s="5">
        <v>84.18</v>
      </c>
      <c r="P1299" t="str">
        <f>TEXT(Tableau2[[#This Row],[Date]],"mmmm aaaa")</f>
        <v>janvier 2026</v>
      </c>
    </row>
    <row r="1300" spans="1:16">
      <c r="A1300" s="2" t="s">
        <v>1387</v>
      </c>
      <c r="B1300" s="3">
        <v>46057</v>
      </c>
      <c r="C1300" s="2" t="s">
        <v>14</v>
      </c>
      <c r="D1300" s="2" t="s">
        <v>15</v>
      </c>
      <c r="E1300" s="2" t="s">
        <v>16</v>
      </c>
      <c r="F1300" s="2" t="s">
        <v>28</v>
      </c>
      <c r="G1300" s="2" t="s">
        <v>24</v>
      </c>
      <c r="H1300" s="2" t="s">
        <v>25</v>
      </c>
      <c r="I1300" s="2" t="s">
        <v>75</v>
      </c>
      <c r="J1300" s="4">
        <v>2</v>
      </c>
      <c r="K1300" s="5">
        <v>121.34</v>
      </c>
      <c r="L1300" s="6">
        <v>0</v>
      </c>
      <c r="M1300" s="5">
        <v>242.68</v>
      </c>
      <c r="P1300" t="str">
        <f>TEXT(Tableau2[[#This Row],[Date]],"mmmm aaaa")</f>
        <v>février 2026</v>
      </c>
    </row>
    <row r="1301" spans="1:16">
      <c r="A1301" s="2" t="s">
        <v>1388</v>
      </c>
      <c r="B1301" s="3">
        <v>46230</v>
      </c>
      <c r="C1301" s="2" t="s">
        <v>94</v>
      </c>
      <c r="D1301" s="2" t="s">
        <v>15</v>
      </c>
      <c r="E1301" s="2" t="s">
        <v>34</v>
      </c>
      <c r="F1301" s="2" t="s">
        <v>28</v>
      </c>
      <c r="G1301" s="2" t="s">
        <v>54</v>
      </c>
      <c r="H1301" s="2" t="s">
        <v>64</v>
      </c>
      <c r="I1301" s="2" t="s">
        <v>58</v>
      </c>
      <c r="J1301" s="4">
        <v>1</v>
      </c>
      <c r="K1301" s="5">
        <v>89.05</v>
      </c>
      <c r="L1301" s="6">
        <v>0</v>
      </c>
      <c r="M1301" s="5">
        <v>89.05</v>
      </c>
      <c r="P1301" t="str">
        <f>TEXT(Tableau2[[#This Row],[Date]],"mmmm aaaa")</f>
        <v>juillet 2026</v>
      </c>
    </row>
    <row r="1302" spans="1:16">
      <c r="A1302" s="2" t="s">
        <v>1389</v>
      </c>
      <c r="B1302" s="3">
        <v>46241</v>
      </c>
      <c r="C1302" s="2" t="s">
        <v>79</v>
      </c>
      <c r="D1302" s="2" t="s">
        <v>33</v>
      </c>
      <c r="E1302" s="2" t="s">
        <v>34</v>
      </c>
      <c r="F1302" s="2" t="s">
        <v>17</v>
      </c>
      <c r="G1302" s="2" t="s">
        <v>18</v>
      </c>
      <c r="H1302" s="2" t="s">
        <v>136</v>
      </c>
      <c r="I1302" s="2" t="s">
        <v>58</v>
      </c>
      <c r="J1302" s="4">
        <v>4</v>
      </c>
      <c r="K1302" s="5">
        <v>29.97</v>
      </c>
      <c r="L1302" s="6">
        <v>0.2</v>
      </c>
      <c r="M1302" s="5">
        <v>95.9</v>
      </c>
      <c r="P1302" t="str">
        <f>TEXT(Tableau2[[#This Row],[Date]],"mmmm aaaa")</f>
        <v>août 2026</v>
      </c>
    </row>
    <row r="1303" spans="1:16">
      <c r="A1303" s="2" t="s">
        <v>1390</v>
      </c>
      <c r="B1303" s="3">
        <v>46299</v>
      </c>
      <c r="C1303" s="2" t="s">
        <v>94</v>
      </c>
      <c r="D1303" s="2" t="s">
        <v>15</v>
      </c>
      <c r="E1303" s="2" t="s">
        <v>38</v>
      </c>
      <c r="F1303" s="2" t="s">
        <v>28</v>
      </c>
      <c r="G1303" s="2" t="s">
        <v>48</v>
      </c>
      <c r="H1303" s="2" t="s">
        <v>49</v>
      </c>
      <c r="I1303" s="2" t="s">
        <v>75</v>
      </c>
      <c r="J1303" s="4">
        <v>2</v>
      </c>
      <c r="K1303" s="5">
        <v>56.35</v>
      </c>
      <c r="L1303" s="6">
        <v>0</v>
      </c>
      <c r="M1303" s="5">
        <v>112.7</v>
      </c>
      <c r="P1303" t="str">
        <f>TEXT(Tableau2[[#This Row],[Date]],"mmmm aaaa")</f>
        <v>octobre 2026</v>
      </c>
    </row>
    <row r="1304" spans="1:16">
      <c r="A1304" s="2" t="s">
        <v>1391</v>
      </c>
      <c r="B1304" s="3">
        <v>46118</v>
      </c>
      <c r="C1304" s="2" t="s">
        <v>63</v>
      </c>
      <c r="D1304" s="2" t="s">
        <v>33</v>
      </c>
      <c r="E1304" s="2" t="s">
        <v>34</v>
      </c>
      <c r="F1304" s="2" t="s">
        <v>28</v>
      </c>
      <c r="G1304" s="2" t="s">
        <v>29</v>
      </c>
      <c r="H1304" s="2" t="s">
        <v>99</v>
      </c>
      <c r="I1304" s="2" t="s">
        <v>36</v>
      </c>
      <c r="J1304" s="4">
        <v>3</v>
      </c>
      <c r="K1304" s="5">
        <v>66.900000000000006</v>
      </c>
      <c r="L1304" s="6">
        <v>0</v>
      </c>
      <c r="M1304" s="5">
        <v>200.7</v>
      </c>
      <c r="P1304" t="str">
        <f>TEXT(Tableau2[[#This Row],[Date]],"mmmm aaaa")</f>
        <v>avril 2026</v>
      </c>
    </row>
    <row r="1305" spans="1:16">
      <c r="A1305" s="2" t="s">
        <v>1392</v>
      </c>
      <c r="B1305" s="3">
        <v>46079</v>
      </c>
      <c r="C1305" s="2" t="s">
        <v>14</v>
      </c>
      <c r="D1305" s="2" t="s">
        <v>15</v>
      </c>
      <c r="E1305" s="2" t="s">
        <v>34</v>
      </c>
      <c r="F1305" s="2" t="s">
        <v>17</v>
      </c>
      <c r="G1305" s="2" t="s">
        <v>29</v>
      </c>
      <c r="H1305" s="2" t="s">
        <v>140</v>
      </c>
      <c r="I1305" s="2" t="s">
        <v>50</v>
      </c>
      <c r="J1305" s="4">
        <v>1</v>
      </c>
      <c r="K1305" s="5">
        <v>50.29</v>
      </c>
      <c r="L1305" s="6">
        <v>0.05</v>
      </c>
      <c r="M1305" s="5">
        <v>47.78</v>
      </c>
      <c r="P1305" t="str">
        <f>TEXT(Tableau2[[#This Row],[Date]],"mmmm aaaa")</f>
        <v>février 2026</v>
      </c>
    </row>
    <row r="1306" spans="1:16">
      <c r="A1306" s="2" t="s">
        <v>1393</v>
      </c>
      <c r="B1306" s="3">
        <v>46168</v>
      </c>
      <c r="C1306" s="2" t="s">
        <v>106</v>
      </c>
      <c r="D1306" s="2" t="s">
        <v>23</v>
      </c>
      <c r="E1306" s="2" t="s">
        <v>16</v>
      </c>
      <c r="F1306" s="2" t="s">
        <v>28</v>
      </c>
      <c r="G1306" s="2" t="s">
        <v>48</v>
      </c>
      <c r="H1306" s="2" t="s">
        <v>84</v>
      </c>
      <c r="I1306" s="2" t="s">
        <v>50</v>
      </c>
      <c r="J1306" s="4">
        <v>2</v>
      </c>
      <c r="K1306" s="5">
        <v>94.69</v>
      </c>
      <c r="L1306" s="6">
        <v>0</v>
      </c>
      <c r="M1306" s="5">
        <v>189.38</v>
      </c>
      <c r="P1306" t="str">
        <f>TEXT(Tableau2[[#This Row],[Date]],"mmmm aaaa")</f>
        <v>mai 2026</v>
      </c>
    </row>
    <row r="1307" spans="1:16">
      <c r="A1307" s="2" t="s">
        <v>1394</v>
      </c>
      <c r="B1307" s="3">
        <v>46146</v>
      </c>
      <c r="C1307" s="2" t="s">
        <v>86</v>
      </c>
      <c r="D1307" s="2" t="s">
        <v>53</v>
      </c>
      <c r="E1307" s="2" t="s">
        <v>38</v>
      </c>
      <c r="F1307" s="2" t="s">
        <v>28</v>
      </c>
      <c r="G1307" s="2" t="s">
        <v>48</v>
      </c>
      <c r="H1307" s="2" t="s">
        <v>49</v>
      </c>
      <c r="I1307" s="2" t="s">
        <v>58</v>
      </c>
      <c r="J1307" s="4">
        <v>1</v>
      </c>
      <c r="K1307" s="5">
        <v>54.32</v>
      </c>
      <c r="L1307" s="6">
        <v>0</v>
      </c>
      <c r="M1307" s="5">
        <v>54.32</v>
      </c>
      <c r="P1307" t="str">
        <f>TEXT(Tableau2[[#This Row],[Date]],"mmmm aaaa")</f>
        <v>mai 2026</v>
      </c>
    </row>
    <row r="1308" spans="1:16">
      <c r="A1308" s="2" t="s">
        <v>1395</v>
      </c>
      <c r="B1308" s="3">
        <v>46038</v>
      </c>
      <c r="C1308" s="2" t="s">
        <v>63</v>
      </c>
      <c r="D1308" s="2" t="s">
        <v>33</v>
      </c>
      <c r="E1308" s="2" t="s">
        <v>16</v>
      </c>
      <c r="F1308" s="2" t="s">
        <v>28</v>
      </c>
      <c r="G1308" s="2" t="s">
        <v>24</v>
      </c>
      <c r="H1308" s="2" t="s">
        <v>61</v>
      </c>
      <c r="I1308" s="2" t="s">
        <v>50</v>
      </c>
      <c r="J1308" s="4">
        <v>4</v>
      </c>
      <c r="K1308" s="5">
        <v>237.4</v>
      </c>
      <c r="L1308" s="6">
        <v>0</v>
      </c>
      <c r="M1308" s="5">
        <v>949.6</v>
      </c>
      <c r="P1308" t="str">
        <f>TEXT(Tableau2[[#This Row],[Date]],"mmmm aaaa")</f>
        <v>janvier 2026</v>
      </c>
    </row>
    <row r="1309" spans="1:16">
      <c r="A1309" s="2" t="s">
        <v>1396</v>
      </c>
      <c r="B1309" s="3">
        <v>46140</v>
      </c>
      <c r="C1309" s="2" t="s">
        <v>130</v>
      </c>
      <c r="D1309" s="2" t="s">
        <v>53</v>
      </c>
      <c r="E1309" s="2" t="s">
        <v>34</v>
      </c>
      <c r="F1309" s="2" t="s">
        <v>17</v>
      </c>
      <c r="G1309" s="2" t="s">
        <v>18</v>
      </c>
      <c r="H1309" s="2" t="s">
        <v>143</v>
      </c>
      <c r="I1309" s="2" t="s">
        <v>26</v>
      </c>
      <c r="J1309" s="4">
        <v>11</v>
      </c>
      <c r="K1309" s="5">
        <v>73.400000000000006</v>
      </c>
      <c r="L1309" s="6">
        <v>0</v>
      </c>
      <c r="M1309" s="5">
        <v>807.4</v>
      </c>
      <c r="P1309" t="str">
        <f>TEXT(Tableau2[[#This Row],[Date]],"mmmm aaaa")</f>
        <v>avril 2026</v>
      </c>
    </row>
    <row r="1310" spans="1:16">
      <c r="A1310" s="2" t="s">
        <v>1397</v>
      </c>
      <c r="B1310" s="3">
        <v>46046</v>
      </c>
      <c r="C1310" s="2" t="s">
        <v>116</v>
      </c>
      <c r="D1310" s="2" t="s">
        <v>15</v>
      </c>
      <c r="E1310" s="2" t="s">
        <v>38</v>
      </c>
      <c r="F1310" s="2" t="s">
        <v>28</v>
      </c>
      <c r="G1310" s="2" t="s">
        <v>54</v>
      </c>
      <c r="H1310" s="2" t="s">
        <v>55</v>
      </c>
      <c r="I1310" s="2" t="s">
        <v>75</v>
      </c>
      <c r="J1310" s="4">
        <v>1</v>
      </c>
      <c r="K1310" s="5">
        <v>168.21</v>
      </c>
      <c r="L1310" s="6">
        <v>0.05</v>
      </c>
      <c r="M1310" s="5">
        <v>159.80000000000001</v>
      </c>
      <c r="P1310" t="str">
        <f>TEXT(Tableau2[[#This Row],[Date]],"mmmm aaaa")</f>
        <v>janvier 2026</v>
      </c>
    </row>
    <row r="1311" spans="1:16">
      <c r="A1311" s="2" t="s">
        <v>1398</v>
      </c>
      <c r="B1311" s="3">
        <v>46360</v>
      </c>
      <c r="C1311" s="2" t="s">
        <v>101</v>
      </c>
      <c r="D1311" s="2" t="s">
        <v>33</v>
      </c>
      <c r="E1311" s="2" t="s">
        <v>16</v>
      </c>
      <c r="F1311" s="2" t="s">
        <v>17</v>
      </c>
      <c r="G1311" s="2" t="s">
        <v>29</v>
      </c>
      <c r="H1311" s="2" t="s">
        <v>44</v>
      </c>
      <c r="I1311" s="2" t="s">
        <v>45</v>
      </c>
      <c r="J1311" s="4">
        <v>1</v>
      </c>
      <c r="K1311" s="5">
        <v>36.119999999999997</v>
      </c>
      <c r="L1311" s="6">
        <v>0</v>
      </c>
      <c r="M1311" s="5">
        <v>36.119999999999997</v>
      </c>
      <c r="P1311" t="str">
        <f>TEXT(Tableau2[[#This Row],[Date]],"mmmm aaaa")</f>
        <v>décembre 2026</v>
      </c>
    </row>
    <row r="1312" spans="1:16">
      <c r="A1312" s="2" t="s">
        <v>1399</v>
      </c>
      <c r="B1312" s="3">
        <v>46246</v>
      </c>
      <c r="C1312" s="2" t="s">
        <v>47</v>
      </c>
      <c r="D1312" s="2" t="s">
        <v>15</v>
      </c>
      <c r="E1312" s="2" t="s">
        <v>38</v>
      </c>
      <c r="F1312" s="2" t="s">
        <v>17</v>
      </c>
      <c r="G1312" s="2" t="s">
        <v>54</v>
      </c>
      <c r="H1312" s="2" t="s">
        <v>102</v>
      </c>
      <c r="I1312" s="2" t="s">
        <v>26</v>
      </c>
      <c r="J1312" s="4">
        <v>2</v>
      </c>
      <c r="K1312" s="5">
        <v>227.6</v>
      </c>
      <c r="L1312" s="6">
        <v>0</v>
      </c>
      <c r="M1312" s="5">
        <v>455.2</v>
      </c>
      <c r="P1312" t="str">
        <f>TEXT(Tableau2[[#This Row],[Date]],"mmmm aaaa")</f>
        <v>août 2026</v>
      </c>
    </row>
    <row r="1313" spans="1:16">
      <c r="A1313" s="2" t="s">
        <v>1400</v>
      </c>
      <c r="B1313" s="3">
        <v>46375</v>
      </c>
      <c r="C1313" s="2" t="s">
        <v>106</v>
      </c>
      <c r="D1313" s="2" t="s">
        <v>23</v>
      </c>
      <c r="E1313" s="2" t="s">
        <v>16</v>
      </c>
      <c r="F1313" s="2" t="s">
        <v>17</v>
      </c>
      <c r="G1313" s="2" t="s">
        <v>24</v>
      </c>
      <c r="H1313" s="2" t="s">
        <v>25</v>
      </c>
      <c r="I1313" s="2" t="s">
        <v>26</v>
      </c>
      <c r="J1313" s="4">
        <v>3</v>
      </c>
      <c r="K1313" s="5">
        <v>131.5</v>
      </c>
      <c r="L1313" s="6">
        <v>0.1</v>
      </c>
      <c r="M1313" s="5">
        <v>355.05</v>
      </c>
      <c r="P1313" t="str">
        <f>TEXT(Tableau2[[#This Row],[Date]],"mmmm aaaa")</f>
        <v>décembre 2026</v>
      </c>
    </row>
    <row r="1314" spans="1:16">
      <c r="A1314" s="2" t="s">
        <v>1401</v>
      </c>
      <c r="B1314" s="3">
        <v>46308</v>
      </c>
      <c r="C1314" s="2" t="s">
        <v>63</v>
      </c>
      <c r="D1314" s="2" t="s">
        <v>33</v>
      </c>
      <c r="E1314" s="2" t="s">
        <v>16</v>
      </c>
      <c r="F1314" s="2" t="s">
        <v>17</v>
      </c>
      <c r="G1314" s="2" t="s">
        <v>18</v>
      </c>
      <c r="H1314" s="2" t="s">
        <v>143</v>
      </c>
      <c r="I1314" s="2" t="s">
        <v>26</v>
      </c>
      <c r="J1314" s="4">
        <v>2</v>
      </c>
      <c r="K1314" s="5">
        <v>64.55</v>
      </c>
      <c r="L1314" s="6">
        <v>0</v>
      </c>
      <c r="M1314" s="5">
        <v>129.1</v>
      </c>
      <c r="P1314" t="str">
        <f>TEXT(Tableau2[[#This Row],[Date]],"mmmm aaaa")</f>
        <v>octobre 2026</v>
      </c>
    </row>
    <row r="1315" spans="1:16">
      <c r="A1315" s="2" t="s">
        <v>1402</v>
      </c>
      <c r="B1315" s="3">
        <v>46067</v>
      </c>
      <c r="C1315" s="2" t="s">
        <v>63</v>
      </c>
      <c r="D1315" s="2" t="s">
        <v>33</v>
      </c>
      <c r="E1315" s="2" t="s">
        <v>16</v>
      </c>
      <c r="F1315" s="2" t="s">
        <v>17</v>
      </c>
      <c r="G1315" s="2" t="s">
        <v>48</v>
      </c>
      <c r="H1315" s="2" t="s">
        <v>77</v>
      </c>
      <c r="I1315" s="2" t="s">
        <v>36</v>
      </c>
      <c r="J1315" s="4">
        <v>1</v>
      </c>
      <c r="K1315" s="5">
        <v>86.53</v>
      </c>
      <c r="L1315" s="6">
        <v>0</v>
      </c>
      <c r="M1315" s="5">
        <v>86.53</v>
      </c>
      <c r="P1315" t="str">
        <f>TEXT(Tableau2[[#This Row],[Date]],"mmmm aaaa")</f>
        <v>février 2026</v>
      </c>
    </row>
    <row r="1316" spans="1:16">
      <c r="A1316" s="2" t="s">
        <v>1403</v>
      </c>
      <c r="B1316" s="3">
        <v>46061</v>
      </c>
      <c r="C1316" s="2" t="s">
        <v>79</v>
      </c>
      <c r="D1316" s="2" t="s">
        <v>33</v>
      </c>
      <c r="E1316" s="2" t="s">
        <v>38</v>
      </c>
      <c r="F1316" s="2" t="s">
        <v>28</v>
      </c>
      <c r="G1316" s="2" t="s">
        <v>48</v>
      </c>
      <c r="H1316" s="2" t="s">
        <v>49</v>
      </c>
      <c r="I1316" s="2" t="s">
        <v>41</v>
      </c>
      <c r="J1316" s="4">
        <v>5</v>
      </c>
      <c r="K1316" s="5">
        <v>60.35</v>
      </c>
      <c r="L1316" s="6">
        <v>0</v>
      </c>
      <c r="M1316" s="5">
        <v>301.75</v>
      </c>
      <c r="P1316" t="str">
        <f>TEXT(Tableau2[[#This Row],[Date]],"mmmm aaaa")</f>
        <v>février 2026</v>
      </c>
    </row>
    <row r="1317" spans="1:16">
      <c r="A1317" s="2" t="s">
        <v>1404</v>
      </c>
      <c r="B1317" s="3">
        <v>46164</v>
      </c>
      <c r="C1317" s="2" t="s">
        <v>94</v>
      </c>
      <c r="D1317" s="2" t="s">
        <v>15</v>
      </c>
      <c r="E1317" s="2" t="s">
        <v>34</v>
      </c>
      <c r="F1317" s="2" t="s">
        <v>28</v>
      </c>
      <c r="G1317" s="2" t="s">
        <v>48</v>
      </c>
      <c r="H1317" s="2" t="s">
        <v>49</v>
      </c>
      <c r="I1317" s="2" t="s">
        <v>75</v>
      </c>
      <c r="J1317" s="4">
        <v>5</v>
      </c>
      <c r="K1317" s="5">
        <v>55.7</v>
      </c>
      <c r="L1317" s="6">
        <v>0</v>
      </c>
      <c r="M1317" s="5">
        <v>278.5</v>
      </c>
      <c r="P1317" t="str">
        <f>TEXT(Tableau2[[#This Row],[Date]],"mmmm aaaa")</f>
        <v>mai 2026</v>
      </c>
    </row>
    <row r="1318" spans="1:16">
      <c r="A1318" s="2" t="s">
        <v>1405</v>
      </c>
      <c r="B1318" s="3">
        <v>46293</v>
      </c>
      <c r="C1318" s="2" t="s">
        <v>106</v>
      </c>
      <c r="D1318" s="2" t="s">
        <v>23</v>
      </c>
      <c r="E1318" s="2" t="s">
        <v>16</v>
      </c>
      <c r="F1318" s="2" t="s">
        <v>17</v>
      </c>
      <c r="G1318" s="2" t="s">
        <v>48</v>
      </c>
      <c r="H1318" s="2" t="s">
        <v>84</v>
      </c>
      <c r="I1318" s="2" t="s">
        <v>58</v>
      </c>
      <c r="J1318" s="4">
        <v>2</v>
      </c>
      <c r="K1318" s="5">
        <v>86.85</v>
      </c>
      <c r="L1318" s="6">
        <v>0.05</v>
      </c>
      <c r="M1318" s="5">
        <v>165.01</v>
      </c>
      <c r="P1318" t="str">
        <f>TEXT(Tableau2[[#This Row],[Date]],"mmmm aaaa")</f>
        <v>septembre 2026</v>
      </c>
    </row>
    <row r="1319" spans="1:16">
      <c r="A1319" s="2" t="s">
        <v>1406</v>
      </c>
      <c r="B1319" s="3">
        <v>46334</v>
      </c>
      <c r="C1319" s="2" t="s">
        <v>63</v>
      </c>
      <c r="D1319" s="2" t="s">
        <v>33</v>
      </c>
      <c r="E1319" s="2" t="s">
        <v>34</v>
      </c>
      <c r="F1319" s="2" t="s">
        <v>17</v>
      </c>
      <c r="G1319" s="2" t="s">
        <v>39</v>
      </c>
      <c r="H1319" s="2" t="s">
        <v>95</v>
      </c>
      <c r="I1319" s="2" t="s">
        <v>20</v>
      </c>
      <c r="J1319" s="4">
        <v>8</v>
      </c>
      <c r="K1319" s="5">
        <v>100.7</v>
      </c>
      <c r="L1319" s="6">
        <v>0</v>
      </c>
      <c r="M1319" s="5">
        <v>805.6</v>
      </c>
      <c r="P1319" t="str">
        <f>TEXT(Tableau2[[#This Row],[Date]],"mmmm aaaa")</f>
        <v>novembre 2026</v>
      </c>
    </row>
    <row r="1320" spans="1:16">
      <c r="A1320" s="2" t="s">
        <v>1407</v>
      </c>
      <c r="B1320" s="3">
        <v>46307</v>
      </c>
      <c r="C1320" s="2" t="s">
        <v>171</v>
      </c>
      <c r="D1320" s="2" t="s">
        <v>33</v>
      </c>
      <c r="E1320" s="2" t="s">
        <v>43</v>
      </c>
      <c r="F1320" s="2" t="s">
        <v>17</v>
      </c>
      <c r="G1320" s="2" t="s">
        <v>54</v>
      </c>
      <c r="H1320" s="2" t="s">
        <v>102</v>
      </c>
      <c r="I1320" s="2" t="s">
        <v>20</v>
      </c>
      <c r="J1320" s="4">
        <v>2</v>
      </c>
      <c r="K1320" s="5">
        <v>197.93</v>
      </c>
      <c r="L1320" s="6">
        <v>0</v>
      </c>
      <c r="M1320" s="5">
        <v>395.86</v>
      </c>
      <c r="P1320" t="str">
        <f>TEXT(Tableau2[[#This Row],[Date]],"mmmm aaaa")</f>
        <v>octobre 2026</v>
      </c>
    </row>
    <row r="1321" spans="1:16">
      <c r="A1321" s="2" t="s">
        <v>1408</v>
      </c>
      <c r="B1321" s="3">
        <v>46078</v>
      </c>
      <c r="C1321" s="2" t="s">
        <v>94</v>
      </c>
      <c r="D1321" s="2" t="s">
        <v>15</v>
      </c>
      <c r="E1321" s="2" t="s">
        <v>16</v>
      </c>
      <c r="F1321" s="2" t="s">
        <v>28</v>
      </c>
      <c r="G1321" s="2" t="s">
        <v>18</v>
      </c>
      <c r="H1321" s="2" t="s">
        <v>158</v>
      </c>
      <c r="I1321" s="2" t="s">
        <v>58</v>
      </c>
      <c r="J1321" s="4">
        <v>1</v>
      </c>
      <c r="K1321" s="5">
        <v>45.23</v>
      </c>
      <c r="L1321" s="6">
        <v>0</v>
      </c>
      <c r="M1321" s="5">
        <v>45.23</v>
      </c>
      <c r="P1321" t="str">
        <f>TEXT(Tableau2[[#This Row],[Date]],"mmmm aaaa")</f>
        <v>février 2026</v>
      </c>
    </row>
    <row r="1322" spans="1:16">
      <c r="A1322" s="2" t="s">
        <v>1409</v>
      </c>
      <c r="B1322" s="3">
        <v>46290</v>
      </c>
      <c r="C1322" s="2" t="s">
        <v>22</v>
      </c>
      <c r="D1322" s="2" t="s">
        <v>23</v>
      </c>
      <c r="E1322" s="2" t="s">
        <v>16</v>
      </c>
      <c r="F1322" s="2" t="s">
        <v>28</v>
      </c>
      <c r="G1322" s="2" t="s">
        <v>39</v>
      </c>
      <c r="H1322" s="2" t="s">
        <v>95</v>
      </c>
      <c r="I1322" s="2" t="s">
        <v>41</v>
      </c>
      <c r="J1322" s="4">
        <v>4</v>
      </c>
      <c r="K1322" s="5">
        <v>104.92</v>
      </c>
      <c r="L1322" s="6">
        <v>0</v>
      </c>
      <c r="M1322" s="5">
        <v>419.68</v>
      </c>
      <c r="P1322" t="str">
        <f>TEXT(Tableau2[[#This Row],[Date]],"mmmm aaaa")</f>
        <v>septembre 2026</v>
      </c>
    </row>
    <row r="1323" spans="1:16">
      <c r="A1323" s="2" t="s">
        <v>1410</v>
      </c>
      <c r="B1323" s="3">
        <v>46223</v>
      </c>
      <c r="C1323" s="2" t="s">
        <v>47</v>
      </c>
      <c r="D1323" s="2" t="s">
        <v>15</v>
      </c>
      <c r="E1323" s="2" t="s">
        <v>34</v>
      </c>
      <c r="F1323" s="2" t="s">
        <v>28</v>
      </c>
      <c r="G1323" s="2" t="s">
        <v>48</v>
      </c>
      <c r="H1323" s="2" t="s">
        <v>84</v>
      </c>
      <c r="I1323" s="2" t="s">
        <v>36</v>
      </c>
      <c r="J1323" s="4">
        <v>9</v>
      </c>
      <c r="K1323" s="5">
        <v>89.05</v>
      </c>
      <c r="L1323" s="6">
        <v>0</v>
      </c>
      <c r="M1323" s="5">
        <v>801.45</v>
      </c>
      <c r="P1323" t="str">
        <f>TEXT(Tableau2[[#This Row],[Date]],"mmmm aaaa")</f>
        <v>juillet 2026</v>
      </c>
    </row>
    <row r="1324" spans="1:16">
      <c r="A1324" s="2" t="s">
        <v>1411</v>
      </c>
      <c r="B1324" s="3">
        <v>46263</v>
      </c>
      <c r="C1324" s="2" t="s">
        <v>441</v>
      </c>
      <c r="D1324" s="2" t="s">
        <v>23</v>
      </c>
      <c r="E1324" s="2" t="s">
        <v>43</v>
      </c>
      <c r="F1324" s="2" t="s">
        <v>28</v>
      </c>
      <c r="G1324" s="2" t="s">
        <v>18</v>
      </c>
      <c r="H1324" s="2" t="s">
        <v>143</v>
      </c>
      <c r="I1324" s="2" t="s">
        <v>20</v>
      </c>
      <c r="J1324" s="4">
        <v>1</v>
      </c>
      <c r="K1324" s="5">
        <v>62.99</v>
      </c>
      <c r="L1324" s="6">
        <v>0</v>
      </c>
      <c r="M1324" s="5">
        <v>62.99</v>
      </c>
      <c r="P1324" t="str">
        <f>TEXT(Tableau2[[#This Row],[Date]],"mmmm aaaa")</f>
        <v>août 2026</v>
      </c>
    </row>
    <row r="1325" spans="1:16">
      <c r="A1325" s="2" t="s">
        <v>1412</v>
      </c>
      <c r="B1325" s="3">
        <v>46349</v>
      </c>
      <c r="C1325" s="2" t="s">
        <v>57</v>
      </c>
      <c r="D1325" s="2" t="s">
        <v>15</v>
      </c>
      <c r="E1325" s="2" t="s">
        <v>38</v>
      </c>
      <c r="F1325" s="2" t="s">
        <v>17</v>
      </c>
      <c r="G1325" s="2" t="s">
        <v>29</v>
      </c>
      <c r="H1325" s="2" t="s">
        <v>30</v>
      </c>
      <c r="I1325" s="2" t="s">
        <v>58</v>
      </c>
      <c r="J1325" s="4">
        <v>10</v>
      </c>
      <c r="K1325" s="5">
        <v>26.78</v>
      </c>
      <c r="L1325" s="6">
        <v>0</v>
      </c>
      <c r="M1325" s="5">
        <v>267.8</v>
      </c>
      <c r="P1325" t="str">
        <f>TEXT(Tableau2[[#This Row],[Date]],"mmmm aaaa")</f>
        <v>novembre 2026</v>
      </c>
    </row>
    <row r="1326" spans="1:16">
      <c r="A1326" s="2" t="s">
        <v>1413</v>
      </c>
      <c r="B1326" s="3">
        <v>46138</v>
      </c>
      <c r="C1326" s="2" t="s">
        <v>116</v>
      </c>
      <c r="D1326" s="2" t="s">
        <v>15</v>
      </c>
      <c r="E1326" s="2" t="s">
        <v>16</v>
      </c>
      <c r="F1326" s="2" t="s">
        <v>17</v>
      </c>
      <c r="G1326" s="2" t="s">
        <v>29</v>
      </c>
      <c r="H1326" s="2" t="s">
        <v>30</v>
      </c>
      <c r="I1326" s="2" t="s">
        <v>20</v>
      </c>
      <c r="J1326" s="4">
        <v>1</v>
      </c>
      <c r="K1326" s="5">
        <v>27.89</v>
      </c>
      <c r="L1326" s="6">
        <v>0</v>
      </c>
      <c r="M1326" s="5">
        <v>27.89</v>
      </c>
      <c r="P1326" t="str">
        <f>TEXT(Tableau2[[#This Row],[Date]],"mmmm aaaa")</f>
        <v>avril 2026</v>
      </c>
    </row>
    <row r="1327" spans="1:16">
      <c r="A1327" s="2" t="s">
        <v>1414</v>
      </c>
      <c r="B1327" s="3">
        <v>46318</v>
      </c>
      <c r="C1327" s="2" t="s">
        <v>130</v>
      </c>
      <c r="D1327" s="2" t="s">
        <v>53</v>
      </c>
      <c r="E1327" s="2" t="s">
        <v>38</v>
      </c>
      <c r="F1327" s="2" t="s">
        <v>28</v>
      </c>
      <c r="G1327" s="2" t="s">
        <v>24</v>
      </c>
      <c r="H1327" s="2" t="s">
        <v>25</v>
      </c>
      <c r="I1327" s="2" t="s">
        <v>58</v>
      </c>
      <c r="J1327" s="4">
        <v>2</v>
      </c>
      <c r="K1327" s="5">
        <v>122.15</v>
      </c>
      <c r="L1327" s="6">
        <v>0</v>
      </c>
      <c r="M1327" s="5">
        <v>244.3</v>
      </c>
      <c r="P1327" t="str">
        <f>TEXT(Tableau2[[#This Row],[Date]],"mmmm aaaa")</f>
        <v>octobre 2026</v>
      </c>
    </row>
    <row r="1328" spans="1:16">
      <c r="A1328" s="2" t="s">
        <v>1415</v>
      </c>
      <c r="B1328" s="3">
        <v>46379</v>
      </c>
      <c r="C1328" s="2" t="s">
        <v>116</v>
      </c>
      <c r="D1328" s="2" t="s">
        <v>15</v>
      </c>
      <c r="E1328" s="2" t="s">
        <v>16</v>
      </c>
      <c r="F1328" s="2" t="s">
        <v>28</v>
      </c>
      <c r="G1328" s="2" t="s">
        <v>24</v>
      </c>
      <c r="H1328" s="2" t="s">
        <v>35</v>
      </c>
      <c r="I1328" s="2" t="s">
        <v>20</v>
      </c>
      <c r="J1328" s="4">
        <v>6</v>
      </c>
      <c r="K1328" s="5">
        <v>167.45</v>
      </c>
      <c r="L1328" s="6">
        <v>0</v>
      </c>
      <c r="M1328" s="5">
        <v>1004.7</v>
      </c>
      <c r="P1328" t="str">
        <f>TEXT(Tableau2[[#This Row],[Date]],"mmmm aaaa")</f>
        <v>décembre 2026</v>
      </c>
    </row>
    <row r="1329" spans="1:16">
      <c r="A1329" s="2" t="s">
        <v>1416</v>
      </c>
      <c r="B1329" s="3">
        <v>46037</v>
      </c>
      <c r="C1329" s="2" t="s">
        <v>106</v>
      </c>
      <c r="D1329" s="2" t="s">
        <v>23</v>
      </c>
      <c r="E1329" s="2" t="s">
        <v>38</v>
      </c>
      <c r="F1329" s="2" t="s">
        <v>17</v>
      </c>
      <c r="G1329" s="2" t="s">
        <v>18</v>
      </c>
      <c r="H1329" s="2" t="s">
        <v>158</v>
      </c>
      <c r="I1329" s="2" t="s">
        <v>20</v>
      </c>
      <c r="J1329" s="4">
        <v>2</v>
      </c>
      <c r="K1329" s="5">
        <v>47.16</v>
      </c>
      <c r="L1329" s="6">
        <v>0</v>
      </c>
      <c r="M1329" s="5">
        <v>94.32</v>
      </c>
      <c r="P1329" t="str">
        <f>TEXT(Tableau2[[#This Row],[Date]],"mmmm aaaa")</f>
        <v>janvier 2026</v>
      </c>
    </row>
    <row r="1330" spans="1:16">
      <c r="A1330" s="2" t="s">
        <v>1417</v>
      </c>
      <c r="B1330" s="3">
        <v>46267</v>
      </c>
      <c r="C1330" s="2" t="s">
        <v>130</v>
      </c>
      <c r="D1330" s="2" t="s">
        <v>53</v>
      </c>
      <c r="E1330" s="2" t="s">
        <v>16</v>
      </c>
      <c r="F1330" s="2" t="s">
        <v>28</v>
      </c>
      <c r="G1330" s="2" t="s">
        <v>39</v>
      </c>
      <c r="H1330" s="2" t="s">
        <v>40</v>
      </c>
      <c r="I1330" s="2" t="s">
        <v>36</v>
      </c>
      <c r="J1330" s="4">
        <v>2</v>
      </c>
      <c r="K1330" s="5">
        <v>135.41999999999999</v>
      </c>
      <c r="L1330" s="6">
        <v>0</v>
      </c>
      <c r="M1330" s="5">
        <v>270.83999999999997</v>
      </c>
      <c r="P1330" t="str">
        <f>TEXT(Tableau2[[#This Row],[Date]],"mmmm aaaa")</f>
        <v>septembre 2026</v>
      </c>
    </row>
    <row r="1331" spans="1:16">
      <c r="A1331" s="2" t="s">
        <v>1418</v>
      </c>
      <c r="B1331" s="3">
        <v>46086</v>
      </c>
      <c r="C1331" s="2" t="s">
        <v>32</v>
      </c>
      <c r="D1331" s="2" t="s">
        <v>33</v>
      </c>
      <c r="E1331" s="2" t="s">
        <v>16</v>
      </c>
      <c r="F1331" s="2" t="s">
        <v>17</v>
      </c>
      <c r="G1331" s="2" t="s">
        <v>48</v>
      </c>
      <c r="H1331" s="2" t="s">
        <v>77</v>
      </c>
      <c r="I1331" s="2" t="s">
        <v>36</v>
      </c>
      <c r="J1331" s="4">
        <v>8</v>
      </c>
      <c r="K1331" s="5">
        <v>86.35</v>
      </c>
      <c r="L1331" s="6">
        <v>0.05</v>
      </c>
      <c r="M1331" s="5">
        <v>656.26</v>
      </c>
      <c r="P1331" t="str">
        <f>TEXT(Tableau2[[#This Row],[Date]],"mmmm aaaa")</f>
        <v>mars 2026</v>
      </c>
    </row>
    <row r="1332" spans="1:16">
      <c r="A1332" s="2" t="s">
        <v>1419</v>
      </c>
      <c r="B1332" s="3">
        <v>46316</v>
      </c>
      <c r="C1332" s="2" t="s">
        <v>22</v>
      </c>
      <c r="D1332" s="2" t="s">
        <v>23</v>
      </c>
      <c r="E1332" s="2" t="s">
        <v>34</v>
      </c>
      <c r="F1332" s="2" t="s">
        <v>17</v>
      </c>
      <c r="G1332" s="2" t="s">
        <v>29</v>
      </c>
      <c r="H1332" s="2" t="s">
        <v>99</v>
      </c>
      <c r="I1332" s="2" t="s">
        <v>45</v>
      </c>
      <c r="J1332" s="4">
        <v>6</v>
      </c>
      <c r="K1332" s="5">
        <v>65.260000000000005</v>
      </c>
      <c r="L1332" s="6">
        <v>0</v>
      </c>
      <c r="M1332" s="5">
        <v>391.56</v>
      </c>
      <c r="P1332" t="str">
        <f>TEXT(Tableau2[[#This Row],[Date]],"mmmm aaaa")</f>
        <v>octobre 2026</v>
      </c>
    </row>
    <row r="1333" spans="1:16">
      <c r="A1333" s="2" t="s">
        <v>1420</v>
      </c>
      <c r="B1333" s="3">
        <v>46274</v>
      </c>
      <c r="C1333" s="2" t="s">
        <v>63</v>
      </c>
      <c r="D1333" s="2" t="s">
        <v>33</v>
      </c>
      <c r="E1333" s="2" t="s">
        <v>34</v>
      </c>
      <c r="F1333" s="2" t="s">
        <v>17</v>
      </c>
      <c r="G1333" s="2" t="s">
        <v>29</v>
      </c>
      <c r="H1333" s="2" t="s">
        <v>30</v>
      </c>
      <c r="I1333" s="2" t="s">
        <v>45</v>
      </c>
      <c r="J1333" s="4">
        <v>1</v>
      </c>
      <c r="K1333" s="5">
        <v>25.63</v>
      </c>
      <c r="L1333" s="6">
        <v>0</v>
      </c>
      <c r="M1333" s="5">
        <v>25.63</v>
      </c>
      <c r="P1333" t="str">
        <f>TEXT(Tableau2[[#This Row],[Date]],"mmmm aaaa")</f>
        <v>septembre 2026</v>
      </c>
    </row>
    <row r="1334" spans="1:16">
      <c r="A1334" s="2" t="s">
        <v>1421</v>
      </c>
      <c r="B1334" s="3">
        <v>46216</v>
      </c>
      <c r="C1334" s="2" t="s">
        <v>52</v>
      </c>
      <c r="D1334" s="2" t="s">
        <v>53</v>
      </c>
      <c r="E1334" s="2" t="s">
        <v>16</v>
      </c>
      <c r="F1334" s="2" t="s">
        <v>17</v>
      </c>
      <c r="G1334" s="2" t="s">
        <v>39</v>
      </c>
      <c r="H1334" s="2" t="s">
        <v>40</v>
      </c>
      <c r="I1334" s="2" t="s">
        <v>45</v>
      </c>
      <c r="J1334" s="4">
        <v>1</v>
      </c>
      <c r="K1334" s="5">
        <v>140.65</v>
      </c>
      <c r="L1334" s="6">
        <v>0.15</v>
      </c>
      <c r="M1334" s="5">
        <v>119.55</v>
      </c>
      <c r="P1334" t="str">
        <f>TEXT(Tableau2[[#This Row],[Date]],"mmmm aaaa")</f>
        <v>juillet 2026</v>
      </c>
    </row>
    <row r="1335" spans="1:16">
      <c r="A1335" s="2" t="s">
        <v>1422</v>
      </c>
      <c r="B1335" s="3">
        <v>46077</v>
      </c>
      <c r="C1335" s="2" t="s">
        <v>63</v>
      </c>
      <c r="D1335" s="2" t="s">
        <v>33</v>
      </c>
      <c r="E1335" s="2" t="s">
        <v>43</v>
      </c>
      <c r="F1335" s="2" t="s">
        <v>28</v>
      </c>
      <c r="G1335" s="2" t="s">
        <v>39</v>
      </c>
      <c r="H1335" s="2" t="s">
        <v>95</v>
      </c>
      <c r="I1335" s="2" t="s">
        <v>41</v>
      </c>
      <c r="J1335" s="4">
        <v>5</v>
      </c>
      <c r="K1335" s="5">
        <v>91.35</v>
      </c>
      <c r="L1335" s="6">
        <v>0.2</v>
      </c>
      <c r="M1335" s="5">
        <v>365.4</v>
      </c>
      <c r="P1335" t="str">
        <f>TEXT(Tableau2[[#This Row],[Date]],"mmmm aaaa")</f>
        <v>février 2026</v>
      </c>
    </row>
    <row r="1336" spans="1:16">
      <c r="A1336" s="2" t="s">
        <v>1423</v>
      </c>
      <c r="B1336" s="3">
        <v>46184</v>
      </c>
      <c r="C1336" s="2" t="s">
        <v>94</v>
      </c>
      <c r="D1336" s="2" t="s">
        <v>15</v>
      </c>
      <c r="E1336" s="2" t="s">
        <v>43</v>
      </c>
      <c r="F1336" s="2" t="s">
        <v>17</v>
      </c>
      <c r="G1336" s="2" t="s">
        <v>29</v>
      </c>
      <c r="H1336" s="2" t="s">
        <v>140</v>
      </c>
      <c r="I1336" s="2" t="s">
        <v>50</v>
      </c>
      <c r="J1336" s="4">
        <v>1</v>
      </c>
      <c r="K1336" s="5">
        <v>50.01</v>
      </c>
      <c r="L1336" s="6">
        <v>0</v>
      </c>
      <c r="M1336" s="5">
        <v>50.01</v>
      </c>
      <c r="P1336" t="str">
        <f>TEXT(Tableau2[[#This Row],[Date]],"mmmm aaaa")</f>
        <v>juin 2026</v>
      </c>
    </row>
    <row r="1337" spans="1:16">
      <c r="A1337" s="2" t="s">
        <v>1424</v>
      </c>
      <c r="B1337" s="3">
        <v>46240</v>
      </c>
      <c r="C1337" s="2" t="s">
        <v>32</v>
      </c>
      <c r="D1337" s="2" t="s">
        <v>33</v>
      </c>
      <c r="E1337" s="2" t="s">
        <v>16</v>
      </c>
      <c r="F1337" s="2" t="s">
        <v>17</v>
      </c>
      <c r="G1337" s="2" t="s">
        <v>18</v>
      </c>
      <c r="H1337" s="2" t="s">
        <v>143</v>
      </c>
      <c r="I1337" s="2" t="s">
        <v>75</v>
      </c>
      <c r="J1337" s="4">
        <v>3</v>
      </c>
      <c r="K1337" s="5">
        <v>68.31</v>
      </c>
      <c r="L1337" s="6">
        <v>0</v>
      </c>
      <c r="M1337" s="5">
        <v>204.93</v>
      </c>
      <c r="P1337" t="str">
        <f>TEXT(Tableau2[[#This Row],[Date]],"mmmm aaaa")</f>
        <v>août 2026</v>
      </c>
    </row>
    <row r="1338" spans="1:16">
      <c r="A1338" s="2" t="s">
        <v>1425</v>
      </c>
      <c r="B1338" s="3">
        <v>46379</v>
      </c>
      <c r="C1338" s="2" t="s">
        <v>94</v>
      </c>
      <c r="D1338" s="2" t="s">
        <v>15</v>
      </c>
      <c r="E1338" s="2" t="s">
        <v>34</v>
      </c>
      <c r="F1338" s="2" t="s">
        <v>28</v>
      </c>
      <c r="G1338" s="2" t="s">
        <v>39</v>
      </c>
      <c r="H1338" s="2" t="s">
        <v>71</v>
      </c>
      <c r="I1338" s="2" t="s">
        <v>45</v>
      </c>
      <c r="J1338" s="4">
        <v>2</v>
      </c>
      <c r="K1338" s="5">
        <v>116.4</v>
      </c>
      <c r="L1338" s="6">
        <v>0.2</v>
      </c>
      <c r="M1338" s="5">
        <v>186.24</v>
      </c>
      <c r="P1338" t="str">
        <f>TEXT(Tableau2[[#This Row],[Date]],"mmmm aaaa")</f>
        <v>décembre 2026</v>
      </c>
    </row>
    <row r="1339" spans="1:16">
      <c r="A1339" s="2" t="s">
        <v>1426</v>
      </c>
      <c r="B1339" s="3">
        <v>46082</v>
      </c>
      <c r="C1339" s="2" t="s">
        <v>60</v>
      </c>
      <c r="D1339" s="2" t="s">
        <v>33</v>
      </c>
      <c r="E1339" s="2" t="s">
        <v>38</v>
      </c>
      <c r="F1339" s="2" t="s">
        <v>28</v>
      </c>
      <c r="G1339" s="2" t="s">
        <v>24</v>
      </c>
      <c r="H1339" s="2" t="s">
        <v>61</v>
      </c>
      <c r="I1339" s="2" t="s">
        <v>20</v>
      </c>
      <c r="J1339" s="4">
        <v>2</v>
      </c>
      <c r="K1339" s="5">
        <v>237.12</v>
      </c>
      <c r="L1339" s="6">
        <v>0</v>
      </c>
      <c r="M1339" s="5">
        <v>474.24</v>
      </c>
      <c r="P1339" t="str">
        <f>TEXT(Tableau2[[#This Row],[Date]],"mmmm aaaa")</f>
        <v>mars 2026</v>
      </c>
    </row>
    <row r="1340" spans="1:16">
      <c r="A1340" s="2" t="s">
        <v>1427</v>
      </c>
      <c r="B1340" s="3">
        <v>46072</v>
      </c>
      <c r="C1340" s="2" t="s">
        <v>22</v>
      </c>
      <c r="D1340" s="2" t="s">
        <v>23</v>
      </c>
      <c r="E1340" s="2" t="s">
        <v>16</v>
      </c>
      <c r="F1340" s="2" t="s">
        <v>28</v>
      </c>
      <c r="G1340" s="2" t="s">
        <v>24</v>
      </c>
      <c r="H1340" s="2" t="s">
        <v>82</v>
      </c>
      <c r="I1340" s="2" t="s">
        <v>36</v>
      </c>
      <c r="J1340" s="4">
        <v>6</v>
      </c>
      <c r="K1340" s="5">
        <v>318.56</v>
      </c>
      <c r="L1340" s="6">
        <v>0</v>
      </c>
      <c r="M1340" s="5">
        <v>1911.36</v>
      </c>
      <c r="P1340" t="str">
        <f>TEXT(Tableau2[[#This Row],[Date]],"mmmm aaaa")</f>
        <v>février 2026</v>
      </c>
    </row>
    <row r="1341" spans="1:16">
      <c r="A1341" s="2" t="s">
        <v>1428</v>
      </c>
      <c r="B1341" s="3">
        <v>46307</v>
      </c>
      <c r="C1341" s="2" t="s">
        <v>156</v>
      </c>
      <c r="D1341" s="2" t="s">
        <v>15</v>
      </c>
      <c r="E1341" s="2" t="s">
        <v>34</v>
      </c>
      <c r="F1341" s="2" t="s">
        <v>28</v>
      </c>
      <c r="G1341" s="2" t="s">
        <v>24</v>
      </c>
      <c r="H1341" s="2" t="s">
        <v>25</v>
      </c>
      <c r="I1341" s="2" t="s">
        <v>26</v>
      </c>
      <c r="J1341" s="4">
        <v>2</v>
      </c>
      <c r="K1341" s="5">
        <v>130.15</v>
      </c>
      <c r="L1341" s="6">
        <v>0.15</v>
      </c>
      <c r="M1341" s="5">
        <v>221.25</v>
      </c>
      <c r="P1341" t="str">
        <f>TEXT(Tableau2[[#This Row],[Date]],"mmmm aaaa")</f>
        <v>octobre 2026</v>
      </c>
    </row>
    <row r="1342" spans="1:16">
      <c r="A1342" s="2" t="s">
        <v>1429</v>
      </c>
      <c r="B1342" s="3">
        <v>46041</v>
      </c>
      <c r="C1342" s="2" t="s">
        <v>52</v>
      </c>
      <c r="D1342" s="2" t="s">
        <v>53</v>
      </c>
      <c r="E1342" s="2" t="s">
        <v>34</v>
      </c>
      <c r="F1342" s="2" t="s">
        <v>28</v>
      </c>
      <c r="G1342" s="2" t="s">
        <v>54</v>
      </c>
      <c r="H1342" s="2" t="s">
        <v>102</v>
      </c>
      <c r="I1342" s="2" t="s">
        <v>75</v>
      </c>
      <c r="J1342" s="4">
        <v>1</v>
      </c>
      <c r="K1342" s="5">
        <v>226.91</v>
      </c>
      <c r="L1342" s="6">
        <v>0.2</v>
      </c>
      <c r="M1342" s="5">
        <v>181.53</v>
      </c>
      <c r="P1342" t="str">
        <f>TEXT(Tableau2[[#This Row],[Date]],"mmmm aaaa")</f>
        <v>janvier 2026</v>
      </c>
    </row>
    <row r="1343" spans="1:16">
      <c r="A1343" s="2" t="s">
        <v>1430</v>
      </c>
      <c r="B1343" s="3">
        <v>46108</v>
      </c>
      <c r="C1343" s="2" t="s">
        <v>63</v>
      </c>
      <c r="D1343" s="2" t="s">
        <v>33</v>
      </c>
      <c r="E1343" s="2" t="s">
        <v>16</v>
      </c>
      <c r="F1343" s="2" t="s">
        <v>28</v>
      </c>
      <c r="G1343" s="2" t="s">
        <v>18</v>
      </c>
      <c r="H1343" s="2" t="s">
        <v>143</v>
      </c>
      <c r="I1343" s="2" t="s">
        <v>26</v>
      </c>
      <c r="J1343" s="4">
        <v>5</v>
      </c>
      <c r="K1343" s="5">
        <v>72.81</v>
      </c>
      <c r="L1343" s="6">
        <v>0</v>
      </c>
      <c r="M1343" s="5">
        <v>364.05</v>
      </c>
      <c r="P1343" t="str">
        <f>TEXT(Tableau2[[#This Row],[Date]],"mmmm aaaa")</f>
        <v>mars 2026</v>
      </c>
    </row>
    <row r="1344" spans="1:16">
      <c r="A1344" s="2" t="s">
        <v>1431</v>
      </c>
      <c r="B1344" s="3">
        <v>46245</v>
      </c>
      <c r="C1344" s="2" t="s">
        <v>151</v>
      </c>
      <c r="D1344" s="2" t="s">
        <v>15</v>
      </c>
      <c r="E1344" s="2" t="s">
        <v>16</v>
      </c>
      <c r="F1344" s="2" t="s">
        <v>28</v>
      </c>
      <c r="G1344" s="2" t="s">
        <v>18</v>
      </c>
      <c r="H1344" s="2" t="s">
        <v>19</v>
      </c>
      <c r="I1344" s="2" t="s">
        <v>41</v>
      </c>
      <c r="J1344" s="4">
        <v>1</v>
      </c>
      <c r="K1344" s="5">
        <v>58.21</v>
      </c>
      <c r="L1344" s="6">
        <v>0.15</v>
      </c>
      <c r="M1344" s="5">
        <v>49.48</v>
      </c>
      <c r="P1344" t="str">
        <f>TEXT(Tableau2[[#This Row],[Date]],"mmmm aaaa")</f>
        <v>août 2026</v>
      </c>
    </row>
    <row r="1345" spans="1:16">
      <c r="A1345" s="2" t="s">
        <v>1432</v>
      </c>
      <c r="B1345" s="3">
        <v>46360</v>
      </c>
      <c r="C1345" s="2" t="s">
        <v>178</v>
      </c>
      <c r="D1345" s="2" t="s">
        <v>15</v>
      </c>
      <c r="E1345" s="2" t="s">
        <v>43</v>
      </c>
      <c r="F1345" s="2" t="s">
        <v>28</v>
      </c>
      <c r="G1345" s="2" t="s">
        <v>24</v>
      </c>
      <c r="H1345" s="2" t="s">
        <v>61</v>
      </c>
      <c r="I1345" s="2" t="s">
        <v>58</v>
      </c>
      <c r="J1345" s="4">
        <v>5</v>
      </c>
      <c r="K1345" s="5">
        <v>251.09</v>
      </c>
      <c r="L1345" s="6">
        <v>0</v>
      </c>
      <c r="M1345" s="5">
        <v>1255.45</v>
      </c>
      <c r="P1345" t="str">
        <f>TEXT(Tableau2[[#This Row],[Date]],"mmmm aaaa")</f>
        <v>décembre 2026</v>
      </c>
    </row>
    <row r="1346" spans="1:16">
      <c r="A1346" s="2" t="s">
        <v>1433</v>
      </c>
      <c r="B1346" s="3">
        <v>46344</v>
      </c>
      <c r="C1346" s="2" t="s">
        <v>106</v>
      </c>
      <c r="D1346" s="2" t="s">
        <v>23</v>
      </c>
      <c r="E1346" s="2" t="s">
        <v>16</v>
      </c>
      <c r="F1346" s="2" t="s">
        <v>17</v>
      </c>
      <c r="G1346" s="2" t="s">
        <v>18</v>
      </c>
      <c r="H1346" s="2" t="s">
        <v>158</v>
      </c>
      <c r="I1346" s="2" t="s">
        <v>45</v>
      </c>
      <c r="J1346" s="4">
        <v>8</v>
      </c>
      <c r="K1346" s="5">
        <v>46.36</v>
      </c>
      <c r="L1346" s="6">
        <v>0</v>
      </c>
      <c r="M1346" s="5">
        <v>370.88</v>
      </c>
      <c r="P1346" t="str">
        <f>TEXT(Tableau2[[#This Row],[Date]],"mmmm aaaa")</f>
        <v>novembre 2026</v>
      </c>
    </row>
    <row r="1347" spans="1:16">
      <c r="A1347" s="2" t="s">
        <v>1434</v>
      </c>
      <c r="B1347" s="3">
        <v>46387</v>
      </c>
      <c r="C1347" s="2" t="s">
        <v>101</v>
      </c>
      <c r="D1347" s="2" t="s">
        <v>33</v>
      </c>
      <c r="E1347" s="2" t="s">
        <v>16</v>
      </c>
      <c r="F1347" s="2" t="s">
        <v>17</v>
      </c>
      <c r="G1347" s="2" t="s">
        <v>29</v>
      </c>
      <c r="H1347" s="2" t="s">
        <v>44</v>
      </c>
      <c r="I1347" s="2" t="s">
        <v>36</v>
      </c>
      <c r="J1347" s="4">
        <v>2</v>
      </c>
      <c r="K1347" s="5">
        <v>37.89</v>
      </c>
      <c r="L1347" s="6">
        <v>0.15</v>
      </c>
      <c r="M1347" s="5">
        <v>64.41</v>
      </c>
      <c r="P1347" t="str">
        <f>TEXT(Tableau2[[#This Row],[Date]],"mmmm aaaa")</f>
        <v>décembre 2026</v>
      </c>
    </row>
    <row r="1348" spans="1:16">
      <c r="A1348" s="2" t="s">
        <v>1435</v>
      </c>
      <c r="B1348" s="3">
        <v>46163</v>
      </c>
      <c r="C1348" s="2" t="s">
        <v>47</v>
      </c>
      <c r="D1348" s="2" t="s">
        <v>15</v>
      </c>
      <c r="E1348" s="2" t="s">
        <v>34</v>
      </c>
      <c r="F1348" s="2" t="s">
        <v>17</v>
      </c>
      <c r="G1348" s="2" t="s">
        <v>18</v>
      </c>
      <c r="H1348" s="2" t="s">
        <v>143</v>
      </c>
      <c r="I1348" s="2" t="s">
        <v>36</v>
      </c>
      <c r="J1348" s="4">
        <v>6</v>
      </c>
      <c r="K1348" s="5">
        <v>71.08</v>
      </c>
      <c r="L1348" s="6">
        <v>0</v>
      </c>
      <c r="M1348" s="5">
        <v>426.48</v>
      </c>
      <c r="P1348" t="str">
        <f>TEXT(Tableau2[[#This Row],[Date]],"mmmm aaaa")</f>
        <v>mai 2026</v>
      </c>
    </row>
    <row r="1349" spans="1:16">
      <c r="A1349" s="2" t="s">
        <v>1436</v>
      </c>
      <c r="B1349" s="3">
        <v>46286</v>
      </c>
      <c r="C1349" s="2" t="s">
        <v>66</v>
      </c>
      <c r="D1349" s="2" t="s">
        <v>23</v>
      </c>
      <c r="E1349" s="2" t="s">
        <v>34</v>
      </c>
      <c r="F1349" s="2" t="s">
        <v>17</v>
      </c>
      <c r="G1349" s="2" t="s">
        <v>48</v>
      </c>
      <c r="H1349" s="2" t="s">
        <v>88</v>
      </c>
      <c r="I1349" s="2" t="s">
        <v>20</v>
      </c>
      <c r="J1349" s="4">
        <v>8</v>
      </c>
      <c r="K1349" s="5">
        <v>72.72</v>
      </c>
      <c r="L1349" s="6">
        <v>0</v>
      </c>
      <c r="M1349" s="5">
        <v>581.76</v>
      </c>
      <c r="P1349" t="str">
        <f>TEXT(Tableau2[[#This Row],[Date]],"mmmm aaaa")</f>
        <v>septembre 2026</v>
      </c>
    </row>
    <row r="1350" spans="1:16">
      <c r="A1350" s="2" t="s">
        <v>1437</v>
      </c>
      <c r="B1350" s="3">
        <v>46374</v>
      </c>
      <c r="C1350" s="2" t="s">
        <v>130</v>
      </c>
      <c r="D1350" s="2" t="s">
        <v>53</v>
      </c>
      <c r="E1350" s="2" t="s">
        <v>34</v>
      </c>
      <c r="F1350" s="2" t="s">
        <v>17</v>
      </c>
      <c r="G1350" s="2" t="s">
        <v>54</v>
      </c>
      <c r="H1350" s="2" t="s">
        <v>102</v>
      </c>
      <c r="I1350" s="2" t="s">
        <v>26</v>
      </c>
      <c r="J1350" s="4">
        <v>1</v>
      </c>
      <c r="K1350" s="5">
        <v>204.61</v>
      </c>
      <c r="L1350" s="6">
        <v>0.05</v>
      </c>
      <c r="M1350" s="5">
        <v>194.38</v>
      </c>
      <c r="P1350" t="str">
        <f>TEXT(Tableau2[[#This Row],[Date]],"mmmm aaaa")</f>
        <v>décembre 2026</v>
      </c>
    </row>
    <row r="1351" spans="1:16">
      <c r="A1351" s="2" t="s">
        <v>1438</v>
      </c>
      <c r="B1351" s="3">
        <v>46349</v>
      </c>
      <c r="C1351" s="2" t="s">
        <v>90</v>
      </c>
      <c r="D1351" s="2" t="s">
        <v>53</v>
      </c>
      <c r="E1351" s="2" t="s">
        <v>34</v>
      </c>
      <c r="F1351" s="2" t="s">
        <v>28</v>
      </c>
      <c r="G1351" s="2" t="s">
        <v>39</v>
      </c>
      <c r="H1351" s="2" t="s">
        <v>95</v>
      </c>
      <c r="I1351" s="2" t="s">
        <v>50</v>
      </c>
      <c r="J1351" s="4">
        <v>2</v>
      </c>
      <c r="K1351" s="5">
        <v>93.67</v>
      </c>
      <c r="L1351" s="6">
        <v>0.1</v>
      </c>
      <c r="M1351" s="5">
        <v>168.61</v>
      </c>
      <c r="P1351" t="str">
        <f>TEXT(Tableau2[[#This Row],[Date]],"mmmm aaaa")</f>
        <v>novembre 2026</v>
      </c>
    </row>
    <row r="1352" spans="1:16">
      <c r="A1352" s="2" t="s">
        <v>1439</v>
      </c>
      <c r="B1352" s="3">
        <v>46320</v>
      </c>
      <c r="C1352" s="2" t="s">
        <v>14</v>
      </c>
      <c r="D1352" s="2" t="s">
        <v>15</v>
      </c>
      <c r="E1352" s="2" t="s">
        <v>38</v>
      </c>
      <c r="F1352" s="2" t="s">
        <v>17</v>
      </c>
      <c r="G1352" s="2" t="s">
        <v>18</v>
      </c>
      <c r="H1352" s="2" t="s">
        <v>19</v>
      </c>
      <c r="I1352" s="2" t="s">
        <v>36</v>
      </c>
      <c r="J1352" s="4">
        <v>3</v>
      </c>
      <c r="K1352" s="5">
        <v>54.73</v>
      </c>
      <c r="L1352" s="6">
        <v>0.05</v>
      </c>
      <c r="M1352" s="5">
        <v>155.97999999999999</v>
      </c>
      <c r="P1352" t="str">
        <f>TEXT(Tableau2[[#This Row],[Date]],"mmmm aaaa")</f>
        <v>octobre 2026</v>
      </c>
    </row>
    <row r="1353" spans="1:16">
      <c r="A1353" s="2" t="s">
        <v>1440</v>
      </c>
      <c r="B1353" s="3">
        <v>46287</v>
      </c>
      <c r="C1353" s="2" t="s">
        <v>57</v>
      </c>
      <c r="D1353" s="2" t="s">
        <v>15</v>
      </c>
      <c r="E1353" s="2" t="s">
        <v>16</v>
      </c>
      <c r="F1353" s="2" t="s">
        <v>28</v>
      </c>
      <c r="G1353" s="2" t="s">
        <v>48</v>
      </c>
      <c r="H1353" s="2" t="s">
        <v>84</v>
      </c>
      <c r="I1353" s="2" t="s">
        <v>20</v>
      </c>
      <c r="J1353" s="4">
        <v>3</v>
      </c>
      <c r="K1353" s="5">
        <v>97.48</v>
      </c>
      <c r="L1353" s="6">
        <v>0</v>
      </c>
      <c r="M1353" s="5">
        <v>292.44</v>
      </c>
      <c r="P1353" t="str">
        <f>TEXT(Tableau2[[#This Row],[Date]],"mmmm aaaa")</f>
        <v>septembre 2026</v>
      </c>
    </row>
    <row r="1354" spans="1:16">
      <c r="A1354" s="2" t="s">
        <v>1441</v>
      </c>
      <c r="B1354" s="3">
        <v>46186</v>
      </c>
      <c r="C1354" s="2" t="s">
        <v>94</v>
      </c>
      <c r="D1354" s="2" t="s">
        <v>15</v>
      </c>
      <c r="E1354" s="2" t="s">
        <v>43</v>
      </c>
      <c r="F1354" s="2" t="s">
        <v>17</v>
      </c>
      <c r="G1354" s="2" t="s">
        <v>48</v>
      </c>
      <c r="H1354" s="2" t="s">
        <v>49</v>
      </c>
      <c r="I1354" s="2" t="s">
        <v>26</v>
      </c>
      <c r="J1354" s="4">
        <v>1</v>
      </c>
      <c r="K1354" s="5">
        <v>57.54</v>
      </c>
      <c r="L1354" s="6">
        <v>0</v>
      </c>
      <c r="M1354" s="5">
        <v>57.54</v>
      </c>
      <c r="P1354" t="str">
        <f>TEXT(Tableau2[[#This Row],[Date]],"mmmm aaaa")</f>
        <v>juin 2026</v>
      </c>
    </row>
    <row r="1355" spans="1:16">
      <c r="A1355" s="2" t="s">
        <v>1442</v>
      </c>
      <c r="B1355" s="3">
        <v>46124</v>
      </c>
      <c r="C1355" s="2" t="s">
        <v>32</v>
      </c>
      <c r="D1355" s="2" t="s">
        <v>33</v>
      </c>
      <c r="E1355" s="2" t="s">
        <v>34</v>
      </c>
      <c r="F1355" s="2" t="s">
        <v>17</v>
      </c>
      <c r="G1355" s="2" t="s">
        <v>54</v>
      </c>
      <c r="H1355" s="2" t="s">
        <v>64</v>
      </c>
      <c r="I1355" s="2" t="s">
        <v>20</v>
      </c>
      <c r="J1355" s="4">
        <v>2</v>
      </c>
      <c r="K1355" s="5">
        <v>95.41</v>
      </c>
      <c r="L1355" s="6">
        <v>0</v>
      </c>
      <c r="M1355" s="5">
        <v>190.82</v>
      </c>
      <c r="P1355" t="str">
        <f>TEXT(Tableau2[[#This Row],[Date]],"mmmm aaaa")</f>
        <v>avril 2026</v>
      </c>
    </row>
    <row r="1356" spans="1:16">
      <c r="A1356" s="2" t="s">
        <v>1443</v>
      </c>
      <c r="B1356" s="3">
        <v>46307</v>
      </c>
      <c r="C1356" s="2" t="s">
        <v>119</v>
      </c>
      <c r="D1356" s="2" t="s">
        <v>15</v>
      </c>
      <c r="E1356" s="2" t="s">
        <v>43</v>
      </c>
      <c r="F1356" s="2" t="s">
        <v>17</v>
      </c>
      <c r="G1356" s="2" t="s">
        <v>54</v>
      </c>
      <c r="H1356" s="2" t="s">
        <v>102</v>
      </c>
      <c r="I1356" s="2" t="s">
        <v>26</v>
      </c>
      <c r="J1356" s="4">
        <v>3</v>
      </c>
      <c r="K1356" s="5">
        <v>206.82</v>
      </c>
      <c r="L1356" s="6">
        <v>0</v>
      </c>
      <c r="M1356" s="5">
        <v>620.46</v>
      </c>
      <c r="P1356" t="str">
        <f>TEXT(Tableau2[[#This Row],[Date]],"mmmm aaaa")</f>
        <v>octobre 2026</v>
      </c>
    </row>
    <row r="1357" spans="1:16">
      <c r="A1357" s="2" t="s">
        <v>1444</v>
      </c>
      <c r="B1357" s="3">
        <v>46249</v>
      </c>
      <c r="C1357" s="2" t="s">
        <v>14</v>
      </c>
      <c r="D1357" s="2" t="s">
        <v>15</v>
      </c>
      <c r="E1357" s="2" t="s">
        <v>16</v>
      </c>
      <c r="F1357" s="2" t="s">
        <v>28</v>
      </c>
      <c r="G1357" s="2" t="s">
        <v>18</v>
      </c>
      <c r="H1357" s="2" t="s">
        <v>19</v>
      </c>
      <c r="I1357" s="2" t="s">
        <v>20</v>
      </c>
      <c r="J1357" s="4">
        <v>3</v>
      </c>
      <c r="K1357" s="5">
        <v>56.53</v>
      </c>
      <c r="L1357" s="6">
        <v>0</v>
      </c>
      <c r="M1357" s="5">
        <v>169.59</v>
      </c>
      <c r="P1357" t="str">
        <f>TEXT(Tableau2[[#This Row],[Date]],"mmmm aaaa")</f>
        <v>août 2026</v>
      </c>
    </row>
    <row r="1358" spans="1:16">
      <c r="A1358" s="2" t="s">
        <v>1445</v>
      </c>
      <c r="B1358" s="3">
        <v>46282</v>
      </c>
      <c r="C1358" s="2" t="s">
        <v>63</v>
      </c>
      <c r="D1358" s="2" t="s">
        <v>33</v>
      </c>
      <c r="E1358" s="2" t="s">
        <v>16</v>
      </c>
      <c r="F1358" s="2" t="s">
        <v>17</v>
      </c>
      <c r="G1358" s="2" t="s">
        <v>54</v>
      </c>
      <c r="H1358" s="2" t="s">
        <v>55</v>
      </c>
      <c r="I1358" s="2" t="s">
        <v>26</v>
      </c>
      <c r="J1358" s="4">
        <v>6</v>
      </c>
      <c r="K1358" s="5">
        <v>155.31</v>
      </c>
      <c r="L1358" s="6">
        <v>0</v>
      </c>
      <c r="M1358" s="5">
        <v>931.86</v>
      </c>
      <c r="P1358" t="str">
        <f>TEXT(Tableau2[[#This Row],[Date]],"mmmm aaaa")</f>
        <v>septembre 2026</v>
      </c>
    </row>
    <row r="1359" spans="1:16">
      <c r="A1359" s="2" t="s">
        <v>1446</v>
      </c>
      <c r="B1359" s="3">
        <v>46183</v>
      </c>
      <c r="C1359" s="2" t="s">
        <v>156</v>
      </c>
      <c r="D1359" s="2" t="s">
        <v>15</v>
      </c>
      <c r="E1359" s="2" t="s">
        <v>34</v>
      </c>
      <c r="F1359" s="2" t="s">
        <v>17</v>
      </c>
      <c r="G1359" s="2" t="s">
        <v>24</v>
      </c>
      <c r="H1359" s="2" t="s">
        <v>25</v>
      </c>
      <c r="I1359" s="2" t="s">
        <v>36</v>
      </c>
      <c r="J1359" s="4">
        <v>9</v>
      </c>
      <c r="K1359" s="5">
        <v>119.09</v>
      </c>
      <c r="L1359" s="6">
        <v>0.15</v>
      </c>
      <c r="M1359" s="5">
        <v>911.04</v>
      </c>
      <c r="P1359" t="str">
        <f>TEXT(Tableau2[[#This Row],[Date]],"mmmm aaaa")</f>
        <v>juin 2026</v>
      </c>
    </row>
    <row r="1360" spans="1:16">
      <c r="A1360" s="2" t="s">
        <v>1447</v>
      </c>
      <c r="B1360" s="3">
        <v>46214</v>
      </c>
      <c r="C1360" s="2" t="s">
        <v>79</v>
      </c>
      <c r="D1360" s="2" t="s">
        <v>33</v>
      </c>
      <c r="E1360" s="2" t="s">
        <v>34</v>
      </c>
      <c r="F1360" s="2" t="s">
        <v>28</v>
      </c>
      <c r="G1360" s="2" t="s">
        <v>54</v>
      </c>
      <c r="H1360" s="2" t="s">
        <v>55</v>
      </c>
      <c r="I1360" s="2" t="s">
        <v>50</v>
      </c>
      <c r="J1360" s="4">
        <v>2</v>
      </c>
      <c r="K1360" s="5">
        <v>159.61000000000001</v>
      </c>
      <c r="L1360" s="6">
        <v>0</v>
      </c>
      <c r="M1360" s="5">
        <v>319.22000000000003</v>
      </c>
      <c r="P1360" t="str">
        <f>TEXT(Tableau2[[#This Row],[Date]],"mmmm aaaa")</f>
        <v>juillet 2026</v>
      </c>
    </row>
    <row r="1361" spans="1:16">
      <c r="A1361" s="2" t="s">
        <v>1448</v>
      </c>
      <c r="B1361" s="3">
        <v>46374</v>
      </c>
      <c r="C1361" s="2" t="s">
        <v>57</v>
      </c>
      <c r="D1361" s="2" t="s">
        <v>15</v>
      </c>
      <c r="E1361" s="2" t="s">
        <v>38</v>
      </c>
      <c r="F1361" s="2" t="s">
        <v>17</v>
      </c>
      <c r="G1361" s="2" t="s">
        <v>48</v>
      </c>
      <c r="H1361" s="2" t="s">
        <v>77</v>
      </c>
      <c r="I1361" s="2" t="s">
        <v>45</v>
      </c>
      <c r="J1361" s="4">
        <v>1</v>
      </c>
      <c r="K1361" s="5">
        <v>88.74</v>
      </c>
      <c r="L1361" s="6">
        <v>0.05</v>
      </c>
      <c r="M1361" s="5">
        <v>84.3</v>
      </c>
      <c r="P1361" t="str">
        <f>TEXT(Tableau2[[#This Row],[Date]],"mmmm aaaa")</f>
        <v>décembre 2026</v>
      </c>
    </row>
    <row r="1362" spans="1:16">
      <c r="A1362" s="2" t="s">
        <v>1449</v>
      </c>
      <c r="B1362" s="3">
        <v>46237</v>
      </c>
      <c r="C1362" s="2" t="s">
        <v>60</v>
      </c>
      <c r="D1362" s="2" t="s">
        <v>33</v>
      </c>
      <c r="E1362" s="2" t="s">
        <v>16</v>
      </c>
      <c r="F1362" s="2" t="s">
        <v>17</v>
      </c>
      <c r="G1362" s="2" t="s">
        <v>29</v>
      </c>
      <c r="H1362" s="2" t="s">
        <v>44</v>
      </c>
      <c r="I1362" s="2" t="s">
        <v>26</v>
      </c>
      <c r="J1362" s="4">
        <v>5</v>
      </c>
      <c r="K1362" s="5">
        <v>37.6</v>
      </c>
      <c r="L1362" s="6">
        <v>0</v>
      </c>
      <c r="M1362" s="5">
        <v>188</v>
      </c>
      <c r="P1362" t="str">
        <f>TEXT(Tableau2[[#This Row],[Date]],"mmmm aaaa")</f>
        <v>août 2026</v>
      </c>
    </row>
    <row r="1363" spans="1:16">
      <c r="A1363" s="2" t="s">
        <v>1450</v>
      </c>
      <c r="B1363" s="3">
        <v>46226</v>
      </c>
      <c r="C1363" s="2" t="s">
        <v>164</v>
      </c>
      <c r="D1363" s="2" t="s">
        <v>53</v>
      </c>
      <c r="E1363" s="2" t="s">
        <v>34</v>
      </c>
      <c r="F1363" s="2" t="s">
        <v>17</v>
      </c>
      <c r="G1363" s="2" t="s">
        <v>48</v>
      </c>
      <c r="H1363" s="2" t="s">
        <v>77</v>
      </c>
      <c r="I1363" s="2" t="s">
        <v>50</v>
      </c>
      <c r="J1363" s="4">
        <v>1</v>
      </c>
      <c r="K1363" s="5">
        <v>89.03</v>
      </c>
      <c r="L1363" s="6">
        <v>0</v>
      </c>
      <c r="M1363" s="5">
        <v>89.03</v>
      </c>
      <c r="P1363" t="str">
        <f>TEXT(Tableau2[[#This Row],[Date]],"mmmm aaaa")</f>
        <v>juillet 2026</v>
      </c>
    </row>
    <row r="1364" spans="1:16">
      <c r="A1364" s="2" t="s">
        <v>1451</v>
      </c>
      <c r="B1364" s="3">
        <v>46143</v>
      </c>
      <c r="C1364" s="2" t="s">
        <v>63</v>
      </c>
      <c r="D1364" s="2" t="s">
        <v>33</v>
      </c>
      <c r="E1364" s="2" t="s">
        <v>38</v>
      </c>
      <c r="F1364" s="2" t="s">
        <v>17</v>
      </c>
      <c r="G1364" s="2" t="s">
        <v>54</v>
      </c>
      <c r="H1364" s="2" t="s">
        <v>64</v>
      </c>
      <c r="I1364" s="2" t="s">
        <v>41</v>
      </c>
      <c r="J1364" s="4">
        <v>1</v>
      </c>
      <c r="K1364" s="5">
        <v>86.76</v>
      </c>
      <c r="L1364" s="6">
        <v>0</v>
      </c>
      <c r="M1364" s="5">
        <v>86.76</v>
      </c>
      <c r="P1364" t="str">
        <f>TEXT(Tableau2[[#This Row],[Date]],"mmmm aaaa")</f>
        <v>mai 2026</v>
      </c>
    </row>
    <row r="1365" spans="1:16">
      <c r="A1365" s="2" t="s">
        <v>1452</v>
      </c>
      <c r="B1365" s="3">
        <v>46363</v>
      </c>
      <c r="C1365" s="2" t="s">
        <v>94</v>
      </c>
      <c r="D1365" s="2" t="s">
        <v>15</v>
      </c>
      <c r="E1365" s="2" t="s">
        <v>16</v>
      </c>
      <c r="F1365" s="2" t="s">
        <v>17</v>
      </c>
      <c r="G1365" s="2" t="s">
        <v>48</v>
      </c>
      <c r="H1365" s="2" t="s">
        <v>49</v>
      </c>
      <c r="I1365" s="2" t="s">
        <v>58</v>
      </c>
      <c r="J1365" s="4">
        <v>5</v>
      </c>
      <c r="K1365" s="5">
        <v>54.85</v>
      </c>
      <c r="L1365" s="6">
        <v>0</v>
      </c>
      <c r="M1365" s="5">
        <v>274.25</v>
      </c>
      <c r="P1365" t="str">
        <f>TEXT(Tableau2[[#This Row],[Date]],"mmmm aaaa")</f>
        <v>décembre 2026</v>
      </c>
    </row>
    <row r="1366" spans="1:16">
      <c r="A1366" s="2" t="s">
        <v>1453</v>
      </c>
      <c r="B1366" s="3">
        <v>46186</v>
      </c>
      <c r="C1366" s="2" t="s">
        <v>57</v>
      </c>
      <c r="D1366" s="2" t="s">
        <v>15</v>
      </c>
      <c r="E1366" s="2" t="s">
        <v>16</v>
      </c>
      <c r="F1366" s="2" t="s">
        <v>17</v>
      </c>
      <c r="G1366" s="2" t="s">
        <v>39</v>
      </c>
      <c r="H1366" s="2" t="s">
        <v>40</v>
      </c>
      <c r="I1366" s="2" t="s">
        <v>75</v>
      </c>
      <c r="J1366" s="4">
        <v>2</v>
      </c>
      <c r="K1366" s="5">
        <v>135.49</v>
      </c>
      <c r="L1366" s="6">
        <v>0</v>
      </c>
      <c r="M1366" s="5">
        <v>270.98</v>
      </c>
      <c r="P1366" t="str">
        <f>TEXT(Tableau2[[#This Row],[Date]],"mmmm aaaa")</f>
        <v>juin 2026</v>
      </c>
    </row>
    <row r="1367" spans="1:16">
      <c r="A1367" s="2" t="s">
        <v>1454</v>
      </c>
      <c r="B1367" s="3">
        <v>46233</v>
      </c>
      <c r="C1367" s="2" t="s">
        <v>14</v>
      </c>
      <c r="D1367" s="2" t="s">
        <v>15</v>
      </c>
      <c r="E1367" s="2" t="s">
        <v>16</v>
      </c>
      <c r="F1367" s="2" t="s">
        <v>17</v>
      </c>
      <c r="G1367" s="2" t="s">
        <v>54</v>
      </c>
      <c r="H1367" s="2" t="s">
        <v>64</v>
      </c>
      <c r="I1367" s="2" t="s">
        <v>50</v>
      </c>
      <c r="J1367" s="4">
        <v>2</v>
      </c>
      <c r="K1367" s="5">
        <v>82.52</v>
      </c>
      <c r="L1367" s="6">
        <v>0.3</v>
      </c>
      <c r="M1367" s="5">
        <v>115.53</v>
      </c>
      <c r="P1367" t="str">
        <f>TEXT(Tableau2[[#This Row],[Date]],"mmmm aaaa")</f>
        <v>juillet 2026</v>
      </c>
    </row>
    <row r="1368" spans="1:16">
      <c r="A1368" s="2" t="s">
        <v>1455</v>
      </c>
      <c r="B1368" s="3">
        <v>46331</v>
      </c>
      <c r="C1368" s="2" t="s">
        <v>22</v>
      </c>
      <c r="D1368" s="2" t="s">
        <v>23</v>
      </c>
      <c r="E1368" s="2" t="s">
        <v>43</v>
      </c>
      <c r="F1368" s="2" t="s">
        <v>28</v>
      </c>
      <c r="G1368" s="2" t="s">
        <v>18</v>
      </c>
      <c r="H1368" s="2" t="s">
        <v>136</v>
      </c>
      <c r="I1368" s="2" t="s">
        <v>45</v>
      </c>
      <c r="J1368" s="4">
        <v>1</v>
      </c>
      <c r="K1368" s="5">
        <v>31.44</v>
      </c>
      <c r="L1368" s="6">
        <v>0.2</v>
      </c>
      <c r="M1368" s="5">
        <v>25.15</v>
      </c>
      <c r="P1368" t="str">
        <f>TEXT(Tableau2[[#This Row],[Date]],"mmmm aaaa")</f>
        <v>novembre 2026</v>
      </c>
    </row>
    <row r="1369" spans="1:16">
      <c r="A1369" s="2" t="s">
        <v>1456</v>
      </c>
      <c r="B1369" s="3">
        <v>46050</v>
      </c>
      <c r="C1369" s="2" t="s">
        <v>63</v>
      </c>
      <c r="D1369" s="2" t="s">
        <v>33</v>
      </c>
      <c r="E1369" s="2" t="s">
        <v>34</v>
      </c>
      <c r="F1369" s="2" t="s">
        <v>17</v>
      </c>
      <c r="G1369" s="2" t="s">
        <v>48</v>
      </c>
      <c r="H1369" s="2" t="s">
        <v>49</v>
      </c>
      <c r="I1369" s="2" t="s">
        <v>50</v>
      </c>
      <c r="J1369" s="4">
        <v>1</v>
      </c>
      <c r="K1369" s="5">
        <v>57.24</v>
      </c>
      <c r="L1369" s="6">
        <v>0</v>
      </c>
      <c r="M1369" s="5">
        <v>57.24</v>
      </c>
      <c r="P1369" t="str">
        <f>TEXT(Tableau2[[#This Row],[Date]],"mmmm aaaa")</f>
        <v>janvier 2026</v>
      </c>
    </row>
    <row r="1370" spans="1:16">
      <c r="A1370" s="2" t="s">
        <v>1457</v>
      </c>
      <c r="B1370" s="3">
        <v>46228</v>
      </c>
      <c r="C1370" s="2" t="s">
        <v>119</v>
      </c>
      <c r="D1370" s="2" t="s">
        <v>15</v>
      </c>
      <c r="E1370" s="2" t="s">
        <v>16</v>
      </c>
      <c r="F1370" s="2" t="s">
        <v>17</v>
      </c>
      <c r="G1370" s="2" t="s">
        <v>48</v>
      </c>
      <c r="H1370" s="2" t="s">
        <v>84</v>
      </c>
      <c r="I1370" s="2" t="s">
        <v>45</v>
      </c>
      <c r="J1370" s="4">
        <v>1</v>
      </c>
      <c r="K1370" s="5">
        <v>89.18</v>
      </c>
      <c r="L1370" s="6">
        <v>0</v>
      </c>
      <c r="M1370" s="5">
        <v>89.18</v>
      </c>
      <c r="P1370" t="str">
        <f>TEXT(Tableau2[[#This Row],[Date]],"mmmm aaaa")</f>
        <v>juillet 2026</v>
      </c>
    </row>
    <row r="1371" spans="1:16">
      <c r="A1371" s="2" t="s">
        <v>1458</v>
      </c>
      <c r="B1371" s="3">
        <v>46348</v>
      </c>
      <c r="C1371" s="2" t="s">
        <v>130</v>
      </c>
      <c r="D1371" s="2" t="s">
        <v>53</v>
      </c>
      <c r="E1371" s="2" t="s">
        <v>34</v>
      </c>
      <c r="F1371" s="2" t="s">
        <v>17</v>
      </c>
      <c r="G1371" s="2" t="s">
        <v>48</v>
      </c>
      <c r="H1371" s="2" t="s">
        <v>49</v>
      </c>
      <c r="I1371" s="2" t="s">
        <v>50</v>
      </c>
      <c r="J1371" s="4">
        <v>1</v>
      </c>
      <c r="K1371" s="5">
        <v>53.37</v>
      </c>
      <c r="L1371" s="6">
        <v>0</v>
      </c>
      <c r="M1371" s="5">
        <v>53.37</v>
      </c>
      <c r="P1371" t="str">
        <f>TEXT(Tableau2[[#This Row],[Date]],"mmmm aaaa")</f>
        <v>novembre 2026</v>
      </c>
    </row>
    <row r="1372" spans="1:16">
      <c r="A1372" s="2" t="s">
        <v>1459</v>
      </c>
      <c r="B1372" s="3">
        <v>46347</v>
      </c>
      <c r="C1372" s="2" t="s">
        <v>119</v>
      </c>
      <c r="D1372" s="2" t="s">
        <v>15</v>
      </c>
      <c r="E1372" s="2" t="s">
        <v>16</v>
      </c>
      <c r="F1372" s="2" t="s">
        <v>17</v>
      </c>
      <c r="G1372" s="2" t="s">
        <v>39</v>
      </c>
      <c r="H1372" s="2" t="s">
        <v>71</v>
      </c>
      <c r="I1372" s="2" t="s">
        <v>36</v>
      </c>
      <c r="J1372" s="4">
        <v>1</v>
      </c>
      <c r="K1372" s="5">
        <v>126.07</v>
      </c>
      <c r="L1372" s="6">
        <v>0</v>
      </c>
      <c r="M1372" s="5">
        <v>126.07</v>
      </c>
      <c r="P1372" t="str">
        <f>TEXT(Tableau2[[#This Row],[Date]],"mmmm aaaa")</f>
        <v>novembre 2026</v>
      </c>
    </row>
    <row r="1373" spans="1:16">
      <c r="A1373" s="2" t="s">
        <v>1460</v>
      </c>
      <c r="B1373" s="3">
        <v>46234</v>
      </c>
      <c r="C1373" s="2" t="s">
        <v>63</v>
      </c>
      <c r="D1373" s="2" t="s">
        <v>33</v>
      </c>
      <c r="E1373" s="2" t="s">
        <v>16</v>
      </c>
      <c r="F1373" s="2" t="s">
        <v>28</v>
      </c>
      <c r="G1373" s="2" t="s">
        <v>18</v>
      </c>
      <c r="H1373" s="2" t="s">
        <v>143</v>
      </c>
      <c r="I1373" s="2" t="s">
        <v>45</v>
      </c>
      <c r="J1373" s="4">
        <v>1</v>
      </c>
      <c r="K1373" s="5">
        <v>72.489999999999995</v>
      </c>
      <c r="L1373" s="6">
        <v>0</v>
      </c>
      <c r="M1373" s="5">
        <v>72.489999999999995</v>
      </c>
      <c r="P1373" t="str">
        <f>TEXT(Tableau2[[#This Row],[Date]],"mmmm aaaa")</f>
        <v>juillet 2026</v>
      </c>
    </row>
    <row r="1374" spans="1:16">
      <c r="A1374" s="2" t="s">
        <v>1461</v>
      </c>
      <c r="B1374" s="3">
        <v>46341</v>
      </c>
      <c r="C1374" s="2" t="s">
        <v>63</v>
      </c>
      <c r="D1374" s="2" t="s">
        <v>33</v>
      </c>
      <c r="E1374" s="2" t="s">
        <v>38</v>
      </c>
      <c r="F1374" s="2" t="s">
        <v>17</v>
      </c>
      <c r="G1374" s="2" t="s">
        <v>54</v>
      </c>
      <c r="H1374" s="2" t="s">
        <v>102</v>
      </c>
      <c r="I1374" s="2" t="s">
        <v>41</v>
      </c>
      <c r="J1374" s="4">
        <v>1</v>
      </c>
      <c r="K1374" s="5">
        <v>230.06</v>
      </c>
      <c r="L1374" s="6">
        <v>0</v>
      </c>
      <c r="M1374" s="5">
        <v>230.06</v>
      </c>
      <c r="P1374" t="str">
        <f>TEXT(Tableau2[[#This Row],[Date]],"mmmm aaaa")</f>
        <v>novembre 2026</v>
      </c>
    </row>
    <row r="1375" spans="1:16">
      <c r="A1375" s="2" t="s">
        <v>1462</v>
      </c>
      <c r="B1375" s="3">
        <v>46155</v>
      </c>
      <c r="C1375" s="2" t="s">
        <v>52</v>
      </c>
      <c r="D1375" s="2" t="s">
        <v>53</v>
      </c>
      <c r="E1375" s="2" t="s">
        <v>16</v>
      </c>
      <c r="F1375" s="2" t="s">
        <v>28</v>
      </c>
      <c r="G1375" s="2" t="s">
        <v>48</v>
      </c>
      <c r="H1375" s="2" t="s">
        <v>88</v>
      </c>
      <c r="I1375" s="2" t="s">
        <v>26</v>
      </c>
      <c r="J1375" s="4">
        <v>2</v>
      </c>
      <c r="K1375" s="5">
        <v>72.8</v>
      </c>
      <c r="L1375" s="6">
        <v>0</v>
      </c>
      <c r="M1375" s="5">
        <v>145.6</v>
      </c>
      <c r="P1375" t="str">
        <f>TEXT(Tableau2[[#This Row],[Date]],"mmmm aaaa")</f>
        <v>mai 2026</v>
      </c>
    </row>
    <row r="1376" spans="1:16">
      <c r="A1376" s="2" t="s">
        <v>1463</v>
      </c>
      <c r="B1376" s="3">
        <v>46317</v>
      </c>
      <c r="C1376" s="2" t="s">
        <v>94</v>
      </c>
      <c r="D1376" s="2" t="s">
        <v>15</v>
      </c>
      <c r="E1376" s="2" t="s">
        <v>34</v>
      </c>
      <c r="F1376" s="2" t="s">
        <v>28</v>
      </c>
      <c r="G1376" s="2" t="s">
        <v>24</v>
      </c>
      <c r="H1376" s="2" t="s">
        <v>61</v>
      </c>
      <c r="I1376" s="2" t="s">
        <v>26</v>
      </c>
      <c r="J1376" s="4">
        <v>4</v>
      </c>
      <c r="K1376" s="5">
        <v>228.45</v>
      </c>
      <c r="L1376" s="6">
        <v>0</v>
      </c>
      <c r="M1376" s="5">
        <v>913.8</v>
      </c>
      <c r="P1376" t="str">
        <f>TEXT(Tableau2[[#This Row],[Date]],"mmmm aaaa")</f>
        <v>octobre 2026</v>
      </c>
    </row>
    <row r="1377" spans="1:16">
      <c r="A1377" s="2" t="s">
        <v>1464</v>
      </c>
      <c r="B1377" s="3">
        <v>46101</v>
      </c>
      <c r="C1377" s="2" t="s">
        <v>116</v>
      </c>
      <c r="D1377" s="2" t="s">
        <v>15</v>
      </c>
      <c r="E1377" s="2" t="s">
        <v>16</v>
      </c>
      <c r="F1377" s="2" t="s">
        <v>17</v>
      </c>
      <c r="G1377" s="2" t="s">
        <v>39</v>
      </c>
      <c r="H1377" s="2" t="s">
        <v>40</v>
      </c>
      <c r="I1377" s="2" t="s">
        <v>20</v>
      </c>
      <c r="J1377" s="4">
        <v>3</v>
      </c>
      <c r="K1377" s="5">
        <v>137.22999999999999</v>
      </c>
      <c r="L1377" s="6">
        <v>0.2</v>
      </c>
      <c r="M1377" s="5">
        <v>329.35</v>
      </c>
      <c r="P1377" t="str">
        <f>TEXT(Tableau2[[#This Row],[Date]],"mmmm aaaa")</f>
        <v>mars 2026</v>
      </c>
    </row>
    <row r="1378" spans="1:16">
      <c r="A1378" s="2" t="s">
        <v>1465</v>
      </c>
      <c r="B1378" s="3">
        <v>46269</v>
      </c>
      <c r="C1378" s="2" t="s">
        <v>63</v>
      </c>
      <c r="D1378" s="2" t="s">
        <v>33</v>
      </c>
      <c r="E1378" s="2" t="s">
        <v>16</v>
      </c>
      <c r="F1378" s="2" t="s">
        <v>17</v>
      </c>
      <c r="G1378" s="2" t="s">
        <v>54</v>
      </c>
      <c r="H1378" s="2" t="s">
        <v>55</v>
      </c>
      <c r="I1378" s="2" t="s">
        <v>50</v>
      </c>
      <c r="J1378" s="4">
        <v>1</v>
      </c>
      <c r="K1378" s="5">
        <v>158.54</v>
      </c>
      <c r="L1378" s="6">
        <v>0.05</v>
      </c>
      <c r="M1378" s="5">
        <v>150.61000000000001</v>
      </c>
      <c r="P1378" t="str">
        <f>TEXT(Tableau2[[#This Row],[Date]],"mmmm aaaa")</f>
        <v>septembre 2026</v>
      </c>
    </row>
    <row r="1379" spans="1:16">
      <c r="A1379" s="2" t="s">
        <v>1466</v>
      </c>
      <c r="B1379" s="3">
        <v>46049</v>
      </c>
      <c r="C1379" s="2" t="s">
        <v>57</v>
      </c>
      <c r="D1379" s="2" t="s">
        <v>15</v>
      </c>
      <c r="E1379" s="2" t="s">
        <v>16</v>
      </c>
      <c r="F1379" s="2" t="s">
        <v>28</v>
      </c>
      <c r="G1379" s="2" t="s">
        <v>54</v>
      </c>
      <c r="H1379" s="2" t="s">
        <v>55</v>
      </c>
      <c r="I1379" s="2" t="s">
        <v>50</v>
      </c>
      <c r="J1379" s="4">
        <v>1</v>
      </c>
      <c r="K1379" s="5">
        <v>161.01</v>
      </c>
      <c r="L1379" s="6">
        <v>0.1</v>
      </c>
      <c r="M1379" s="5">
        <v>144.91</v>
      </c>
      <c r="P1379" t="str">
        <f>TEXT(Tableau2[[#This Row],[Date]],"mmmm aaaa")</f>
        <v>janvier 2026</v>
      </c>
    </row>
    <row r="1380" spans="1:16">
      <c r="A1380" s="2" t="s">
        <v>1467</v>
      </c>
      <c r="B1380" s="3">
        <v>46054</v>
      </c>
      <c r="C1380" s="2" t="s">
        <v>130</v>
      </c>
      <c r="D1380" s="2" t="s">
        <v>53</v>
      </c>
      <c r="E1380" s="2" t="s">
        <v>38</v>
      </c>
      <c r="F1380" s="2" t="s">
        <v>17</v>
      </c>
      <c r="G1380" s="2" t="s">
        <v>18</v>
      </c>
      <c r="H1380" s="2" t="s">
        <v>136</v>
      </c>
      <c r="I1380" s="2" t="s">
        <v>58</v>
      </c>
      <c r="J1380" s="4">
        <v>3</v>
      </c>
      <c r="K1380" s="5">
        <v>29.93</v>
      </c>
      <c r="L1380" s="6">
        <v>0</v>
      </c>
      <c r="M1380" s="5">
        <v>89.79</v>
      </c>
      <c r="P1380" t="str">
        <f>TEXT(Tableau2[[#This Row],[Date]],"mmmm aaaa")</f>
        <v>février 2026</v>
      </c>
    </row>
    <row r="1381" spans="1:16">
      <c r="A1381" s="2" t="s">
        <v>1468</v>
      </c>
      <c r="B1381" s="3">
        <v>46093</v>
      </c>
      <c r="C1381" s="2" t="s">
        <v>106</v>
      </c>
      <c r="D1381" s="2" t="s">
        <v>23</v>
      </c>
      <c r="E1381" s="2" t="s">
        <v>38</v>
      </c>
      <c r="F1381" s="2" t="s">
        <v>28</v>
      </c>
      <c r="G1381" s="2" t="s">
        <v>39</v>
      </c>
      <c r="H1381" s="2" t="s">
        <v>40</v>
      </c>
      <c r="I1381" s="2" t="s">
        <v>20</v>
      </c>
      <c r="J1381" s="4">
        <v>4</v>
      </c>
      <c r="K1381" s="5">
        <v>133.77000000000001</v>
      </c>
      <c r="L1381" s="6">
        <v>0</v>
      </c>
      <c r="M1381" s="5">
        <v>535.08000000000004</v>
      </c>
      <c r="P1381" t="str">
        <f>TEXT(Tableau2[[#This Row],[Date]],"mmmm aaaa")</f>
        <v>mars 2026</v>
      </c>
    </row>
    <row r="1382" spans="1:16">
      <c r="A1382" s="2" t="s">
        <v>1469</v>
      </c>
      <c r="B1382" s="3">
        <v>46247</v>
      </c>
      <c r="C1382" s="2" t="s">
        <v>60</v>
      </c>
      <c r="D1382" s="2" t="s">
        <v>33</v>
      </c>
      <c r="E1382" s="2" t="s">
        <v>34</v>
      </c>
      <c r="F1382" s="2" t="s">
        <v>17</v>
      </c>
      <c r="G1382" s="2" t="s">
        <v>48</v>
      </c>
      <c r="H1382" s="2" t="s">
        <v>49</v>
      </c>
      <c r="I1382" s="2" t="s">
        <v>50</v>
      </c>
      <c r="J1382" s="4">
        <v>6</v>
      </c>
      <c r="K1382" s="5">
        <v>60.32</v>
      </c>
      <c r="L1382" s="6">
        <v>0</v>
      </c>
      <c r="M1382" s="5">
        <v>361.92</v>
      </c>
      <c r="P1382" t="str">
        <f>TEXT(Tableau2[[#This Row],[Date]],"mmmm aaaa")</f>
        <v>août 2026</v>
      </c>
    </row>
    <row r="1383" spans="1:16">
      <c r="A1383" s="2" t="s">
        <v>1470</v>
      </c>
      <c r="B1383" s="3">
        <v>46040</v>
      </c>
      <c r="C1383" s="2" t="s">
        <v>94</v>
      </c>
      <c r="D1383" s="2" t="s">
        <v>15</v>
      </c>
      <c r="E1383" s="2" t="s">
        <v>16</v>
      </c>
      <c r="F1383" s="2" t="s">
        <v>28</v>
      </c>
      <c r="G1383" s="2" t="s">
        <v>39</v>
      </c>
      <c r="H1383" s="2" t="s">
        <v>95</v>
      </c>
      <c r="I1383" s="2" t="s">
        <v>20</v>
      </c>
      <c r="J1383" s="4">
        <v>4</v>
      </c>
      <c r="K1383" s="5">
        <v>100.85</v>
      </c>
      <c r="L1383" s="6">
        <v>0</v>
      </c>
      <c r="M1383" s="5">
        <v>403.4</v>
      </c>
      <c r="P1383" t="str">
        <f>TEXT(Tableau2[[#This Row],[Date]],"mmmm aaaa")</f>
        <v>janvier 2026</v>
      </c>
    </row>
    <row r="1384" spans="1:16">
      <c r="A1384" s="2" t="s">
        <v>1471</v>
      </c>
      <c r="B1384" s="3">
        <v>46248</v>
      </c>
      <c r="C1384" s="2" t="s">
        <v>63</v>
      </c>
      <c r="D1384" s="2" t="s">
        <v>33</v>
      </c>
      <c r="E1384" s="2" t="s">
        <v>16</v>
      </c>
      <c r="F1384" s="2" t="s">
        <v>17</v>
      </c>
      <c r="G1384" s="2" t="s">
        <v>24</v>
      </c>
      <c r="H1384" s="2" t="s">
        <v>82</v>
      </c>
      <c r="I1384" s="2" t="s">
        <v>20</v>
      </c>
      <c r="J1384" s="4">
        <v>2</v>
      </c>
      <c r="K1384" s="5">
        <v>317.44</v>
      </c>
      <c r="L1384" s="6">
        <v>0</v>
      </c>
      <c r="M1384" s="5">
        <v>634.88</v>
      </c>
      <c r="P1384" t="str">
        <f>TEXT(Tableau2[[#This Row],[Date]],"mmmm aaaa")</f>
        <v>août 2026</v>
      </c>
    </row>
    <row r="1385" spans="1:16">
      <c r="A1385" s="2" t="s">
        <v>1472</v>
      </c>
      <c r="B1385" s="3">
        <v>46045</v>
      </c>
      <c r="C1385" s="2" t="s">
        <v>63</v>
      </c>
      <c r="D1385" s="2" t="s">
        <v>33</v>
      </c>
      <c r="E1385" s="2" t="s">
        <v>16</v>
      </c>
      <c r="F1385" s="2" t="s">
        <v>28</v>
      </c>
      <c r="G1385" s="2" t="s">
        <v>54</v>
      </c>
      <c r="H1385" s="2" t="s">
        <v>55</v>
      </c>
      <c r="I1385" s="2" t="s">
        <v>58</v>
      </c>
      <c r="J1385" s="4">
        <v>2</v>
      </c>
      <c r="K1385" s="5">
        <v>146.63999999999999</v>
      </c>
      <c r="L1385" s="6">
        <v>0</v>
      </c>
      <c r="M1385" s="5">
        <v>293.27999999999997</v>
      </c>
      <c r="P1385" t="str">
        <f>TEXT(Tableau2[[#This Row],[Date]],"mmmm aaaa")</f>
        <v>janvier 2026</v>
      </c>
    </row>
    <row r="1386" spans="1:16">
      <c r="A1386" s="2" t="s">
        <v>1473</v>
      </c>
      <c r="B1386" s="3">
        <v>46298</v>
      </c>
      <c r="C1386" s="2" t="s">
        <v>130</v>
      </c>
      <c r="D1386" s="2" t="s">
        <v>53</v>
      </c>
      <c r="E1386" s="2" t="s">
        <v>34</v>
      </c>
      <c r="F1386" s="2" t="s">
        <v>17</v>
      </c>
      <c r="G1386" s="2" t="s">
        <v>29</v>
      </c>
      <c r="H1386" s="2" t="s">
        <v>99</v>
      </c>
      <c r="I1386" s="2" t="s">
        <v>41</v>
      </c>
      <c r="J1386" s="4">
        <v>6</v>
      </c>
      <c r="K1386" s="5">
        <v>62.16</v>
      </c>
      <c r="L1386" s="6">
        <v>0.05</v>
      </c>
      <c r="M1386" s="5">
        <v>354.31</v>
      </c>
      <c r="P1386" t="str">
        <f>TEXT(Tableau2[[#This Row],[Date]],"mmmm aaaa")</f>
        <v>octobre 2026</v>
      </c>
    </row>
    <row r="1387" spans="1:16">
      <c r="A1387" s="2" t="s">
        <v>1474</v>
      </c>
      <c r="B1387" s="3">
        <v>46136</v>
      </c>
      <c r="C1387" s="2" t="s">
        <v>94</v>
      </c>
      <c r="D1387" s="2" t="s">
        <v>15</v>
      </c>
      <c r="E1387" s="2" t="s">
        <v>43</v>
      </c>
      <c r="F1387" s="2" t="s">
        <v>17</v>
      </c>
      <c r="G1387" s="2" t="s">
        <v>54</v>
      </c>
      <c r="H1387" s="2" t="s">
        <v>64</v>
      </c>
      <c r="I1387" s="2" t="s">
        <v>20</v>
      </c>
      <c r="J1387" s="4">
        <v>2</v>
      </c>
      <c r="K1387" s="5">
        <v>89.87</v>
      </c>
      <c r="L1387" s="6">
        <v>0.3</v>
      </c>
      <c r="M1387" s="5">
        <v>125.82</v>
      </c>
      <c r="P1387" t="str">
        <f>TEXT(Tableau2[[#This Row],[Date]],"mmmm aaaa")</f>
        <v>avril 2026</v>
      </c>
    </row>
    <row r="1388" spans="1:16">
      <c r="A1388" s="2" t="s">
        <v>1475</v>
      </c>
      <c r="B1388" s="3">
        <v>46149</v>
      </c>
      <c r="C1388" s="2" t="s">
        <v>63</v>
      </c>
      <c r="D1388" s="2" t="s">
        <v>33</v>
      </c>
      <c r="E1388" s="2" t="s">
        <v>43</v>
      </c>
      <c r="F1388" s="2" t="s">
        <v>28</v>
      </c>
      <c r="G1388" s="2" t="s">
        <v>48</v>
      </c>
      <c r="H1388" s="2" t="s">
        <v>77</v>
      </c>
      <c r="I1388" s="2" t="s">
        <v>50</v>
      </c>
      <c r="J1388" s="4">
        <v>15</v>
      </c>
      <c r="K1388" s="5">
        <v>87.33</v>
      </c>
      <c r="L1388" s="6">
        <v>0</v>
      </c>
      <c r="M1388" s="5">
        <v>1309.95</v>
      </c>
      <c r="P1388" t="str">
        <f>TEXT(Tableau2[[#This Row],[Date]],"mmmm aaaa")</f>
        <v>mai 2026</v>
      </c>
    </row>
    <row r="1389" spans="1:16">
      <c r="A1389" s="2" t="s">
        <v>1476</v>
      </c>
      <c r="B1389" s="3">
        <v>46133</v>
      </c>
      <c r="C1389" s="2" t="s">
        <v>90</v>
      </c>
      <c r="D1389" s="2" t="s">
        <v>53</v>
      </c>
      <c r="E1389" s="2" t="s">
        <v>16</v>
      </c>
      <c r="F1389" s="2" t="s">
        <v>17</v>
      </c>
      <c r="G1389" s="2" t="s">
        <v>24</v>
      </c>
      <c r="H1389" s="2" t="s">
        <v>35</v>
      </c>
      <c r="I1389" s="2" t="s">
        <v>41</v>
      </c>
      <c r="J1389" s="4">
        <v>3</v>
      </c>
      <c r="K1389" s="5">
        <v>173.03</v>
      </c>
      <c r="L1389" s="6">
        <v>0.1</v>
      </c>
      <c r="M1389" s="5">
        <v>467.18</v>
      </c>
      <c r="P1389" t="str">
        <f>TEXT(Tableau2[[#This Row],[Date]],"mmmm aaaa")</f>
        <v>avril 2026</v>
      </c>
    </row>
    <row r="1390" spans="1:16">
      <c r="A1390" s="2" t="s">
        <v>1477</v>
      </c>
      <c r="B1390" s="3">
        <v>46126</v>
      </c>
      <c r="C1390" s="2" t="s">
        <v>79</v>
      </c>
      <c r="D1390" s="2" t="s">
        <v>33</v>
      </c>
      <c r="E1390" s="2" t="s">
        <v>34</v>
      </c>
      <c r="F1390" s="2" t="s">
        <v>28</v>
      </c>
      <c r="G1390" s="2" t="s">
        <v>54</v>
      </c>
      <c r="H1390" s="2" t="s">
        <v>102</v>
      </c>
      <c r="I1390" s="2" t="s">
        <v>45</v>
      </c>
      <c r="J1390" s="4">
        <v>16</v>
      </c>
      <c r="K1390" s="5">
        <v>210.29</v>
      </c>
      <c r="L1390" s="6">
        <v>0</v>
      </c>
      <c r="M1390" s="5">
        <v>3364.64</v>
      </c>
      <c r="P1390" t="str">
        <f>TEXT(Tableau2[[#This Row],[Date]],"mmmm aaaa")</f>
        <v>avril 2026</v>
      </c>
    </row>
    <row r="1391" spans="1:16">
      <c r="A1391" s="2" t="s">
        <v>1478</v>
      </c>
      <c r="B1391" s="3">
        <v>46335</v>
      </c>
      <c r="C1391" s="2" t="s">
        <v>130</v>
      </c>
      <c r="D1391" s="2" t="s">
        <v>53</v>
      </c>
      <c r="E1391" s="2" t="s">
        <v>34</v>
      </c>
      <c r="F1391" s="2" t="s">
        <v>28</v>
      </c>
      <c r="G1391" s="2" t="s">
        <v>48</v>
      </c>
      <c r="H1391" s="2" t="s">
        <v>88</v>
      </c>
      <c r="I1391" s="2" t="s">
        <v>41</v>
      </c>
      <c r="J1391" s="4">
        <v>1</v>
      </c>
      <c r="K1391" s="5">
        <v>75.290000000000006</v>
      </c>
      <c r="L1391" s="6">
        <v>0.05</v>
      </c>
      <c r="M1391" s="5">
        <v>71.53</v>
      </c>
      <c r="P1391" t="str">
        <f>TEXT(Tableau2[[#This Row],[Date]],"mmmm aaaa")</f>
        <v>novembre 2026</v>
      </c>
    </row>
    <row r="1392" spans="1:16">
      <c r="A1392" s="2" t="s">
        <v>1479</v>
      </c>
      <c r="B1392" s="3">
        <v>46129</v>
      </c>
      <c r="C1392" s="2" t="s">
        <v>79</v>
      </c>
      <c r="D1392" s="2" t="s">
        <v>33</v>
      </c>
      <c r="E1392" s="2" t="s">
        <v>43</v>
      </c>
      <c r="F1392" s="2" t="s">
        <v>17</v>
      </c>
      <c r="G1392" s="2" t="s">
        <v>39</v>
      </c>
      <c r="H1392" s="2" t="s">
        <v>71</v>
      </c>
      <c r="I1392" s="2" t="s">
        <v>58</v>
      </c>
      <c r="J1392" s="4">
        <v>9</v>
      </c>
      <c r="K1392" s="5">
        <v>113.86</v>
      </c>
      <c r="L1392" s="6">
        <v>0</v>
      </c>
      <c r="M1392" s="5">
        <v>1024.74</v>
      </c>
      <c r="P1392" t="str">
        <f>TEXT(Tableau2[[#This Row],[Date]],"mmmm aaaa")</f>
        <v>avril 2026</v>
      </c>
    </row>
    <row r="1393" spans="1:16">
      <c r="A1393" s="2" t="s">
        <v>1480</v>
      </c>
      <c r="B1393" s="3">
        <v>46122</v>
      </c>
      <c r="C1393" s="2" t="s">
        <v>63</v>
      </c>
      <c r="D1393" s="2" t="s">
        <v>33</v>
      </c>
      <c r="E1393" s="2" t="s">
        <v>16</v>
      </c>
      <c r="F1393" s="2" t="s">
        <v>28</v>
      </c>
      <c r="G1393" s="2" t="s">
        <v>48</v>
      </c>
      <c r="H1393" s="2" t="s">
        <v>49</v>
      </c>
      <c r="I1393" s="2" t="s">
        <v>45</v>
      </c>
      <c r="J1393" s="4">
        <v>3</v>
      </c>
      <c r="K1393" s="5">
        <v>61.9</v>
      </c>
      <c r="L1393" s="6">
        <v>0</v>
      </c>
      <c r="M1393" s="5">
        <v>185.7</v>
      </c>
      <c r="P1393" t="str">
        <f>TEXT(Tableau2[[#This Row],[Date]],"mmmm aaaa")</f>
        <v>avril 2026</v>
      </c>
    </row>
    <row r="1394" spans="1:16">
      <c r="A1394" s="2" t="s">
        <v>1481</v>
      </c>
      <c r="B1394" s="3">
        <v>46141</v>
      </c>
      <c r="C1394" s="2" t="s">
        <v>79</v>
      </c>
      <c r="D1394" s="2" t="s">
        <v>33</v>
      </c>
      <c r="E1394" s="2" t="s">
        <v>16</v>
      </c>
      <c r="F1394" s="2" t="s">
        <v>17</v>
      </c>
      <c r="G1394" s="2" t="s">
        <v>24</v>
      </c>
      <c r="H1394" s="2" t="s">
        <v>82</v>
      </c>
      <c r="I1394" s="2" t="s">
        <v>20</v>
      </c>
      <c r="J1394" s="4">
        <v>2</v>
      </c>
      <c r="K1394" s="5">
        <v>281.13</v>
      </c>
      <c r="L1394" s="6">
        <v>0</v>
      </c>
      <c r="M1394" s="5">
        <v>562.26</v>
      </c>
      <c r="P1394" t="str">
        <f>TEXT(Tableau2[[#This Row],[Date]],"mmmm aaaa")</f>
        <v>avril 2026</v>
      </c>
    </row>
    <row r="1395" spans="1:16">
      <c r="A1395" s="2" t="s">
        <v>1482</v>
      </c>
      <c r="B1395" s="3">
        <v>46262</v>
      </c>
      <c r="C1395" s="2" t="s">
        <v>57</v>
      </c>
      <c r="D1395" s="2" t="s">
        <v>15</v>
      </c>
      <c r="E1395" s="2" t="s">
        <v>16</v>
      </c>
      <c r="F1395" s="2" t="s">
        <v>28</v>
      </c>
      <c r="G1395" s="2" t="s">
        <v>48</v>
      </c>
      <c r="H1395" s="2" t="s">
        <v>88</v>
      </c>
      <c r="I1395" s="2" t="s">
        <v>58</v>
      </c>
      <c r="J1395" s="4">
        <v>14</v>
      </c>
      <c r="K1395" s="5">
        <v>70.38</v>
      </c>
      <c r="L1395" s="6">
        <v>0</v>
      </c>
      <c r="M1395" s="5">
        <v>985.32</v>
      </c>
      <c r="P1395" t="str">
        <f>TEXT(Tableau2[[#This Row],[Date]],"mmmm aaaa")</f>
        <v>août 2026</v>
      </c>
    </row>
    <row r="1396" spans="1:16">
      <c r="A1396" s="2" t="s">
        <v>1483</v>
      </c>
      <c r="B1396" s="3">
        <v>46328</v>
      </c>
      <c r="C1396" s="2" t="s">
        <v>22</v>
      </c>
      <c r="D1396" s="2" t="s">
        <v>23</v>
      </c>
      <c r="E1396" s="2" t="s">
        <v>16</v>
      </c>
      <c r="F1396" s="2" t="s">
        <v>17</v>
      </c>
      <c r="G1396" s="2" t="s">
        <v>18</v>
      </c>
      <c r="H1396" s="2" t="s">
        <v>143</v>
      </c>
      <c r="I1396" s="2" t="s">
        <v>41</v>
      </c>
      <c r="J1396" s="4">
        <v>4</v>
      </c>
      <c r="K1396" s="5">
        <v>64.22</v>
      </c>
      <c r="L1396" s="6">
        <v>0</v>
      </c>
      <c r="M1396" s="5">
        <v>256.88</v>
      </c>
      <c r="P1396" t="str">
        <f>TEXT(Tableau2[[#This Row],[Date]],"mmmm aaaa")</f>
        <v>novembre 2026</v>
      </c>
    </row>
    <row r="1397" spans="1:16">
      <c r="A1397" s="2" t="s">
        <v>1484</v>
      </c>
      <c r="B1397" s="3">
        <v>46311</v>
      </c>
      <c r="C1397" s="2" t="s">
        <v>47</v>
      </c>
      <c r="D1397" s="2" t="s">
        <v>15</v>
      </c>
      <c r="E1397" s="2" t="s">
        <v>16</v>
      </c>
      <c r="F1397" s="2" t="s">
        <v>28</v>
      </c>
      <c r="G1397" s="2" t="s">
        <v>24</v>
      </c>
      <c r="H1397" s="2" t="s">
        <v>35</v>
      </c>
      <c r="I1397" s="2" t="s">
        <v>41</v>
      </c>
      <c r="J1397" s="4">
        <v>1</v>
      </c>
      <c r="K1397" s="5">
        <v>173.44</v>
      </c>
      <c r="L1397" s="6">
        <v>0.05</v>
      </c>
      <c r="M1397" s="5">
        <v>164.77</v>
      </c>
      <c r="P1397" t="str">
        <f>TEXT(Tableau2[[#This Row],[Date]],"mmmm aaaa")</f>
        <v>octobre 2026</v>
      </c>
    </row>
    <row r="1398" spans="1:16">
      <c r="A1398" s="2" t="s">
        <v>1485</v>
      </c>
      <c r="B1398" s="3">
        <v>46383</v>
      </c>
      <c r="C1398" s="2" t="s">
        <v>130</v>
      </c>
      <c r="D1398" s="2" t="s">
        <v>53</v>
      </c>
      <c r="E1398" s="2" t="s">
        <v>43</v>
      </c>
      <c r="F1398" s="2" t="s">
        <v>28</v>
      </c>
      <c r="G1398" s="2" t="s">
        <v>54</v>
      </c>
      <c r="H1398" s="2" t="s">
        <v>102</v>
      </c>
      <c r="I1398" s="2" t="s">
        <v>45</v>
      </c>
      <c r="J1398" s="4">
        <v>1</v>
      </c>
      <c r="K1398" s="5">
        <v>205.8</v>
      </c>
      <c r="L1398" s="6">
        <v>0</v>
      </c>
      <c r="M1398" s="5">
        <v>205.8</v>
      </c>
      <c r="P1398" t="str">
        <f>TEXT(Tableau2[[#This Row],[Date]],"mmmm aaaa")</f>
        <v>décembre 2026</v>
      </c>
    </row>
    <row r="1399" spans="1:16">
      <c r="A1399" s="2" t="s">
        <v>1486</v>
      </c>
      <c r="B1399" s="3">
        <v>46316</v>
      </c>
      <c r="C1399" s="2" t="s">
        <v>47</v>
      </c>
      <c r="D1399" s="2" t="s">
        <v>15</v>
      </c>
      <c r="E1399" s="2" t="s">
        <v>34</v>
      </c>
      <c r="F1399" s="2" t="s">
        <v>17</v>
      </c>
      <c r="G1399" s="2" t="s">
        <v>18</v>
      </c>
      <c r="H1399" s="2" t="s">
        <v>19</v>
      </c>
      <c r="I1399" s="2" t="s">
        <v>26</v>
      </c>
      <c r="J1399" s="4">
        <v>8</v>
      </c>
      <c r="K1399" s="5">
        <v>49.82</v>
      </c>
      <c r="L1399" s="6">
        <v>0</v>
      </c>
      <c r="M1399" s="5">
        <v>398.56</v>
      </c>
      <c r="P1399" t="str">
        <f>TEXT(Tableau2[[#This Row],[Date]],"mmmm aaaa")</f>
        <v>octobre 2026</v>
      </c>
    </row>
    <row r="1400" spans="1:16">
      <c r="A1400" s="2" t="s">
        <v>1487</v>
      </c>
      <c r="B1400" s="3">
        <v>46149</v>
      </c>
      <c r="C1400" s="2" t="s">
        <v>57</v>
      </c>
      <c r="D1400" s="2" t="s">
        <v>15</v>
      </c>
      <c r="E1400" s="2" t="s">
        <v>34</v>
      </c>
      <c r="F1400" s="2" t="s">
        <v>28</v>
      </c>
      <c r="G1400" s="2" t="s">
        <v>24</v>
      </c>
      <c r="H1400" s="2" t="s">
        <v>25</v>
      </c>
      <c r="I1400" s="2" t="s">
        <v>50</v>
      </c>
      <c r="J1400" s="4">
        <v>1</v>
      </c>
      <c r="K1400" s="5">
        <v>119.67</v>
      </c>
      <c r="L1400" s="6">
        <v>0</v>
      </c>
      <c r="M1400" s="5">
        <v>119.67</v>
      </c>
      <c r="P1400" t="str">
        <f>TEXT(Tableau2[[#This Row],[Date]],"mmmm aaaa")</f>
        <v>mai 2026</v>
      </c>
    </row>
    <row r="1401" spans="1:16">
      <c r="A1401" s="2" t="s">
        <v>1488</v>
      </c>
      <c r="B1401" s="3">
        <v>46056</v>
      </c>
      <c r="C1401" s="2" t="s">
        <v>106</v>
      </c>
      <c r="D1401" s="2" t="s">
        <v>23</v>
      </c>
      <c r="E1401" s="2" t="s">
        <v>34</v>
      </c>
      <c r="F1401" s="2" t="s">
        <v>28</v>
      </c>
      <c r="G1401" s="2" t="s">
        <v>54</v>
      </c>
      <c r="H1401" s="2" t="s">
        <v>102</v>
      </c>
      <c r="I1401" s="2" t="s">
        <v>36</v>
      </c>
      <c r="J1401" s="4">
        <v>1</v>
      </c>
      <c r="K1401" s="5">
        <v>224.79</v>
      </c>
      <c r="L1401" s="6">
        <v>0</v>
      </c>
      <c r="M1401" s="5">
        <v>224.79</v>
      </c>
      <c r="P1401" t="str">
        <f>TEXT(Tableau2[[#This Row],[Date]],"mmmm aaaa")</f>
        <v>février 2026</v>
      </c>
    </row>
    <row r="1402" spans="1:16">
      <c r="A1402" s="2" t="s">
        <v>1489</v>
      </c>
      <c r="B1402" s="3">
        <v>46181</v>
      </c>
      <c r="C1402" s="2" t="s">
        <v>160</v>
      </c>
      <c r="D1402" s="2" t="s">
        <v>33</v>
      </c>
      <c r="E1402" s="2" t="s">
        <v>34</v>
      </c>
      <c r="F1402" s="2" t="s">
        <v>28</v>
      </c>
      <c r="G1402" s="2" t="s">
        <v>54</v>
      </c>
      <c r="H1402" s="2" t="s">
        <v>64</v>
      </c>
      <c r="I1402" s="2" t="s">
        <v>45</v>
      </c>
      <c r="J1402" s="4">
        <v>2</v>
      </c>
      <c r="K1402" s="5">
        <v>89.02</v>
      </c>
      <c r="L1402" s="6">
        <v>0.05</v>
      </c>
      <c r="M1402" s="5">
        <v>169.14</v>
      </c>
      <c r="P1402" t="str">
        <f>TEXT(Tableau2[[#This Row],[Date]],"mmmm aaaa")</f>
        <v>juin 2026</v>
      </c>
    </row>
    <row r="1403" spans="1:16">
      <c r="A1403" s="2" t="s">
        <v>1490</v>
      </c>
      <c r="B1403" s="3">
        <v>46231</v>
      </c>
      <c r="C1403" s="2" t="s">
        <v>63</v>
      </c>
      <c r="D1403" s="2" t="s">
        <v>33</v>
      </c>
      <c r="E1403" s="2" t="s">
        <v>34</v>
      </c>
      <c r="F1403" s="2" t="s">
        <v>17</v>
      </c>
      <c r="G1403" s="2" t="s">
        <v>18</v>
      </c>
      <c r="H1403" s="2" t="s">
        <v>143</v>
      </c>
      <c r="I1403" s="2" t="s">
        <v>20</v>
      </c>
      <c r="J1403" s="4">
        <v>2</v>
      </c>
      <c r="K1403" s="5">
        <v>72.900000000000006</v>
      </c>
      <c r="L1403" s="6">
        <v>0</v>
      </c>
      <c r="M1403" s="5">
        <v>145.80000000000001</v>
      </c>
      <c r="P1403" t="str">
        <f>TEXT(Tableau2[[#This Row],[Date]],"mmmm aaaa")</f>
        <v>juillet 2026</v>
      </c>
    </row>
    <row r="1404" spans="1:16">
      <c r="A1404" s="2" t="s">
        <v>1491</v>
      </c>
      <c r="B1404" s="3">
        <v>46026</v>
      </c>
      <c r="C1404" s="2" t="s">
        <v>134</v>
      </c>
      <c r="D1404" s="2" t="s">
        <v>15</v>
      </c>
      <c r="E1404" s="2" t="s">
        <v>43</v>
      </c>
      <c r="F1404" s="2" t="s">
        <v>28</v>
      </c>
      <c r="G1404" s="2" t="s">
        <v>54</v>
      </c>
      <c r="H1404" s="2" t="s">
        <v>102</v>
      </c>
      <c r="I1404" s="2" t="s">
        <v>75</v>
      </c>
      <c r="J1404" s="4">
        <v>1</v>
      </c>
      <c r="K1404" s="5">
        <v>206.09</v>
      </c>
      <c r="L1404" s="6">
        <v>0.3</v>
      </c>
      <c r="M1404" s="5">
        <v>144.26</v>
      </c>
      <c r="P1404" t="str">
        <f>TEXT(Tableau2[[#This Row],[Date]],"mmmm aaaa")</f>
        <v>janvier 2026</v>
      </c>
    </row>
    <row r="1405" spans="1:16">
      <c r="A1405" s="2" t="s">
        <v>1492</v>
      </c>
      <c r="B1405" s="3">
        <v>46285</v>
      </c>
      <c r="C1405" s="2" t="s">
        <v>116</v>
      </c>
      <c r="D1405" s="2" t="s">
        <v>15</v>
      </c>
      <c r="E1405" s="2" t="s">
        <v>43</v>
      </c>
      <c r="F1405" s="2" t="s">
        <v>17</v>
      </c>
      <c r="G1405" s="2" t="s">
        <v>54</v>
      </c>
      <c r="H1405" s="2" t="s">
        <v>102</v>
      </c>
      <c r="I1405" s="2" t="s">
        <v>75</v>
      </c>
      <c r="J1405" s="4">
        <v>4</v>
      </c>
      <c r="K1405" s="5">
        <v>221.75</v>
      </c>
      <c r="L1405" s="6">
        <v>0.05</v>
      </c>
      <c r="M1405" s="5">
        <v>842.65</v>
      </c>
      <c r="P1405" t="str">
        <f>TEXT(Tableau2[[#This Row],[Date]],"mmmm aaaa")</f>
        <v>septembre 2026</v>
      </c>
    </row>
    <row r="1406" spans="1:16">
      <c r="A1406" s="2" t="s">
        <v>1493</v>
      </c>
      <c r="B1406" s="3">
        <v>46233</v>
      </c>
      <c r="C1406" s="2" t="s">
        <v>160</v>
      </c>
      <c r="D1406" s="2" t="s">
        <v>33</v>
      </c>
      <c r="E1406" s="2" t="s">
        <v>34</v>
      </c>
      <c r="F1406" s="2" t="s">
        <v>28</v>
      </c>
      <c r="G1406" s="2" t="s">
        <v>48</v>
      </c>
      <c r="H1406" s="2" t="s">
        <v>49</v>
      </c>
      <c r="I1406" s="2" t="s">
        <v>41</v>
      </c>
      <c r="J1406" s="4">
        <v>2</v>
      </c>
      <c r="K1406" s="5">
        <v>61.73</v>
      </c>
      <c r="L1406" s="6">
        <v>0</v>
      </c>
      <c r="M1406" s="5">
        <v>123.46</v>
      </c>
      <c r="P1406" t="str">
        <f>TEXT(Tableau2[[#This Row],[Date]],"mmmm aaaa")</f>
        <v>juillet 2026</v>
      </c>
    </row>
    <row r="1407" spans="1:16">
      <c r="A1407" s="2" t="s">
        <v>1494</v>
      </c>
      <c r="B1407" s="3">
        <v>46140</v>
      </c>
      <c r="C1407" s="2" t="s">
        <v>169</v>
      </c>
      <c r="D1407" s="2" t="s">
        <v>33</v>
      </c>
      <c r="E1407" s="2" t="s">
        <v>16</v>
      </c>
      <c r="F1407" s="2" t="s">
        <v>28</v>
      </c>
      <c r="G1407" s="2" t="s">
        <v>24</v>
      </c>
      <c r="H1407" s="2" t="s">
        <v>61</v>
      </c>
      <c r="I1407" s="2" t="s">
        <v>20</v>
      </c>
      <c r="J1407" s="4">
        <v>1</v>
      </c>
      <c r="K1407" s="5">
        <v>232.63</v>
      </c>
      <c r="L1407" s="6">
        <v>0</v>
      </c>
      <c r="M1407" s="5">
        <v>232.63</v>
      </c>
      <c r="P1407" t="str">
        <f>TEXT(Tableau2[[#This Row],[Date]],"mmmm aaaa")</f>
        <v>avril 2026</v>
      </c>
    </row>
    <row r="1408" spans="1:16">
      <c r="A1408" s="2" t="s">
        <v>1495</v>
      </c>
      <c r="B1408" s="3">
        <v>46059</v>
      </c>
      <c r="C1408" s="2" t="s">
        <v>47</v>
      </c>
      <c r="D1408" s="2" t="s">
        <v>15</v>
      </c>
      <c r="E1408" s="2" t="s">
        <v>16</v>
      </c>
      <c r="F1408" s="2" t="s">
        <v>28</v>
      </c>
      <c r="G1408" s="2" t="s">
        <v>18</v>
      </c>
      <c r="H1408" s="2" t="s">
        <v>136</v>
      </c>
      <c r="I1408" s="2" t="s">
        <v>41</v>
      </c>
      <c r="J1408" s="4">
        <v>2</v>
      </c>
      <c r="K1408" s="5">
        <v>32.450000000000003</v>
      </c>
      <c r="L1408" s="6">
        <v>0.1</v>
      </c>
      <c r="M1408" s="5">
        <v>58.41</v>
      </c>
      <c r="P1408" t="str">
        <f>TEXT(Tableau2[[#This Row],[Date]],"mmmm aaaa")</f>
        <v>février 2026</v>
      </c>
    </row>
    <row r="1409" spans="1:16">
      <c r="A1409" s="2" t="s">
        <v>1496</v>
      </c>
      <c r="B1409" s="3">
        <v>46377</v>
      </c>
      <c r="C1409" s="2" t="s">
        <v>57</v>
      </c>
      <c r="D1409" s="2" t="s">
        <v>15</v>
      </c>
      <c r="E1409" s="2" t="s">
        <v>43</v>
      </c>
      <c r="F1409" s="2" t="s">
        <v>28</v>
      </c>
      <c r="G1409" s="2" t="s">
        <v>29</v>
      </c>
      <c r="H1409" s="2" t="s">
        <v>99</v>
      </c>
      <c r="I1409" s="2" t="s">
        <v>36</v>
      </c>
      <c r="J1409" s="4">
        <v>13</v>
      </c>
      <c r="K1409" s="5">
        <v>59.2</v>
      </c>
      <c r="L1409" s="6">
        <v>0</v>
      </c>
      <c r="M1409" s="5">
        <v>769.6</v>
      </c>
      <c r="P1409" t="str">
        <f>TEXT(Tableau2[[#This Row],[Date]],"mmmm aaaa")</f>
        <v>décembre 2026</v>
      </c>
    </row>
    <row r="1410" spans="1:16">
      <c r="A1410" s="2" t="s">
        <v>1497</v>
      </c>
      <c r="B1410" s="3">
        <v>46026</v>
      </c>
      <c r="C1410" s="2" t="s">
        <v>14</v>
      </c>
      <c r="D1410" s="2" t="s">
        <v>15</v>
      </c>
      <c r="E1410" s="2" t="s">
        <v>16</v>
      </c>
      <c r="F1410" s="2" t="s">
        <v>17</v>
      </c>
      <c r="G1410" s="2" t="s">
        <v>18</v>
      </c>
      <c r="H1410" s="2" t="s">
        <v>136</v>
      </c>
      <c r="I1410" s="2" t="s">
        <v>75</v>
      </c>
      <c r="J1410" s="4">
        <v>4</v>
      </c>
      <c r="K1410" s="5">
        <v>33.159999999999997</v>
      </c>
      <c r="L1410" s="6">
        <v>0</v>
      </c>
      <c r="M1410" s="5">
        <v>132.63999999999999</v>
      </c>
      <c r="P1410" t="str">
        <f>TEXT(Tableau2[[#This Row],[Date]],"mmmm aaaa")</f>
        <v>janvier 2026</v>
      </c>
    </row>
    <row r="1411" spans="1:16">
      <c r="A1411" s="2" t="s">
        <v>1498</v>
      </c>
      <c r="B1411" s="3">
        <v>46287</v>
      </c>
      <c r="C1411" s="2" t="s">
        <v>94</v>
      </c>
      <c r="D1411" s="2" t="s">
        <v>15</v>
      </c>
      <c r="E1411" s="2" t="s">
        <v>43</v>
      </c>
      <c r="F1411" s="2" t="s">
        <v>28</v>
      </c>
      <c r="G1411" s="2" t="s">
        <v>18</v>
      </c>
      <c r="H1411" s="2" t="s">
        <v>136</v>
      </c>
      <c r="I1411" s="2" t="s">
        <v>36</v>
      </c>
      <c r="J1411" s="4">
        <v>2</v>
      </c>
      <c r="K1411" s="5">
        <v>34</v>
      </c>
      <c r="L1411" s="6">
        <v>0</v>
      </c>
      <c r="M1411" s="5">
        <v>68</v>
      </c>
      <c r="P1411" t="str">
        <f>TEXT(Tableau2[[#This Row],[Date]],"mmmm aaaa")</f>
        <v>septembre 2026</v>
      </c>
    </row>
    <row r="1412" spans="1:16">
      <c r="A1412" s="2" t="s">
        <v>1499</v>
      </c>
      <c r="B1412" s="3">
        <v>46288</v>
      </c>
      <c r="C1412" s="2" t="s">
        <v>441</v>
      </c>
      <c r="D1412" s="2" t="s">
        <v>23</v>
      </c>
      <c r="E1412" s="2" t="s">
        <v>16</v>
      </c>
      <c r="F1412" s="2" t="s">
        <v>17</v>
      </c>
      <c r="G1412" s="2" t="s">
        <v>48</v>
      </c>
      <c r="H1412" s="2" t="s">
        <v>77</v>
      </c>
      <c r="I1412" s="2" t="s">
        <v>36</v>
      </c>
      <c r="J1412" s="4">
        <v>15</v>
      </c>
      <c r="K1412" s="5">
        <v>84.04</v>
      </c>
      <c r="L1412" s="6">
        <v>0.05</v>
      </c>
      <c r="M1412" s="5">
        <v>1197.57</v>
      </c>
      <c r="P1412" t="str">
        <f>TEXT(Tableau2[[#This Row],[Date]],"mmmm aaaa")</f>
        <v>septembre 2026</v>
      </c>
    </row>
    <row r="1413" spans="1:16">
      <c r="A1413" s="2" t="s">
        <v>1500</v>
      </c>
      <c r="B1413" s="3">
        <v>46109</v>
      </c>
      <c r="C1413" s="2" t="s">
        <v>123</v>
      </c>
      <c r="D1413" s="2" t="s">
        <v>53</v>
      </c>
      <c r="E1413" s="2" t="s">
        <v>34</v>
      </c>
      <c r="F1413" s="2" t="s">
        <v>28</v>
      </c>
      <c r="G1413" s="2" t="s">
        <v>24</v>
      </c>
      <c r="H1413" s="2" t="s">
        <v>25</v>
      </c>
      <c r="I1413" s="2" t="s">
        <v>36</v>
      </c>
      <c r="J1413" s="4">
        <v>3</v>
      </c>
      <c r="K1413" s="5">
        <v>125.3</v>
      </c>
      <c r="L1413" s="6">
        <v>0.1</v>
      </c>
      <c r="M1413" s="5">
        <v>338.31</v>
      </c>
      <c r="P1413" t="str">
        <f>TEXT(Tableau2[[#This Row],[Date]],"mmmm aaaa")</f>
        <v>mars 2026</v>
      </c>
    </row>
    <row r="1414" spans="1:16">
      <c r="A1414" s="2" t="s">
        <v>1501</v>
      </c>
      <c r="B1414" s="3">
        <v>46146</v>
      </c>
      <c r="C1414" s="2" t="s">
        <v>86</v>
      </c>
      <c r="D1414" s="2" t="s">
        <v>53</v>
      </c>
      <c r="E1414" s="2" t="s">
        <v>16</v>
      </c>
      <c r="F1414" s="2" t="s">
        <v>17</v>
      </c>
      <c r="G1414" s="2" t="s">
        <v>24</v>
      </c>
      <c r="H1414" s="2" t="s">
        <v>61</v>
      </c>
      <c r="I1414" s="2" t="s">
        <v>20</v>
      </c>
      <c r="J1414" s="4">
        <v>4</v>
      </c>
      <c r="K1414" s="5">
        <v>245.37</v>
      </c>
      <c r="L1414" s="6">
        <v>0</v>
      </c>
      <c r="M1414" s="5">
        <v>981.48</v>
      </c>
      <c r="P1414" t="str">
        <f>TEXT(Tableau2[[#This Row],[Date]],"mmmm aaaa")</f>
        <v>mai 2026</v>
      </c>
    </row>
    <row r="1415" spans="1:16">
      <c r="A1415" s="2" t="s">
        <v>1502</v>
      </c>
      <c r="B1415" s="3">
        <v>46339</v>
      </c>
      <c r="C1415" s="2" t="s">
        <v>52</v>
      </c>
      <c r="D1415" s="2" t="s">
        <v>53</v>
      </c>
      <c r="E1415" s="2" t="s">
        <v>16</v>
      </c>
      <c r="F1415" s="2" t="s">
        <v>17</v>
      </c>
      <c r="G1415" s="2" t="s">
        <v>29</v>
      </c>
      <c r="H1415" s="2" t="s">
        <v>140</v>
      </c>
      <c r="I1415" s="2" t="s">
        <v>41</v>
      </c>
      <c r="J1415" s="4">
        <v>18</v>
      </c>
      <c r="K1415" s="5">
        <v>48.85</v>
      </c>
      <c r="L1415" s="6">
        <v>0</v>
      </c>
      <c r="M1415" s="5">
        <v>879.3</v>
      </c>
      <c r="P1415" t="str">
        <f>TEXT(Tableau2[[#This Row],[Date]],"mmmm aaaa")</f>
        <v>novembre 2026</v>
      </c>
    </row>
    <row r="1416" spans="1:16">
      <c r="A1416" s="2" t="s">
        <v>1503</v>
      </c>
      <c r="B1416" s="3">
        <v>46135</v>
      </c>
      <c r="C1416" s="2" t="s">
        <v>441</v>
      </c>
      <c r="D1416" s="2" t="s">
        <v>23</v>
      </c>
      <c r="E1416" s="2" t="s">
        <v>34</v>
      </c>
      <c r="F1416" s="2" t="s">
        <v>28</v>
      </c>
      <c r="G1416" s="2" t="s">
        <v>24</v>
      </c>
      <c r="H1416" s="2" t="s">
        <v>61</v>
      </c>
      <c r="I1416" s="2" t="s">
        <v>26</v>
      </c>
      <c r="J1416" s="4">
        <v>16</v>
      </c>
      <c r="K1416" s="5">
        <v>243.23</v>
      </c>
      <c r="L1416" s="6">
        <v>0.1</v>
      </c>
      <c r="M1416" s="5">
        <v>3502.51</v>
      </c>
      <c r="P1416" t="str">
        <f>TEXT(Tableau2[[#This Row],[Date]],"mmmm aaaa")</f>
        <v>avril 2026</v>
      </c>
    </row>
    <row r="1417" spans="1:16">
      <c r="A1417" s="2" t="s">
        <v>1504</v>
      </c>
      <c r="B1417" s="3">
        <v>46311</v>
      </c>
      <c r="C1417" s="2" t="s">
        <v>130</v>
      </c>
      <c r="D1417" s="2" t="s">
        <v>53</v>
      </c>
      <c r="E1417" s="2" t="s">
        <v>16</v>
      </c>
      <c r="F1417" s="2" t="s">
        <v>28</v>
      </c>
      <c r="G1417" s="2" t="s">
        <v>48</v>
      </c>
      <c r="H1417" s="2" t="s">
        <v>88</v>
      </c>
      <c r="I1417" s="2" t="s">
        <v>41</v>
      </c>
      <c r="J1417" s="4">
        <v>14</v>
      </c>
      <c r="K1417" s="5">
        <v>71.709999999999994</v>
      </c>
      <c r="L1417" s="6">
        <v>0</v>
      </c>
      <c r="M1417" s="5">
        <v>1003.94</v>
      </c>
      <c r="P1417" t="str">
        <f>TEXT(Tableau2[[#This Row],[Date]],"mmmm aaaa")</f>
        <v>octobre 2026</v>
      </c>
    </row>
    <row r="1418" spans="1:16">
      <c r="A1418" s="2" t="s">
        <v>1505</v>
      </c>
      <c r="B1418" s="3">
        <v>46179</v>
      </c>
      <c r="C1418" s="2" t="s">
        <v>14</v>
      </c>
      <c r="D1418" s="2" t="s">
        <v>15</v>
      </c>
      <c r="E1418" s="2" t="s">
        <v>16</v>
      </c>
      <c r="F1418" s="2" t="s">
        <v>28</v>
      </c>
      <c r="G1418" s="2" t="s">
        <v>18</v>
      </c>
      <c r="H1418" s="2" t="s">
        <v>19</v>
      </c>
      <c r="I1418" s="2" t="s">
        <v>26</v>
      </c>
      <c r="J1418" s="4">
        <v>3</v>
      </c>
      <c r="K1418" s="5">
        <v>51.23</v>
      </c>
      <c r="L1418" s="6">
        <v>0.1</v>
      </c>
      <c r="M1418" s="5">
        <v>138.32</v>
      </c>
      <c r="P1418" t="str">
        <f>TEXT(Tableau2[[#This Row],[Date]],"mmmm aaaa")</f>
        <v>juin 2026</v>
      </c>
    </row>
    <row r="1419" spans="1:16">
      <c r="A1419" s="2" t="s">
        <v>1506</v>
      </c>
      <c r="B1419" s="3">
        <v>46059</v>
      </c>
      <c r="C1419" s="2" t="s">
        <v>14</v>
      </c>
      <c r="D1419" s="2" t="s">
        <v>15</v>
      </c>
      <c r="E1419" s="2" t="s">
        <v>16</v>
      </c>
      <c r="F1419" s="2" t="s">
        <v>17</v>
      </c>
      <c r="G1419" s="2" t="s">
        <v>18</v>
      </c>
      <c r="H1419" s="2" t="s">
        <v>136</v>
      </c>
      <c r="I1419" s="2" t="s">
        <v>36</v>
      </c>
      <c r="J1419" s="4">
        <v>2</v>
      </c>
      <c r="K1419" s="5">
        <v>32.25</v>
      </c>
      <c r="L1419" s="6">
        <v>0</v>
      </c>
      <c r="M1419" s="5">
        <v>64.5</v>
      </c>
      <c r="P1419" t="str">
        <f>TEXT(Tableau2[[#This Row],[Date]],"mmmm aaaa")</f>
        <v>février 2026</v>
      </c>
    </row>
    <row r="1420" spans="1:16">
      <c r="A1420" s="2" t="s">
        <v>1507</v>
      </c>
      <c r="B1420" s="3">
        <v>46179</v>
      </c>
      <c r="C1420" s="2" t="s">
        <v>47</v>
      </c>
      <c r="D1420" s="2" t="s">
        <v>15</v>
      </c>
      <c r="E1420" s="2" t="s">
        <v>16</v>
      </c>
      <c r="F1420" s="2" t="s">
        <v>28</v>
      </c>
      <c r="G1420" s="2" t="s">
        <v>18</v>
      </c>
      <c r="H1420" s="2" t="s">
        <v>19</v>
      </c>
      <c r="I1420" s="2" t="s">
        <v>58</v>
      </c>
      <c r="J1420" s="4">
        <v>1</v>
      </c>
      <c r="K1420" s="5">
        <v>52.87</v>
      </c>
      <c r="L1420" s="6">
        <v>0</v>
      </c>
      <c r="M1420" s="5">
        <v>52.87</v>
      </c>
      <c r="P1420" t="str">
        <f>TEXT(Tableau2[[#This Row],[Date]],"mmmm aaaa")</f>
        <v>juin 2026</v>
      </c>
    </row>
    <row r="1421" spans="1:16">
      <c r="A1421" s="2" t="s">
        <v>1508</v>
      </c>
      <c r="B1421" s="3">
        <v>46080</v>
      </c>
      <c r="C1421" s="2" t="s">
        <v>63</v>
      </c>
      <c r="D1421" s="2" t="s">
        <v>33</v>
      </c>
      <c r="E1421" s="2" t="s">
        <v>34</v>
      </c>
      <c r="F1421" s="2" t="s">
        <v>28</v>
      </c>
      <c r="G1421" s="2" t="s">
        <v>29</v>
      </c>
      <c r="H1421" s="2" t="s">
        <v>44</v>
      </c>
      <c r="I1421" s="2" t="s">
        <v>26</v>
      </c>
      <c r="J1421" s="4">
        <v>1</v>
      </c>
      <c r="K1421" s="5">
        <v>37.15</v>
      </c>
      <c r="L1421" s="6">
        <v>0.05</v>
      </c>
      <c r="M1421" s="5">
        <v>35.29</v>
      </c>
      <c r="P1421" t="str">
        <f>TEXT(Tableau2[[#This Row],[Date]],"mmmm aaaa")</f>
        <v>février 2026</v>
      </c>
    </row>
    <row r="1422" spans="1:16">
      <c r="A1422" s="2" t="s">
        <v>1509</v>
      </c>
      <c r="B1422" s="3">
        <v>46330</v>
      </c>
      <c r="C1422" s="2" t="s">
        <v>47</v>
      </c>
      <c r="D1422" s="2" t="s">
        <v>15</v>
      </c>
      <c r="E1422" s="2" t="s">
        <v>16</v>
      </c>
      <c r="F1422" s="2" t="s">
        <v>17</v>
      </c>
      <c r="G1422" s="2" t="s">
        <v>24</v>
      </c>
      <c r="H1422" s="2" t="s">
        <v>82</v>
      </c>
      <c r="I1422" s="2" t="s">
        <v>20</v>
      </c>
      <c r="J1422" s="4">
        <v>1</v>
      </c>
      <c r="K1422" s="5">
        <v>282.08</v>
      </c>
      <c r="L1422" s="6">
        <v>0.05</v>
      </c>
      <c r="M1422" s="5">
        <v>267.98</v>
      </c>
      <c r="P1422" t="str">
        <f>TEXT(Tableau2[[#This Row],[Date]],"mmmm aaaa")</f>
        <v>novembre 2026</v>
      </c>
    </row>
    <row r="1423" spans="1:16">
      <c r="A1423" s="2" t="s">
        <v>1510</v>
      </c>
      <c r="B1423" s="3">
        <v>46257</v>
      </c>
      <c r="C1423" s="2" t="s">
        <v>441</v>
      </c>
      <c r="D1423" s="2" t="s">
        <v>23</v>
      </c>
      <c r="E1423" s="2" t="s">
        <v>43</v>
      </c>
      <c r="F1423" s="2" t="s">
        <v>17</v>
      </c>
      <c r="G1423" s="2" t="s">
        <v>48</v>
      </c>
      <c r="H1423" s="2" t="s">
        <v>77</v>
      </c>
      <c r="I1423" s="2" t="s">
        <v>36</v>
      </c>
      <c r="J1423" s="4">
        <v>1</v>
      </c>
      <c r="K1423" s="5">
        <v>81.13</v>
      </c>
      <c r="L1423" s="6">
        <v>0</v>
      </c>
      <c r="M1423" s="5">
        <v>81.13</v>
      </c>
      <c r="P1423" t="str">
        <f>TEXT(Tableau2[[#This Row],[Date]],"mmmm aaaa")</f>
        <v>août 2026</v>
      </c>
    </row>
    <row r="1424" spans="1:16">
      <c r="A1424" s="2" t="s">
        <v>1511</v>
      </c>
      <c r="B1424" s="3">
        <v>46213</v>
      </c>
      <c r="C1424" s="2" t="s">
        <v>125</v>
      </c>
      <c r="D1424" s="2" t="s">
        <v>23</v>
      </c>
      <c r="E1424" s="2" t="s">
        <v>34</v>
      </c>
      <c r="F1424" s="2" t="s">
        <v>28</v>
      </c>
      <c r="G1424" s="2" t="s">
        <v>24</v>
      </c>
      <c r="H1424" s="2" t="s">
        <v>61</v>
      </c>
      <c r="I1424" s="2" t="s">
        <v>50</v>
      </c>
      <c r="J1424" s="4">
        <v>5</v>
      </c>
      <c r="K1424" s="5">
        <v>241.26</v>
      </c>
      <c r="L1424" s="6">
        <v>0</v>
      </c>
      <c r="M1424" s="5">
        <v>1206.3</v>
      </c>
      <c r="P1424" t="str">
        <f>TEXT(Tableau2[[#This Row],[Date]],"mmmm aaaa")</f>
        <v>juillet 2026</v>
      </c>
    </row>
    <row r="1425" spans="1:16">
      <c r="A1425" s="2" t="s">
        <v>1512</v>
      </c>
      <c r="B1425" s="3">
        <v>46161</v>
      </c>
      <c r="C1425" s="2" t="s">
        <v>86</v>
      </c>
      <c r="D1425" s="2" t="s">
        <v>53</v>
      </c>
      <c r="E1425" s="2" t="s">
        <v>16</v>
      </c>
      <c r="F1425" s="2" t="s">
        <v>17</v>
      </c>
      <c r="G1425" s="2" t="s">
        <v>39</v>
      </c>
      <c r="H1425" s="2" t="s">
        <v>71</v>
      </c>
      <c r="I1425" s="2" t="s">
        <v>45</v>
      </c>
      <c r="J1425" s="4">
        <v>3</v>
      </c>
      <c r="K1425" s="5">
        <v>112.69</v>
      </c>
      <c r="L1425" s="6">
        <v>0</v>
      </c>
      <c r="M1425" s="5">
        <v>338.07</v>
      </c>
      <c r="P1425" t="str">
        <f>TEXT(Tableau2[[#This Row],[Date]],"mmmm aaaa")</f>
        <v>mai 2026</v>
      </c>
    </row>
    <row r="1426" spans="1:16">
      <c r="A1426" s="2" t="s">
        <v>1513</v>
      </c>
      <c r="B1426" s="3">
        <v>46264</v>
      </c>
      <c r="C1426" s="2" t="s">
        <v>178</v>
      </c>
      <c r="D1426" s="2" t="s">
        <v>15</v>
      </c>
      <c r="E1426" s="2" t="s">
        <v>34</v>
      </c>
      <c r="F1426" s="2" t="s">
        <v>28</v>
      </c>
      <c r="G1426" s="2" t="s">
        <v>54</v>
      </c>
      <c r="H1426" s="2" t="s">
        <v>64</v>
      </c>
      <c r="I1426" s="2" t="s">
        <v>20</v>
      </c>
      <c r="J1426" s="4">
        <v>5</v>
      </c>
      <c r="K1426" s="5">
        <v>84.78</v>
      </c>
      <c r="L1426" s="6">
        <v>0.15</v>
      </c>
      <c r="M1426" s="5">
        <v>360.31</v>
      </c>
      <c r="P1426" t="str">
        <f>TEXT(Tableau2[[#This Row],[Date]],"mmmm aaaa")</f>
        <v>août 2026</v>
      </c>
    </row>
    <row r="1427" spans="1:16">
      <c r="A1427" s="2" t="s">
        <v>1514</v>
      </c>
      <c r="B1427" s="3">
        <v>46132</v>
      </c>
      <c r="C1427" s="2" t="s">
        <v>164</v>
      </c>
      <c r="D1427" s="2" t="s">
        <v>53</v>
      </c>
      <c r="E1427" s="2" t="s">
        <v>16</v>
      </c>
      <c r="F1427" s="2" t="s">
        <v>17</v>
      </c>
      <c r="G1427" s="2" t="s">
        <v>39</v>
      </c>
      <c r="H1427" s="2" t="s">
        <v>95</v>
      </c>
      <c r="I1427" s="2" t="s">
        <v>50</v>
      </c>
      <c r="J1427" s="4">
        <v>4</v>
      </c>
      <c r="K1427" s="5">
        <v>92.52</v>
      </c>
      <c r="L1427" s="6">
        <v>0</v>
      </c>
      <c r="M1427" s="5">
        <v>370.08</v>
      </c>
      <c r="P1427" t="str">
        <f>TEXT(Tableau2[[#This Row],[Date]],"mmmm aaaa")</f>
        <v>avril 2026</v>
      </c>
    </row>
    <row r="1428" spans="1:16">
      <c r="A1428" s="2" t="s">
        <v>1515</v>
      </c>
      <c r="B1428" s="3">
        <v>46201</v>
      </c>
      <c r="C1428" s="2" t="s">
        <v>130</v>
      </c>
      <c r="D1428" s="2" t="s">
        <v>53</v>
      </c>
      <c r="E1428" s="2" t="s">
        <v>16</v>
      </c>
      <c r="F1428" s="2" t="s">
        <v>28</v>
      </c>
      <c r="G1428" s="2" t="s">
        <v>24</v>
      </c>
      <c r="H1428" s="2" t="s">
        <v>61</v>
      </c>
      <c r="I1428" s="2" t="s">
        <v>58</v>
      </c>
      <c r="J1428" s="4">
        <v>4</v>
      </c>
      <c r="K1428" s="5">
        <v>230.45</v>
      </c>
      <c r="L1428" s="6">
        <v>0</v>
      </c>
      <c r="M1428" s="5">
        <v>921.8</v>
      </c>
      <c r="P1428" t="str">
        <f>TEXT(Tableau2[[#This Row],[Date]],"mmmm aaaa")</f>
        <v>juin 2026</v>
      </c>
    </row>
    <row r="1429" spans="1:16">
      <c r="A1429" s="2" t="s">
        <v>1516</v>
      </c>
      <c r="B1429" s="3">
        <v>46307</v>
      </c>
      <c r="C1429" s="2" t="s">
        <v>57</v>
      </c>
      <c r="D1429" s="2" t="s">
        <v>15</v>
      </c>
      <c r="E1429" s="2" t="s">
        <v>34</v>
      </c>
      <c r="F1429" s="2" t="s">
        <v>28</v>
      </c>
      <c r="G1429" s="2" t="s">
        <v>29</v>
      </c>
      <c r="H1429" s="2" t="s">
        <v>30</v>
      </c>
      <c r="I1429" s="2" t="s">
        <v>26</v>
      </c>
      <c r="J1429" s="4">
        <v>1</v>
      </c>
      <c r="K1429" s="5">
        <v>25.06</v>
      </c>
      <c r="L1429" s="6">
        <v>0</v>
      </c>
      <c r="M1429" s="5">
        <v>25.06</v>
      </c>
      <c r="P1429" t="str">
        <f>TEXT(Tableau2[[#This Row],[Date]],"mmmm aaaa")</f>
        <v>octobre 2026</v>
      </c>
    </row>
    <row r="1430" spans="1:16">
      <c r="A1430" s="2" t="s">
        <v>1517</v>
      </c>
      <c r="B1430" s="3">
        <v>46245</v>
      </c>
      <c r="C1430" s="2" t="s">
        <v>125</v>
      </c>
      <c r="D1430" s="2" t="s">
        <v>23</v>
      </c>
      <c r="E1430" s="2" t="s">
        <v>38</v>
      </c>
      <c r="F1430" s="2" t="s">
        <v>17</v>
      </c>
      <c r="G1430" s="2" t="s">
        <v>48</v>
      </c>
      <c r="H1430" s="2" t="s">
        <v>84</v>
      </c>
      <c r="I1430" s="2" t="s">
        <v>50</v>
      </c>
      <c r="J1430" s="4">
        <v>2</v>
      </c>
      <c r="K1430" s="5">
        <v>91.53</v>
      </c>
      <c r="L1430" s="6">
        <v>0</v>
      </c>
      <c r="M1430" s="5">
        <v>183.06</v>
      </c>
      <c r="P1430" t="str">
        <f>TEXT(Tableau2[[#This Row],[Date]],"mmmm aaaa")</f>
        <v>août 2026</v>
      </c>
    </row>
    <row r="1431" spans="1:16">
      <c r="A1431" s="2" t="s">
        <v>1518</v>
      </c>
      <c r="B1431" s="3">
        <v>46092</v>
      </c>
      <c r="C1431" s="2" t="s">
        <v>125</v>
      </c>
      <c r="D1431" s="2" t="s">
        <v>23</v>
      </c>
      <c r="E1431" s="2" t="s">
        <v>16</v>
      </c>
      <c r="F1431" s="2" t="s">
        <v>28</v>
      </c>
      <c r="G1431" s="2" t="s">
        <v>24</v>
      </c>
      <c r="H1431" s="2" t="s">
        <v>82</v>
      </c>
      <c r="I1431" s="2" t="s">
        <v>41</v>
      </c>
      <c r="J1431" s="4">
        <v>10</v>
      </c>
      <c r="K1431" s="5">
        <v>285.64999999999998</v>
      </c>
      <c r="L1431" s="6">
        <v>0.05</v>
      </c>
      <c r="M1431" s="5">
        <v>2713.67</v>
      </c>
      <c r="P1431" t="str">
        <f>TEXT(Tableau2[[#This Row],[Date]],"mmmm aaaa")</f>
        <v>mars 2026</v>
      </c>
    </row>
    <row r="1432" spans="1:16">
      <c r="A1432" s="2" t="s">
        <v>1519</v>
      </c>
      <c r="B1432" s="3">
        <v>46195</v>
      </c>
      <c r="C1432" s="2" t="s">
        <v>92</v>
      </c>
      <c r="D1432" s="2" t="s">
        <v>53</v>
      </c>
      <c r="E1432" s="2" t="s">
        <v>43</v>
      </c>
      <c r="F1432" s="2" t="s">
        <v>28</v>
      </c>
      <c r="G1432" s="2" t="s">
        <v>39</v>
      </c>
      <c r="H1432" s="2" t="s">
        <v>95</v>
      </c>
      <c r="I1432" s="2" t="s">
        <v>75</v>
      </c>
      <c r="J1432" s="4">
        <v>1</v>
      </c>
      <c r="K1432" s="5">
        <v>95.21</v>
      </c>
      <c r="L1432" s="6">
        <v>0.3</v>
      </c>
      <c r="M1432" s="5">
        <v>66.650000000000006</v>
      </c>
      <c r="P1432" t="str">
        <f>TEXT(Tableau2[[#This Row],[Date]],"mmmm aaaa")</f>
        <v>juin 2026</v>
      </c>
    </row>
    <row r="1433" spans="1:16">
      <c r="A1433" s="2" t="s">
        <v>1520</v>
      </c>
      <c r="B1433" s="3">
        <v>46026</v>
      </c>
      <c r="C1433" s="2" t="s">
        <v>86</v>
      </c>
      <c r="D1433" s="2" t="s">
        <v>53</v>
      </c>
      <c r="E1433" s="2" t="s">
        <v>34</v>
      </c>
      <c r="F1433" s="2" t="s">
        <v>17</v>
      </c>
      <c r="G1433" s="2" t="s">
        <v>24</v>
      </c>
      <c r="H1433" s="2" t="s">
        <v>61</v>
      </c>
      <c r="I1433" s="2" t="s">
        <v>58</v>
      </c>
      <c r="J1433" s="4">
        <v>4</v>
      </c>
      <c r="K1433" s="5">
        <v>241.99</v>
      </c>
      <c r="L1433" s="6">
        <v>0.15</v>
      </c>
      <c r="M1433" s="5">
        <v>822.77</v>
      </c>
      <c r="P1433" t="str">
        <f>TEXT(Tableau2[[#This Row],[Date]],"mmmm aaaa")</f>
        <v>janvier 2026</v>
      </c>
    </row>
    <row r="1434" spans="1:16">
      <c r="A1434" s="2" t="s">
        <v>1521</v>
      </c>
      <c r="B1434" s="3">
        <v>46334</v>
      </c>
      <c r="C1434" s="2" t="s">
        <v>14</v>
      </c>
      <c r="D1434" s="2" t="s">
        <v>15</v>
      </c>
      <c r="E1434" s="2" t="s">
        <v>43</v>
      </c>
      <c r="F1434" s="2" t="s">
        <v>17</v>
      </c>
      <c r="G1434" s="2" t="s">
        <v>18</v>
      </c>
      <c r="H1434" s="2" t="s">
        <v>19</v>
      </c>
      <c r="I1434" s="2" t="s">
        <v>75</v>
      </c>
      <c r="J1434" s="4">
        <v>1</v>
      </c>
      <c r="K1434" s="5">
        <v>54.23</v>
      </c>
      <c r="L1434" s="6">
        <v>0.1</v>
      </c>
      <c r="M1434" s="5">
        <v>48.81</v>
      </c>
      <c r="P1434" t="str">
        <f>TEXT(Tableau2[[#This Row],[Date]],"mmmm aaaa")</f>
        <v>novembre 2026</v>
      </c>
    </row>
    <row r="1435" spans="1:16">
      <c r="A1435" s="2" t="s">
        <v>1522</v>
      </c>
      <c r="B1435" s="3">
        <v>46269</v>
      </c>
      <c r="C1435" s="2" t="s">
        <v>441</v>
      </c>
      <c r="D1435" s="2" t="s">
        <v>23</v>
      </c>
      <c r="E1435" s="2" t="s">
        <v>43</v>
      </c>
      <c r="F1435" s="2" t="s">
        <v>17</v>
      </c>
      <c r="G1435" s="2" t="s">
        <v>24</v>
      </c>
      <c r="H1435" s="2" t="s">
        <v>82</v>
      </c>
      <c r="I1435" s="2" t="s">
        <v>45</v>
      </c>
      <c r="J1435" s="4">
        <v>3</v>
      </c>
      <c r="K1435" s="5">
        <v>284.27999999999997</v>
      </c>
      <c r="L1435" s="6">
        <v>0</v>
      </c>
      <c r="M1435" s="5">
        <v>852.84</v>
      </c>
      <c r="P1435" t="str">
        <f>TEXT(Tableau2[[#This Row],[Date]],"mmmm aaaa")</f>
        <v>septembre 2026</v>
      </c>
    </row>
    <row r="1436" spans="1:16">
      <c r="A1436" s="2" t="s">
        <v>1523</v>
      </c>
      <c r="B1436" s="3">
        <v>46278</v>
      </c>
      <c r="C1436" s="2" t="s">
        <v>164</v>
      </c>
      <c r="D1436" s="2" t="s">
        <v>53</v>
      </c>
      <c r="E1436" s="2" t="s">
        <v>43</v>
      </c>
      <c r="F1436" s="2" t="s">
        <v>17</v>
      </c>
      <c r="G1436" s="2" t="s">
        <v>29</v>
      </c>
      <c r="H1436" s="2" t="s">
        <v>99</v>
      </c>
      <c r="I1436" s="2" t="s">
        <v>36</v>
      </c>
      <c r="J1436" s="4">
        <v>5</v>
      </c>
      <c r="K1436" s="5">
        <v>63.31</v>
      </c>
      <c r="L1436" s="6">
        <v>0.1</v>
      </c>
      <c r="M1436" s="5">
        <v>284.89999999999998</v>
      </c>
      <c r="P1436" t="str">
        <f>TEXT(Tableau2[[#This Row],[Date]],"mmmm aaaa")</f>
        <v>septembre 2026</v>
      </c>
    </row>
    <row r="1437" spans="1:16">
      <c r="A1437" s="2" t="s">
        <v>1524</v>
      </c>
      <c r="B1437" s="3">
        <v>46348</v>
      </c>
      <c r="C1437" s="2" t="s">
        <v>441</v>
      </c>
      <c r="D1437" s="2" t="s">
        <v>23</v>
      </c>
      <c r="E1437" s="2" t="s">
        <v>34</v>
      </c>
      <c r="F1437" s="2" t="s">
        <v>28</v>
      </c>
      <c r="G1437" s="2" t="s">
        <v>54</v>
      </c>
      <c r="H1437" s="2" t="s">
        <v>102</v>
      </c>
      <c r="I1437" s="2" t="s">
        <v>75</v>
      </c>
      <c r="J1437" s="4">
        <v>2</v>
      </c>
      <c r="K1437" s="5">
        <v>211.01</v>
      </c>
      <c r="L1437" s="6">
        <v>0</v>
      </c>
      <c r="M1437" s="5">
        <v>422.02</v>
      </c>
      <c r="P1437" t="str">
        <f>TEXT(Tableau2[[#This Row],[Date]],"mmmm aaaa")</f>
        <v>novembre 2026</v>
      </c>
    </row>
    <row r="1438" spans="1:16">
      <c r="A1438" s="2" t="s">
        <v>1525</v>
      </c>
      <c r="B1438" s="3">
        <v>46100</v>
      </c>
      <c r="C1438" s="2" t="s">
        <v>441</v>
      </c>
      <c r="D1438" s="2" t="s">
        <v>23</v>
      </c>
      <c r="E1438" s="2" t="s">
        <v>43</v>
      </c>
      <c r="F1438" s="2" t="s">
        <v>28</v>
      </c>
      <c r="G1438" s="2" t="s">
        <v>18</v>
      </c>
      <c r="H1438" s="2" t="s">
        <v>143</v>
      </c>
      <c r="I1438" s="2" t="s">
        <v>36</v>
      </c>
      <c r="J1438" s="4">
        <v>2</v>
      </c>
      <c r="K1438" s="5">
        <v>63.11</v>
      </c>
      <c r="L1438" s="6">
        <v>0</v>
      </c>
      <c r="M1438" s="5">
        <v>126.22</v>
      </c>
      <c r="P1438" t="str">
        <f>TEXT(Tableau2[[#This Row],[Date]],"mmmm aaaa")</f>
        <v>mars 2026</v>
      </c>
    </row>
    <row r="1439" spans="1:16">
      <c r="A1439" s="2" t="s">
        <v>1526</v>
      </c>
      <c r="B1439" s="3">
        <v>46194</v>
      </c>
      <c r="C1439" s="2" t="s">
        <v>134</v>
      </c>
      <c r="D1439" s="2" t="s">
        <v>15</v>
      </c>
      <c r="E1439" s="2" t="s">
        <v>34</v>
      </c>
      <c r="F1439" s="2" t="s">
        <v>17</v>
      </c>
      <c r="G1439" s="2" t="s">
        <v>29</v>
      </c>
      <c r="H1439" s="2" t="s">
        <v>30</v>
      </c>
      <c r="I1439" s="2" t="s">
        <v>20</v>
      </c>
      <c r="J1439" s="4">
        <v>1</v>
      </c>
      <c r="K1439" s="5">
        <v>26.52</v>
      </c>
      <c r="L1439" s="6">
        <v>0</v>
      </c>
      <c r="M1439" s="5">
        <v>26.52</v>
      </c>
      <c r="P1439" t="str">
        <f>TEXT(Tableau2[[#This Row],[Date]],"mmmm aaaa")</f>
        <v>juin 2026</v>
      </c>
    </row>
    <row r="1440" spans="1:16">
      <c r="A1440" s="2" t="s">
        <v>1527</v>
      </c>
      <c r="B1440" s="3">
        <v>46288</v>
      </c>
      <c r="C1440" s="2" t="s">
        <v>130</v>
      </c>
      <c r="D1440" s="2" t="s">
        <v>53</v>
      </c>
      <c r="E1440" s="2" t="s">
        <v>34</v>
      </c>
      <c r="F1440" s="2" t="s">
        <v>17</v>
      </c>
      <c r="G1440" s="2" t="s">
        <v>24</v>
      </c>
      <c r="H1440" s="2" t="s">
        <v>25</v>
      </c>
      <c r="I1440" s="2" t="s">
        <v>36</v>
      </c>
      <c r="J1440" s="4">
        <v>6</v>
      </c>
      <c r="K1440" s="5">
        <v>137.49</v>
      </c>
      <c r="L1440" s="6">
        <v>0.2</v>
      </c>
      <c r="M1440" s="5">
        <v>659.95</v>
      </c>
      <c r="P1440" t="str">
        <f>TEXT(Tableau2[[#This Row],[Date]],"mmmm aaaa")</f>
        <v>septembre 2026</v>
      </c>
    </row>
    <row r="1441" spans="1:16">
      <c r="A1441" s="2" t="s">
        <v>1528</v>
      </c>
      <c r="B1441" s="3">
        <v>46310</v>
      </c>
      <c r="C1441" s="2" t="s">
        <v>178</v>
      </c>
      <c r="D1441" s="2" t="s">
        <v>15</v>
      </c>
      <c r="E1441" s="2" t="s">
        <v>34</v>
      </c>
      <c r="F1441" s="2" t="s">
        <v>17</v>
      </c>
      <c r="G1441" s="2" t="s">
        <v>48</v>
      </c>
      <c r="H1441" s="2" t="s">
        <v>88</v>
      </c>
      <c r="I1441" s="2" t="s">
        <v>58</v>
      </c>
      <c r="J1441" s="4">
        <v>2</v>
      </c>
      <c r="K1441" s="5">
        <v>79.459999999999994</v>
      </c>
      <c r="L1441" s="6">
        <v>0</v>
      </c>
      <c r="M1441" s="5">
        <v>158.91999999999999</v>
      </c>
      <c r="P1441" t="str">
        <f>TEXT(Tableau2[[#This Row],[Date]],"mmmm aaaa")</f>
        <v>octobre 2026</v>
      </c>
    </row>
    <row r="1442" spans="1:16">
      <c r="A1442" s="2" t="s">
        <v>1529</v>
      </c>
      <c r="B1442" s="3">
        <v>46330</v>
      </c>
      <c r="C1442" s="2" t="s">
        <v>66</v>
      </c>
      <c r="D1442" s="2" t="s">
        <v>23</v>
      </c>
      <c r="E1442" s="2" t="s">
        <v>34</v>
      </c>
      <c r="F1442" s="2" t="s">
        <v>28</v>
      </c>
      <c r="G1442" s="2" t="s">
        <v>48</v>
      </c>
      <c r="H1442" s="2" t="s">
        <v>77</v>
      </c>
      <c r="I1442" s="2" t="s">
        <v>45</v>
      </c>
      <c r="J1442" s="4">
        <v>2</v>
      </c>
      <c r="K1442" s="5">
        <v>82.71</v>
      </c>
      <c r="L1442" s="6">
        <v>0.05</v>
      </c>
      <c r="M1442" s="5">
        <v>157.15</v>
      </c>
      <c r="P1442" t="str">
        <f>TEXT(Tableau2[[#This Row],[Date]],"mmmm aaaa")</f>
        <v>novembre 2026</v>
      </c>
    </row>
    <row r="1443" spans="1:16">
      <c r="A1443" s="2" t="s">
        <v>1530</v>
      </c>
      <c r="B1443" s="3">
        <v>46228</v>
      </c>
      <c r="C1443" s="2" t="s">
        <v>47</v>
      </c>
      <c r="D1443" s="2" t="s">
        <v>15</v>
      </c>
      <c r="E1443" s="2" t="s">
        <v>34</v>
      </c>
      <c r="F1443" s="2" t="s">
        <v>28</v>
      </c>
      <c r="G1443" s="2" t="s">
        <v>29</v>
      </c>
      <c r="H1443" s="2" t="s">
        <v>99</v>
      </c>
      <c r="I1443" s="2" t="s">
        <v>75</v>
      </c>
      <c r="J1443" s="4">
        <v>12</v>
      </c>
      <c r="K1443" s="5">
        <v>57.7</v>
      </c>
      <c r="L1443" s="6">
        <v>0.2</v>
      </c>
      <c r="M1443" s="5">
        <v>553.91999999999996</v>
      </c>
      <c r="P1443" t="str">
        <f>TEXT(Tableau2[[#This Row],[Date]],"mmmm aaaa")</f>
        <v>juillet 2026</v>
      </c>
    </row>
    <row r="1444" spans="1:16">
      <c r="A1444" s="2" t="s">
        <v>1531</v>
      </c>
      <c r="B1444" s="3">
        <v>46108</v>
      </c>
      <c r="C1444" s="2" t="s">
        <v>125</v>
      </c>
      <c r="D1444" s="2" t="s">
        <v>23</v>
      </c>
      <c r="E1444" s="2" t="s">
        <v>16</v>
      </c>
      <c r="F1444" s="2" t="s">
        <v>28</v>
      </c>
      <c r="G1444" s="2" t="s">
        <v>24</v>
      </c>
      <c r="H1444" s="2" t="s">
        <v>82</v>
      </c>
      <c r="I1444" s="2" t="s">
        <v>45</v>
      </c>
      <c r="J1444" s="4">
        <v>4</v>
      </c>
      <c r="K1444" s="5">
        <v>295.61</v>
      </c>
      <c r="L1444" s="6">
        <v>0</v>
      </c>
      <c r="M1444" s="5">
        <v>1182.44</v>
      </c>
      <c r="P1444" t="str">
        <f>TEXT(Tableau2[[#This Row],[Date]],"mmmm aaaa")</f>
        <v>mars 2026</v>
      </c>
    </row>
    <row r="1445" spans="1:16">
      <c r="A1445" s="2" t="s">
        <v>1532</v>
      </c>
      <c r="B1445" s="3">
        <v>46346</v>
      </c>
      <c r="C1445" s="2" t="s">
        <v>63</v>
      </c>
      <c r="D1445" s="2" t="s">
        <v>33</v>
      </c>
      <c r="E1445" s="2" t="s">
        <v>43</v>
      </c>
      <c r="F1445" s="2" t="s">
        <v>17</v>
      </c>
      <c r="G1445" s="2" t="s">
        <v>48</v>
      </c>
      <c r="H1445" s="2" t="s">
        <v>77</v>
      </c>
      <c r="I1445" s="2" t="s">
        <v>26</v>
      </c>
      <c r="J1445" s="4">
        <v>1</v>
      </c>
      <c r="K1445" s="5">
        <v>82.13</v>
      </c>
      <c r="L1445" s="6">
        <v>0</v>
      </c>
      <c r="M1445" s="5">
        <v>82.13</v>
      </c>
      <c r="P1445" t="str">
        <f>TEXT(Tableau2[[#This Row],[Date]],"mmmm aaaa")</f>
        <v>novembre 2026</v>
      </c>
    </row>
    <row r="1446" spans="1:16">
      <c r="A1446" s="2" t="s">
        <v>1533</v>
      </c>
      <c r="B1446" s="3">
        <v>46341</v>
      </c>
      <c r="C1446" s="2" t="s">
        <v>151</v>
      </c>
      <c r="D1446" s="2" t="s">
        <v>15</v>
      </c>
      <c r="E1446" s="2" t="s">
        <v>16</v>
      </c>
      <c r="F1446" s="2" t="s">
        <v>17</v>
      </c>
      <c r="G1446" s="2" t="s">
        <v>54</v>
      </c>
      <c r="H1446" s="2" t="s">
        <v>64</v>
      </c>
      <c r="I1446" s="2" t="s">
        <v>26</v>
      </c>
      <c r="J1446" s="4">
        <v>8</v>
      </c>
      <c r="K1446" s="5">
        <v>84.3</v>
      </c>
      <c r="L1446" s="6">
        <v>0.2</v>
      </c>
      <c r="M1446" s="5">
        <v>539.52</v>
      </c>
      <c r="P1446" t="str">
        <f>TEXT(Tableau2[[#This Row],[Date]],"mmmm aaaa")</f>
        <v>novembre 2026</v>
      </c>
    </row>
    <row r="1447" spans="1:16">
      <c r="A1447" s="2" t="s">
        <v>1534</v>
      </c>
      <c r="B1447" s="3">
        <v>46096</v>
      </c>
      <c r="C1447" s="2" t="s">
        <v>119</v>
      </c>
      <c r="D1447" s="2" t="s">
        <v>15</v>
      </c>
      <c r="E1447" s="2" t="s">
        <v>16</v>
      </c>
      <c r="F1447" s="2" t="s">
        <v>28</v>
      </c>
      <c r="G1447" s="2" t="s">
        <v>54</v>
      </c>
      <c r="H1447" s="2" t="s">
        <v>55</v>
      </c>
      <c r="I1447" s="2" t="s">
        <v>50</v>
      </c>
      <c r="J1447" s="4">
        <v>10</v>
      </c>
      <c r="K1447" s="5">
        <v>160.82</v>
      </c>
      <c r="L1447" s="6">
        <v>0</v>
      </c>
      <c r="M1447" s="5">
        <v>1608.2</v>
      </c>
      <c r="P1447" t="str">
        <f>TEXT(Tableau2[[#This Row],[Date]],"mmmm aaaa")</f>
        <v>mars 2026</v>
      </c>
    </row>
    <row r="1448" spans="1:16">
      <c r="A1448" s="2" t="s">
        <v>1535</v>
      </c>
      <c r="B1448" s="3">
        <v>46236</v>
      </c>
      <c r="C1448" s="2" t="s">
        <v>130</v>
      </c>
      <c r="D1448" s="2" t="s">
        <v>53</v>
      </c>
      <c r="E1448" s="2" t="s">
        <v>43</v>
      </c>
      <c r="F1448" s="2" t="s">
        <v>28</v>
      </c>
      <c r="G1448" s="2" t="s">
        <v>48</v>
      </c>
      <c r="H1448" s="2" t="s">
        <v>49</v>
      </c>
      <c r="I1448" s="2" t="s">
        <v>26</v>
      </c>
      <c r="J1448" s="4">
        <v>2</v>
      </c>
      <c r="K1448" s="5">
        <v>60.69</v>
      </c>
      <c r="L1448" s="6">
        <v>0</v>
      </c>
      <c r="M1448" s="5">
        <v>121.38</v>
      </c>
      <c r="P1448" t="str">
        <f>TEXT(Tableau2[[#This Row],[Date]],"mmmm aaaa")</f>
        <v>août 2026</v>
      </c>
    </row>
    <row r="1449" spans="1:16">
      <c r="A1449" s="2" t="s">
        <v>1536</v>
      </c>
      <c r="B1449" s="3">
        <v>46137</v>
      </c>
      <c r="C1449" s="2" t="s">
        <v>119</v>
      </c>
      <c r="D1449" s="2" t="s">
        <v>15</v>
      </c>
      <c r="E1449" s="2" t="s">
        <v>16</v>
      </c>
      <c r="F1449" s="2" t="s">
        <v>17</v>
      </c>
      <c r="G1449" s="2" t="s">
        <v>39</v>
      </c>
      <c r="H1449" s="2" t="s">
        <v>40</v>
      </c>
      <c r="I1449" s="2" t="s">
        <v>45</v>
      </c>
      <c r="J1449" s="4">
        <v>3</v>
      </c>
      <c r="K1449" s="5">
        <v>128.04</v>
      </c>
      <c r="L1449" s="6">
        <v>0</v>
      </c>
      <c r="M1449" s="5">
        <v>384.12</v>
      </c>
      <c r="P1449" t="str">
        <f>TEXT(Tableau2[[#This Row],[Date]],"mmmm aaaa")</f>
        <v>avril 2026</v>
      </c>
    </row>
    <row r="1450" spans="1:16">
      <c r="A1450" s="2" t="s">
        <v>1537</v>
      </c>
      <c r="B1450" s="3">
        <v>46142</v>
      </c>
      <c r="C1450" s="2" t="s">
        <v>47</v>
      </c>
      <c r="D1450" s="2" t="s">
        <v>15</v>
      </c>
      <c r="E1450" s="2" t="s">
        <v>16</v>
      </c>
      <c r="F1450" s="2" t="s">
        <v>17</v>
      </c>
      <c r="G1450" s="2" t="s">
        <v>39</v>
      </c>
      <c r="H1450" s="2" t="s">
        <v>95</v>
      </c>
      <c r="I1450" s="2" t="s">
        <v>58</v>
      </c>
      <c r="J1450" s="4">
        <v>6</v>
      </c>
      <c r="K1450" s="5">
        <v>101.94</v>
      </c>
      <c r="L1450" s="6">
        <v>0.1</v>
      </c>
      <c r="M1450" s="5">
        <v>550.48</v>
      </c>
      <c r="P1450" t="str">
        <f>TEXT(Tableau2[[#This Row],[Date]],"mmmm aaaa")</f>
        <v>avril 2026</v>
      </c>
    </row>
    <row r="1451" spans="1:16">
      <c r="A1451" s="2" t="s">
        <v>1538</v>
      </c>
      <c r="B1451" s="3">
        <v>46256</v>
      </c>
      <c r="C1451" s="2" t="s">
        <v>22</v>
      </c>
      <c r="D1451" s="2" t="s">
        <v>23</v>
      </c>
      <c r="E1451" s="2" t="s">
        <v>16</v>
      </c>
      <c r="F1451" s="2" t="s">
        <v>17</v>
      </c>
      <c r="G1451" s="2" t="s">
        <v>29</v>
      </c>
      <c r="H1451" s="2" t="s">
        <v>44</v>
      </c>
      <c r="I1451" s="2" t="s">
        <v>50</v>
      </c>
      <c r="J1451" s="4">
        <v>2</v>
      </c>
      <c r="K1451" s="5">
        <v>38.44</v>
      </c>
      <c r="L1451" s="6">
        <v>0</v>
      </c>
      <c r="M1451" s="5">
        <v>76.88</v>
      </c>
      <c r="P1451" t="str">
        <f>TEXT(Tableau2[[#This Row],[Date]],"mmmm aaaa")</f>
        <v>août 2026</v>
      </c>
    </row>
    <row r="1452" spans="1:16">
      <c r="A1452" s="2" t="s">
        <v>1539</v>
      </c>
      <c r="B1452" s="3">
        <v>46141</v>
      </c>
      <c r="C1452" s="2" t="s">
        <v>130</v>
      </c>
      <c r="D1452" s="2" t="s">
        <v>53</v>
      </c>
      <c r="E1452" s="2" t="s">
        <v>16</v>
      </c>
      <c r="F1452" s="2" t="s">
        <v>17</v>
      </c>
      <c r="G1452" s="2" t="s">
        <v>18</v>
      </c>
      <c r="H1452" s="2" t="s">
        <v>19</v>
      </c>
      <c r="I1452" s="2" t="s">
        <v>20</v>
      </c>
      <c r="J1452" s="4">
        <v>5</v>
      </c>
      <c r="K1452" s="5">
        <v>50.61</v>
      </c>
      <c r="L1452" s="6">
        <v>0</v>
      </c>
      <c r="M1452" s="5">
        <v>253.05</v>
      </c>
      <c r="P1452" t="str">
        <f>TEXT(Tableau2[[#This Row],[Date]],"mmmm aaaa")</f>
        <v>avril 2026</v>
      </c>
    </row>
    <row r="1453" spans="1:16">
      <c r="A1453" s="2" t="s">
        <v>1540</v>
      </c>
      <c r="B1453" s="3">
        <v>46194</v>
      </c>
      <c r="C1453" s="2" t="s">
        <v>101</v>
      </c>
      <c r="D1453" s="2" t="s">
        <v>33</v>
      </c>
      <c r="E1453" s="2" t="s">
        <v>34</v>
      </c>
      <c r="F1453" s="2" t="s">
        <v>28</v>
      </c>
      <c r="G1453" s="2" t="s">
        <v>54</v>
      </c>
      <c r="H1453" s="2" t="s">
        <v>64</v>
      </c>
      <c r="I1453" s="2" t="s">
        <v>26</v>
      </c>
      <c r="J1453" s="4">
        <v>1</v>
      </c>
      <c r="K1453" s="5">
        <v>84.13</v>
      </c>
      <c r="L1453" s="6">
        <v>0</v>
      </c>
      <c r="M1453" s="5">
        <v>84.13</v>
      </c>
      <c r="P1453" t="str">
        <f>TEXT(Tableau2[[#This Row],[Date]],"mmmm aaaa")</f>
        <v>juin 2026</v>
      </c>
    </row>
    <row r="1454" spans="1:16">
      <c r="A1454" s="2" t="s">
        <v>1541</v>
      </c>
      <c r="B1454" s="3">
        <v>46191</v>
      </c>
      <c r="C1454" s="2" t="s">
        <v>164</v>
      </c>
      <c r="D1454" s="2" t="s">
        <v>53</v>
      </c>
      <c r="E1454" s="2" t="s">
        <v>34</v>
      </c>
      <c r="F1454" s="2" t="s">
        <v>28</v>
      </c>
      <c r="G1454" s="2" t="s">
        <v>18</v>
      </c>
      <c r="H1454" s="2" t="s">
        <v>158</v>
      </c>
      <c r="I1454" s="2" t="s">
        <v>45</v>
      </c>
      <c r="J1454" s="4">
        <v>2</v>
      </c>
      <c r="K1454" s="5">
        <v>42.59</v>
      </c>
      <c r="L1454" s="6">
        <v>0.05</v>
      </c>
      <c r="M1454" s="5">
        <v>80.92</v>
      </c>
      <c r="P1454" t="str">
        <f>TEXT(Tableau2[[#This Row],[Date]],"mmmm aaaa")</f>
        <v>juin 2026</v>
      </c>
    </row>
    <row r="1455" spans="1:16">
      <c r="A1455" s="2" t="s">
        <v>1542</v>
      </c>
      <c r="B1455" s="3">
        <v>46250</v>
      </c>
      <c r="C1455" s="2" t="s">
        <v>130</v>
      </c>
      <c r="D1455" s="2" t="s">
        <v>53</v>
      </c>
      <c r="E1455" s="2" t="s">
        <v>16</v>
      </c>
      <c r="F1455" s="2" t="s">
        <v>28</v>
      </c>
      <c r="G1455" s="2" t="s">
        <v>18</v>
      </c>
      <c r="H1455" s="2" t="s">
        <v>158</v>
      </c>
      <c r="I1455" s="2" t="s">
        <v>50</v>
      </c>
      <c r="J1455" s="4">
        <v>3</v>
      </c>
      <c r="K1455" s="5">
        <v>44.05</v>
      </c>
      <c r="L1455" s="6">
        <v>0</v>
      </c>
      <c r="M1455" s="5">
        <v>132.15</v>
      </c>
      <c r="P1455" t="str">
        <f>TEXT(Tableau2[[#This Row],[Date]],"mmmm aaaa")</f>
        <v>août 2026</v>
      </c>
    </row>
    <row r="1456" spans="1:16">
      <c r="A1456" s="2" t="s">
        <v>1543</v>
      </c>
      <c r="B1456" s="3">
        <v>46042</v>
      </c>
      <c r="C1456" s="2" t="s">
        <v>66</v>
      </c>
      <c r="D1456" s="2" t="s">
        <v>23</v>
      </c>
      <c r="E1456" s="2" t="s">
        <v>16</v>
      </c>
      <c r="F1456" s="2" t="s">
        <v>17</v>
      </c>
      <c r="G1456" s="2" t="s">
        <v>48</v>
      </c>
      <c r="H1456" s="2" t="s">
        <v>88</v>
      </c>
      <c r="I1456" s="2" t="s">
        <v>41</v>
      </c>
      <c r="J1456" s="4">
        <v>1</v>
      </c>
      <c r="K1456" s="5">
        <v>72.61</v>
      </c>
      <c r="L1456" s="6">
        <v>0</v>
      </c>
      <c r="M1456" s="5">
        <v>72.61</v>
      </c>
      <c r="P1456" t="str">
        <f>TEXT(Tableau2[[#This Row],[Date]],"mmmm aaaa")</f>
        <v>janvier 2026</v>
      </c>
    </row>
    <row r="1457" spans="1:16">
      <c r="A1457" s="2" t="s">
        <v>1544</v>
      </c>
      <c r="B1457" s="3">
        <v>46133</v>
      </c>
      <c r="C1457" s="2" t="s">
        <v>90</v>
      </c>
      <c r="D1457" s="2" t="s">
        <v>53</v>
      </c>
      <c r="E1457" s="2" t="s">
        <v>38</v>
      </c>
      <c r="F1457" s="2" t="s">
        <v>17</v>
      </c>
      <c r="G1457" s="2" t="s">
        <v>48</v>
      </c>
      <c r="H1457" s="2" t="s">
        <v>77</v>
      </c>
      <c r="I1457" s="2" t="s">
        <v>41</v>
      </c>
      <c r="J1457" s="4">
        <v>2</v>
      </c>
      <c r="K1457" s="5">
        <v>89.9</v>
      </c>
      <c r="L1457" s="6">
        <v>0</v>
      </c>
      <c r="M1457" s="5">
        <v>179.8</v>
      </c>
      <c r="P1457" t="str">
        <f>TEXT(Tableau2[[#This Row],[Date]],"mmmm aaaa")</f>
        <v>avril 2026</v>
      </c>
    </row>
    <row r="1458" spans="1:16">
      <c r="A1458" s="2" t="s">
        <v>1545</v>
      </c>
      <c r="B1458" s="3">
        <v>46140</v>
      </c>
      <c r="C1458" s="2" t="s">
        <v>94</v>
      </c>
      <c r="D1458" s="2" t="s">
        <v>15</v>
      </c>
      <c r="E1458" s="2" t="s">
        <v>43</v>
      </c>
      <c r="F1458" s="2" t="s">
        <v>28</v>
      </c>
      <c r="G1458" s="2" t="s">
        <v>18</v>
      </c>
      <c r="H1458" s="2" t="s">
        <v>158</v>
      </c>
      <c r="I1458" s="2" t="s">
        <v>58</v>
      </c>
      <c r="J1458" s="4">
        <v>1</v>
      </c>
      <c r="K1458" s="5">
        <v>48.05</v>
      </c>
      <c r="L1458" s="6">
        <v>0</v>
      </c>
      <c r="M1458" s="5">
        <v>48.05</v>
      </c>
      <c r="P1458" t="str">
        <f>TEXT(Tableau2[[#This Row],[Date]],"mmmm aaaa")</f>
        <v>avril 2026</v>
      </c>
    </row>
    <row r="1459" spans="1:16">
      <c r="A1459" s="2" t="s">
        <v>1546</v>
      </c>
      <c r="B1459" s="3">
        <v>46278</v>
      </c>
      <c r="C1459" s="2" t="s">
        <v>101</v>
      </c>
      <c r="D1459" s="2" t="s">
        <v>33</v>
      </c>
      <c r="E1459" s="2" t="s">
        <v>43</v>
      </c>
      <c r="F1459" s="2" t="s">
        <v>28</v>
      </c>
      <c r="G1459" s="2" t="s">
        <v>18</v>
      </c>
      <c r="H1459" s="2" t="s">
        <v>158</v>
      </c>
      <c r="I1459" s="2" t="s">
        <v>50</v>
      </c>
      <c r="J1459" s="4">
        <v>11</v>
      </c>
      <c r="K1459" s="5">
        <v>43.92</v>
      </c>
      <c r="L1459" s="6">
        <v>0.05</v>
      </c>
      <c r="M1459" s="5">
        <v>458.96</v>
      </c>
      <c r="P1459" t="str">
        <f>TEXT(Tableau2[[#This Row],[Date]],"mmmm aaaa")</f>
        <v>septembre 2026</v>
      </c>
    </row>
    <row r="1460" spans="1:16">
      <c r="A1460" s="2" t="s">
        <v>1547</v>
      </c>
      <c r="B1460" s="3">
        <v>46278</v>
      </c>
      <c r="C1460" s="2" t="s">
        <v>66</v>
      </c>
      <c r="D1460" s="2" t="s">
        <v>23</v>
      </c>
      <c r="E1460" s="2" t="s">
        <v>34</v>
      </c>
      <c r="F1460" s="2" t="s">
        <v>17</v>
      </c>
      <c r="G1460" s="2" t="s">
        <v>18</v>
      </c>
      <c r="H1460" s="2" t="s">
        <v>158</v>
      </c>
      <c r="I1460" s="2" t="s">
        <v>45</v>
      </c>
      <c r="J1460" s="4">
        <v>2</v>
      </c>
      <c r="K1460" s="5">
        <v>44.16</v>
      </c>
      <c r="L1460" s="6">
        <v>0</v>
      </c>
      <c r="M1460" s="5">
        <v>88.32</v>
      </c>
      <c r="P1460" t="str">
        <f>TEXT(Tableau2[[#This Row],[Date]],"mmmm aaaa")</f>
        <v>septembre 2026</v>
      </c>
    </row>
    <row r="1461" spans="1:16">
      <c r="A1461" s="2" t="s">
        <v>1548</v>
      </c>
      <c r="B1461" s="3">
        <v>46150</v>
      </c>
      <c r="C1461" s="2" t="s">
        <v>22</v>
      </c>
      <c r="D1461" s="2" t="s">
        <v>23</v>
      </c>
      <c r="E1461" s="2" t="s">
        <v>38</v>
      </c>
      <c r="F1461" s="2" t="s">
        <v>17</v>
      </c>
      <c r="G1461" s="2" t="s">
        <v>29</v>
      </c>
      <c r="H1461" s="2" t="s">
        <v>99</v>
      </c>
      <c r="I1461" s="2" t="s">
        <v>41</v>
      </c>
      <c r="J1461" s="4">
        <v>4</v>
      </c>
      <c r="K1461" s="5">
        <v>66.3</v>
      </c>
      <c r="L1461" s="6">
        <v>0</v>
      </c>
      <c r="M1461" s="5">
        <v>265.2</v>
      </c>
      <c r="P1461" t="str">
        <f>TEXT(Tableau2[[#This Row],[Date]],"mmmm aaaa")</f>
        <v>mai 2026</v>
      </c>
    </row>
    <row r="1462" spans="1:16">
      <c r="A1462" s="2" t="s">
        <v>1549</v>
      </c>
      <c r="B1462" s="3">
        <v>46064</v>
      </c>
      <c r="C1462" s="2" t="s">
        <v>32</v>
      </c>
      <c r="D1462" s="2" t="s">
        <v>33</v>
      </c>
      <c r="E1462" s="2" t="s">
        <v>16</v>
      </c>
      <c r="F1462" s="2" t="s">
        <v>28</v>
      </c>
      <c r="G1462" s="2" t="s">
        <v>18</v>
      </c>
      <c r="H1462" s="2" t="s">
        <v>158</v>
      </c>
      <c r="I1462" s="2" t="s">
        <v>75</v>
      </c>
      <c r="J1462" s="4">
        <v>1</v>
      </c>
      <c r="K1462" s="5">
        <v>43.85</v>
      </c>
      <c r="L1462" s="6">
        <v>0.1</v>
      </c>
      <c r="M1462" s="5">
        <v>39.47</v>
      </c>
      <c r="P1462" t="str">
        <f>TEXT(Tableau2[[#This Row],[Date]],"mmmm aaaa")</f>
        <v>février 2026</v>
      </c>
    </row>
    <row r="1463" spans="1:16">
      <c r="A1463" s="2" t="s">
        <v>1550</v>
      </c>
      <c r="B1463" s="3">
        <v>46227</v>
      </c>
      <c r="C1463" s="2" t="s">
        <v>57</v>
      </c>
      <c r="D1463" s="2" t="s">
        <v>15</v>
      </c>
      <c r="E1463" s="2" t="s">
        <v>43</v>
      </c>
      <c r="F1463" s="2" t="s">
        <v>17</v>
      </c>
      <c r="G1463" s="2" t="s">
        <v>18</v>
      </c>
      <c r="H1463" s="2" t="s">
        <v>136</v>
      </c>
      <c r="I1463" s="2" t="s">
        <v>36</v>
      </c>
      <c r="J1463" s="4">
        <v>2</v>
      </c>
      <c r="K1463" s="5">
        <v>29.69</v>
      </c>
      <c r="L1463" s="6">
        <v>0</v>
      </c>
      <c r="M1463" s="5">
        <v>59.38</v>
      </c>
      <c r="P1463" t="str">
        <f>TEXT(Tableau2[[#This Row],[Date]],"mmmm aaaa")</f>
        <v>juillet 2026</v>
      </c>
    </row>
    <row r="1464" spans="1:16">
      <c r="A1464" s="2" t="s">
        <v>1551</v>
      </c>
      <c r="B1464" s="3">
        <v>46217</v>
      </c>
      <c r="C1464" s="2" t="s">
        <v>79</v>
      </c>
      <c r="D1464" s="2" t="s">
        <v>33</v>
      </c>
      <c r="E1464" s="2" t="s">
        <v>16</v>
      </c>
      <c r="F1464" s="2" t="s">
        <v>17</v>
      </c>
      <c r="G1464" s="2" t="s">
        <v>29</v>
      </c>
      <c r="H1464" s="2" t="s">
        <v>44</v>
      </c>
      <c r="I1464" s="2" t="s">
        <v>50</v>
      </c>
      <c r="J1464" s="4">
        <v>1</v>
      </c>
      <c r="K1464" s="5">
        <v>38.93</v>
      </c>
      <c r="L1464" s="6">
        <v>0</v>
      </c>
      <c r="M1464" s="5">
        <v>38.93</v>
      </c>
      <c r="P1464" t="str">
        <f>TEXT(Tableau2[[#This Row],[Date]],"mmmm aaaa")</f>
        <v>juillet 2026</v>
      </c>
    </row>
    <row r="1465" spans="1:16">
      <c r="A1465" s="2" t="s">
        <v>1552</v>
      </c>
      <c r="B1465" s="3">
        <v>46336</v>
      </c>
      <c r="C1465" s="2" t="s">
        <v>47</v>
      </c>
      <c r="D1465" s="2" t="s">
        <v>15</v>
      </c>
      <c r="E1465" s="2" t="s">
        <v>34</v>
      </c>
      <c r="F1465" s="2" t="s">
        <v>17</v>
      </c>
      <c r="G1465" s="2" t="s">
        <v>24</v>
      </c>
      <c r="H1465" s="2" t="s">
        <v>82</v>
      </c>
      <c r="I1465" s="2" t="s">
        <v>58</v>
      </c>
      <c r="J1465" s="4">
        <v>8</v>
      </c>
      <c r="K1465" s="5">
        <v>276.94</v>
      </c>
      <c r="L1465" s="6">
        <v>0</v>
      </c>
      <c r="M1465" s="5">
        <v>2215.52</v>
      </c>
      <c r="P1465" t="str">
        <f>TEXT(Tableau2[[#This Row],[Date]],"mmmm aaaa")</f>
        <v>novembre 2026</v>
      </c>
    </row>
    <row r="1466" spans="1:16">
      <c r="A1466" s="2" t="s">
        <v>1553</v>
      </c>
      <c r="B1466" s="3">
        <v>46266</v>
      </c>
      <c r="C1466" s="2" t="s">
        <v>47</v>
      </c>
      <c r="D1466" s="2" t="s">
        <v>15</v>
      </c>
      <c r="E1466" s="2" t="s">
        <v>34</v>
      </c>
      <c r="F1466" s="2" t="s">
        <v>17</v>
      </c>
      <c r="G1466" s="2" t="s">
        <v>24</v>
      </c>
      <c r="H1466" s="2" t="s">
        <v>82</v>
      </c>
      <c r="I1466" s="2" t="s">
        <v>26</v>
      </c>
      <c r="J1466" s="4">
        <v>2</v>
      </c>
      <c r="K1466" s="5">
        <v>318.48</v>
      </c>
      <c r="L1466" s="6">
        <v>0.15</v>
      </c>
      <c r="M1466" s="5">
        <v>541.41999999999996</v>
      </c>
      <c r="P1466" t="str">
        <f>TEXT(Tableau2[[#This Row],[Date]],"mmmm aaaa")</f>
        <v>septembre 2026</v>
      </c>
    </row>
    <row r="1467" spans="1:16">
      <c r="A1467" s="2" t="s">
        <v>1554</v>
      </c>
      <c r="B1467" s="3">
        <v>46262</v>
      </c>
      <c r="C1467" s="2" t="s">
        <v>63</v>
      </c>
      <c r="D1467" s="2" t="s">
        <v>33</v>
      </c>
      <c r="E1467" s="2" t="s">
        <v>16</v>
      </c>
      <c r="F1467" s="2" t="s">
        <v>28</v>
      </c>
      <c r="G1467" s="2" t="s">
        <v>48</v>
      </c>
      <c r="H1467" s="2" t="s">
        <v>77</v>
      </c>
      <c r="I1467" s="2" t="s">
        <v>41</v>
      </c>
      <c r="J1467" s="4">
        <v>6</v>
      </c>
      <c r="K1467" s="5">
        <v>77.739999999999995</v>
      </c>
      <c r="L1467" s="6">
        <v>0</v>
      </c>
      <c r="M1467" s="5">
        <v>466.44</v>
      </c>
      <c r="P1467" t="str">
        <f>TEXT(Tableau2[[#This Row],[Date]],"mmmm aaaa")</f>
        <v>août 2026</v>
      </c>
    </row>
    <row r="1468" spans="1:16">
      <c r="A1468" s="2" t="s">
        <v>1555</v>
      </c>
      <c r="B1468" s="3">
        <v>46028</v>
      </c>
      <c r="C1468" s="2" t="s">
        <v>52</v>
      </c>
      <c r="D1468" s="2" t="s">
        <v>53</v>
      </c>
      <c r="E1468" s="2" t="s">
        <v>16</v>
      </c>
      <c r="F1468" s="2" t="s">
        <v>28</v>
      </c>
      <c r="G1468" s="2" t="s">
        <v>18</v>
      </c>
      <c r="H1468" s="2" t="s">
        <v>143</v>
      </c>
      <c r="I1468" s="2" t="s">
        <v>50</v>
      </c>
      <c r="J1468" s="4">
        <v>1</v>
      </c>
      <c r="K1468" s="5">
        <v>62.77</v>
      </c>
      <c r="L1468" s="6">
        <v>0.1</v>
      </c>
      <c r="M1468" s="5">
        <v>56.49</v>
      </c>
      <c r="P1468" t="str">
        <f>TEXT(Tableau2[[#This Row],[Date]],"mmmm aaaa")</f>
        <v>janvier 2026</v>
      </c>
    </row>
    <row r="1469" spans="1:16">
      <c r="A1469" s="2" t="s">
        <v>1556</v>
      </c>
      <c r="B1469" s="3">
        <v>46130</v>
      </c>
      <c r="C1469" s="2" t="s">
        <v>63</v>
      </c>
      <c r="D1469" s="2" t="s">
        <v>33</v>
      </c>
      <c r="E1469" s="2" t="s">
        <v>16</v>
      </c>
      <c r="F1469" s="2" t="s">
        <v>17</v>
      </c>
      <c r="G1469" s="2" t="s">
        <v>48</v>
      </c>
      <c r="H1469" s="2" t="s">
        <v>49</v>
      </c>
      <c r="I1469" s="2" t="s">
        <v>50</v>
      </c>
      <c r="J1469" s="4">
        <v>3</v>
      </c>
      <c r="K1469" s="5">
        <v>59.71</v>
      </c>
      <c r="L1469" s="6">
        <v>0.15</v>
      </c>
      <c r="M1469" s="5">
        <v>152.26</v>
      </c>
      <c r="P1469" t="str">
        <f>TEXT(Tableau2[[#This Row],[Date]],"mmmm aaaa")</f>
        <v>avril 2026</v>
      </c>
    </row>
    <row r="1470" spans="1:16">
      <c r="A1470" s="2" t="s">
        <v>1557</v>
      </c>
      <c r="B1470" s="3">
        <v>46024</v>
      </c>
      <c r="C1470" s="2" t="s">
        <v>14</v>
      </c>
      <c r="D1470" s="2" t="s">
        <v>15</v>
      </c>
      <c r="E1470" s="2" t="s">
        <v>16</v>
      </c>
      <c r="F1470" s="2" t="s">
        <v>28</v>
      </c>
      <c r="G1470" s="2" t="s">
        <v>48</v>
      </c>
      <c r="H1470" s="2" t="s">
        <v>77</v>
      </c>
      <c r="I1470" s="2" t="s">
        <v>26</v>
      </c>
      <c r="J1470" s="4">
        <v>4</v>
      </c>
      <c r="K1470" s="5">
        <v>87.17</v>
      </c>
      <c r="L1470" s="6">
        <v>0</v>
      </c>
      <c r="M1470" s="5">
        <v>348.68</v>
      </c>
      <c r="P1470" t="str">
        <f>TEXT(Tableau2[[#This Row],[Date]],"mmmm aaaa")</f>
        <v>janvier 2026</v>
      </c>
    </row>
    <row r="1471" spans="1:16">
      <c r="A1471" s="2" t="s">
        <v>1558</v>
      </c>
      <c r="B1471" s="3">
        <v>46096</v>
      </c>
      <c r="C1471" s="2" t="s">
        <v>14</v>
      </c>
      <c r="D1471" s="2" t="s">
        <v>15</v>
      </c>
      <c r="E1471" s="2" t="s">
        <v>34</v>
      </c>
      <c r="F1471" s="2" t="s">
        <v>28</v>
      </c>
      <c r="G1471" s="2" t="s">
        <v>18</v>
      </c>
      <c r="H1471" s="2" t="s">
        <v>158</v>
      </c>
      <c r="I1471" s="2" t="s">
        <v>41</v>
      </c>
      <c r="J1471" s="4">
        <v>2</v>
      </c>
      <c r="K1471" s="5">
        <v>47.49</v>
      </c>
      <c r="L1471" s="6">
        <v>0</v>
      </c>
      <c r="M1471" s="5">
        <v>94.98</v>
      </c>
      <c r="P1471" t="str">
        <f>TEXT(Tableau2[[#This Row],[Date]],"mmmm aaaa")</f>
        <v>mars 2026</v>
      </c>
    </row>
    <row r="1472" spans="1:16">
      <c r="A1472" s="2" t="s">
        <v>1559</v>
      </c>
      <c r="B1472" s="3">
        <v>46186</v>
      </c>
      <c r="C1472" s="2" t="s">
        <v>47</v>
      </c>
      <c r="D1472" s="2" t="s">
        <v>15</v>
      </c>
      <c r="E1472" s="2" t="s">
        <v>38</v>
      </c>
      <c r="F1472" s="2" t="s">
        <v>28</v>
      </c>
      <c r="G1472" s="2" t="s">
        <v>39</v>
      </c>
      <c r="H1472" s="2" t="s">
        <v>95</v>
      </c>
      <c r="I1472" s="2" t="s">
        <v>20</v>
      </c>
      <c r="J1472" s="4">
        <v>5</v>
      </c>
      <c r="K1472" s="5">
        <v>98.28</v>
      </c>
      <c r="L1472" s="6">
        <v>0</v>
      </c>
      <c r="M1472" s="5">
        <v>491.4</v>
      </c>
      <c r="P1472" t="str">
        <f>TEXT(Tableau2[[#This Row],[Date]],"mmmm aaaa")</f>
        <v>juin 2026</v>
      </c>
    </row>
    <row r="1473" spans="1:16">
      <c r="A1473" s="2" t="s">
        <v>1560</v>
      </c>
      <c r="B1473" s="3">
        <v>46072</v>
      </c>
      <c r="C1473" s="2" t="s">
        <v>90</v>
      </c>
      <c r="D1473" s="2" t="s">
        <v>53</v>
      </c>
      <c r="E1473" s="2" t="s">
        <v>16</v>
      </c>
      <c r="F1473" s="2" t="s">
        <v>17</v>
      </c>
      <c r="G1473" s="2" t="s">
        <v>18</v>
      </c>
      <c r="H1473" s="2" t="s">
        <v>19</v>
      </c>
      <c r="I1473" s="2" t="s">
        <v>45</v>
      </c>
      <c r="J1473" s="4">
        <v>3</v>
      </c>
      <c r="K1473" s="5">
        <v>52.62</v>
      </c>
      <c r="L1473" s="6">
        <v>0</v>
      </c>
      <c r="M1473" s="5">
        <v>157.86000000000001</v>
      </c>
      <c r="P1473" t="str">
        <f>TEXT(Tableau2[[#This Row],[Date]],"mmmm aaaa")</f>
        <v>février 2026</v>
      </c>
    </row>
    <row r="1474" spans="1:16">
      <c r="A1474" s="2" t="s">
        <v>1561</v>
      </c>
      <c r="B1474" s="3">
        <v>46026</v>
      </c>
      <c r="C1474" s="2" t="s">
        <v>119</v>
      </c>
      <c r="D1474" s="2" t="s">
        <v>15</v>
      </c>
      <c r="E1474" s="2" t="s">
        <v>43</v>
      </c>
      <c r="F1474" s="2" t="s">
        <v>28</v>
      </c>
      <c r="G1474" s="2" t="s">
        <v>24</v>
      </c>
      <c r="H1474" s="2" t="s">
        <v>25</v>
      </c>
      <c r="I1474" s="2" t="s">
        <v>75</v>
      </c>
      <c r="J1474" s="4">
        <v>2</v>
      </c>
      <c r="K1474" s="5">
        <v>134.19</v>
      </c>
      <c r="L1474" s="6">
        <v>0.1</v>
      </c>
      <c r="M1474" s="5">
        <v>241.54</v>
      </c>
      <c r="P1474" t="str">
        <f>TEXT(Tableau2[[#This Row],[Date]],"mmmm aaaa")</f>
        <v>janvier 2026</v>
      </c>
    </row>
    <row r="1475" spans="1:16">
      <c r="A1475" s="2" t="s">
        <v>1562</v>
      </c>
      <c r="B1475" s="3">
        <v>46133</v>
      </c>
      <c r="C1475" s="2" t="s">
        <v>106</v>
      </c>
      <c r="D1475" s="2" t="s">
        <v>23</v>
      </c>
      <c r="E1475" s="2" t="s">
        <v>34</v>
      </c>
      <c r="F1475" s="2" t="s">
        <v>17</v>
      </c>
      <c r="G1475" s="2" t="s">
        <v>39</v>
      </c>
      <c r="H1475" s="2" t="s">
        <v>40</v>
      </c>
      <c r="I1475" s="2" t="s">
        <v>26</v>
      </c>
      <c r="J1475" s="4">
        <v>4</v>
      </c>
      <c r="K1475" s="5">
        <v>124.69</v>
      </c>
      <c r="L1475" s="6">
        <v>0.05</v>
      </c>
      <c r="M1475" s="5">
        <v>473.82</v>
      </c>
      <c r="P1475" t="str">
        <f>TEXT(Tableau2[[#This Row],[Date]],"mmmm aaaa")</f>
        <v>avril 2026</v>
      </c>
    </row>
    <row r="1476" spans="1:16">
      <c r="A1476" s="2" t="s">
        <v>1563</v>
      </c>
      <c r="B1476" s="3">
        <v>46160</v>
      </c>
      <c r="C1476" s="2" t="s">
        <v>22</v>
      </c>
      <c r="D1476" s="2" t="s">
        <v>23</v>
      </c>
      <c r="E1476" s="2" t="s">
        <v>43</v>
      </c>
      <c r="F1476" s="2" t="s">
        <v>28</v>
      </c>
      <c r="G1476" s="2" t="s">
        <v>18</v>
      </c>
      <c r="H1476" s="2" t="s">
        <v>19</v>
      </c>
      <c r="I1476" s="2" t="s">
        <v>26</v>
      </c>
      <c r="J1476" s="4">
        <v>2</v>
      </c>
      <c r="K1476" s="5">
        <v>52.66</v>
      </c>
      <c r="L1476" s="6">
        <v>0</v>
      </c>
      <c r="M1476" s="5">
        <v>105.32</v>
      </c>
      <c r="P1476" t="str">
        <f>TEXT(Tableau2[[#This Row],[Date]],"mmmm aaaa")</f>
        <v>mai 2026</v>
      </c>
    </row>
    <row r="1477" spans="1:16">
      <c r="A1477" s="2" t="s">
        <v>1564</v>
      </c>
      <c r="B1477" s="3">
        <v>46076</v>
      </c>
      <c r="C1477" s="2" t="s">
        <v>63</v>
      </c>
      <c r="D1477" s="2" t="s">
        <v>33</v>
      </c>
      <c r="E1477" s="2" t="s">
        <v>34</v>
      </c>
      <c r="F1477" s="2" t="s">
        <v>28</v>
      </c>
      <c r="G1477" s="2" t="s">
        <v>24</v>
      </c>
      <c r="H1477" s="2" t="s">
        <v>25</v>
      </c>
      <c r="I1477" s="2" t="s">
        <v>26</v>
      </c>
      <c r="J1477" s="4">
        <v>1</v>
      </c>
      <c r="K1477" s="5">
        <v>127.96</v>
      </c>
      <c r="L1477" s="6">
        <v>0</v>
      </c>
      <c r="M1477" s="5">
        <v>127.96</v>
      </c>
      <c r="P1477" t="str">
        <f>TEXT(Tableau2[[#This Row],[Date]],"mmmm aaaa")</f>
        <v>février 2026</v>
      </c>
    </row>
    <row r="1478" spans="1:16">
      <c r="A1478" s="2" t="s">
        <v>1565</v>
      </c>
      <c r="B1478" s="3">
        <v>46336</v>
      </c>
      <c r="C1478" s="2" t="s">
        <v>57</v>
      </c>
      <c r="D1478" s="2" t="s">
        <v>15</v>
      </c>
      <c r="E1478" s="2" t="s">
        <v>16</v>
      </c>
      <c r="F1478" s="2" t="s">
        <v>17</v>
      </c>
      <c r="G1478" s="2" t="s">
        <v>24</v>
      </c>
      <c r="H1478" s="2" t="s">
        <v>25</v>
      </c>
      <c r="I1478" s="2" t="s">
        <v>50</v>
      </c>
      <c r="J1478" s="4">
        <v>1</v>
      </c>
      <c r="K1478" s="5">
        <v>139.09</v>
      </c>
      <c r="L1478" s="6">
        <v>0</v>
      </c>
      <c r="M1478" s="5">
        <v>139.09</v>
      </c>
      <c r="P1478" t="str">
        <f>TEXT(Tableau2[[#This Row],[Date]],"mmmm aaaa")</f>
        <v>novembre 2026</v>
      </c>
    </row>
    <row r="1479" spans="1:16">
      <c r="A1479" s="2" t="s">
        <v>1566</v>
      </c>
      <c r="B1479" s="3">
        <v>46380</v>
      </c>
      <c r="C1479" s="2" t="s">
        <v>94</v>
      </c>
      <c r="D1479" s="2" t="s">
        <v>15</v>
      </c>
      <c r="E1479" s="2" t="s">
        <v>38</v>
      </c>
      <c r="F1479" s="2" t="s">
        <v>17</v>
      </c>
      <c r="G1479" s="2" t="s">
        <v>24</v>
      </c>
      <c r="H1479" s="2" t="s">
        <v>25</v>
      </c>
      <c r="I1479" s="2" t="s">
        <v>36</v>
      </c>
      <c r="J1479" s="4">
        <v>18</v>
      </c>
      <c r="K1479" s="5">
        <v>126.84</v>
      </c>
      <c r="L1479" s="6">
        <v>0</v>
      </c>
      <c r="M1479" s="5">
        <v>2283.12</v>
      </c>
      <c r="P1479" t="str">
        <f>TEXT(Tableau2[[#This Row],[Date]],"mmmm aaaa")</f>
        <v>décembre 2026</v>
      </c>
    </row>
    <row r="1480" spans="1:16">
      <c r="A1480" s="2" t="s">
        <v>1567</v>
      </c>
      <c r="B1480" s="3">
        <v>46264</v>
      </c>
      <c r="C1480" s="2" t="s">
        <v>22</v>
      </c>
      <c r="D1480" s="2" t="s">
        <v>23</v>
      </c>
      <c r="E1480" s="2" t="s">
        <v>16</v>
      </c>
      <c r="F1480" s="2" t="s">
        <v>28</v>
      </c>
      <c r="G1480" s="2" t="s">
        <v>24</v>
      </c>
      <c r="H1480" s="2" t="s">
        <v>61</v>
      </c>
      <c r="I1480" s="2" t="s">
        <v>58</v>
      </c>
      <c r="J1480" s="4">
        <v>10</v>
      </c>
      <c r="K1480" s="5">
        <v>247.68</v>
      </c>
      <c r="L1480" s="6">
        <v>0</v>
      </c>
      <c r="M1480" s="5">
        <v>2476.8000000000002</v>
      </c>
      <c r="P1480" t="str">
        <f>TEXT(Tableau2[[#This Row],[Date]],"mmmm aaaa")</f>
        <v>août 2026</v>
      </c>
    </row>
    <row r="1481" spans="1:16">
      <c r="A1481" s="2" t="s">
        <v>1568</v>
      </c>
      <c r="B1481" s="3">
        <v>46056</v>
      </c>
      <c r="C1481" s="2" t="s">
        <v>101</v>
      </c>
      <c r="D1481" s="2" t="s">
        <v>33</v>
      </c>
      <c r="E1481" s="2" t="s">
        <v>16</v>
      </c>
      <c r="F1481" s="2" t="s">
        <v>17</v>
      </c>
      <c r="G1481" s="2" t="s">
        <v>39</v>
      </c>
      <c r="H1481" s="2" t="s">
        <v>40</v>
      </c>
      <c r="I1481" s="2" t="s">
        <v>45</v>
      </c>
      <c r="J1481" s="4">
        <v>1</v>
      </c>
      <c r="K1481" s="5">
        <v>124.94</v>
      </c>
      <c r="L1481" s="6">
        <v>0</v>
      </c>
      <c r="M1481" s="5">
        <v>124.94</v>
      </c>
      <c r="P1481" t="str">
        <f>TEXT(Tableau2[[#This Row],[Date]],"mmmm aaaa")</f>
        <v>février 2026</v>
      </c>
    </row>
    <row r="1482" spans="1:16">
      <c r="A1482" s="2" t="s">
        <v>1569</v>
      </c>
      <c r="B1482" s="3">
        <v>46332</v>
      </c>
      <c r="C1482" s="2" t="s">
        <v>14</v>
      </c>
      <c r="D1482" s="2" t="s">
        <v>15</v>
      </c>
      <c r="E1482" s="2" t="s">
        <v>16</v>
      </c>
      <c r="F1482" s="2" t="s">
        <v>17</v>
      </c>
      <c r="G1482" s="2" t="s">
        <v>54</v>
      </c>
      <c r="H1482" s="2" t="s">
        <v>55</v>
      </c>
      <c r="I1482" s="2" t="s">
        <v>20</v>
      </c>
      <c r="J1482" s="4">
        <v>2</v>
      </c>
      <c r="K1482" s="5">
        <v>148.31</v>
      </c>
      <c r="L1482" s="6">
        <v>0.2</v>
      </c>
      <c r="M1482" s="5">
        <v>237.3</v>
      </c>
      <c r="P1482" t="str">
        <f>TEXT(Tableau2[[#This Row],[Date]],"mmmm aaaa")</f>
        <v>novembre 2026</v>
      </c>
    </row>
    <row r="1483" spans="1:16">
      <c r="A1483" s="2" t="s">
        <v>1570</v>
      </c>
      <c r="B1483" s="3">
        <v>46182</v>
      </c>
      <c r="C1483" s="2" t="s">
        <v>106</v>
      </c>
      <c r="D1483" s="2" t="s">
        <v>23</v>
      </c>
      <c r="E1483" s="2" t="s">
        <v>43</v>
      </c>
      <c r="F1483" s="2" t="s">
        <v>28</v>
      </c>
      <c r="G1483" s="2" t="s">
        <v>48</v>
      </c>
      <c r="H1483" s="2" t="s">
        <v>84</v>
      </c>
      <c r="I1483" s="2" t="s">
        <v>45</v>
      </c>
      <c r="J1483" s="4">
        <v>13</v>
      </c>
      <c r="K1483" s="5">
        <v>85.26</v>
      </c>
      <c r="L1483" s="6">
        <v>0</v>
      </c>
      <c r="M1483" s="5">
        <v>1108.3800000000001</v>
      </c>
      <c r="P1483" t="str">
        <f>TEXT(Tableau2[[#This Row],[Date]],"mmmm aaaa")</f>
        <v>juin 2026</v>
      </c>
    </row>
    <row r="1484" spans="1:16">
      <c r="A1484" s="2" t="s">
        <v>1571</v>
      </c>
      <c r="B1484" s="3">
        <v>46125</v>
      </c>
      <c r="C1484" s="2" t="s">
        <v>14</v>
      </c>
      <c r="D1484" s="2" t="s">
        <v>15</v>
      </c>
      <c r="E1484" s="2" t="s">
        <v>34</v>
      </c>
      <c r="F1484" s="2" t="s">
        <v>17</v>
      </c>
      <c r="G1484" s="2" t="s">
        <v>29</v>
      </c>
      <c r="H1484" s="2" t="s">
        <v>30</v>
      </c>
      <c r="I1484" s="2" t="s">
        <v>45</v>
      </c>
      <c r="J1484" s="4">
        <v>1</v>
      </c>
      <c r="K1484" s="5">
        <v>24.34</v>
      </c>
      <c r="L1484" s="6">
        <v>0</v>
      </c>
      <c r="M1484" s="5">
        <v>24.34</v>
      </c>
      <c r="P1484" t="str">
        <f>TEXT(Tableau2[[#This Row],[Date]],"mmmm aaaa")</f>
        <v>avril 2026</v>
      </c>
    </row>
    <row r="1485" spans="1:16">
      <c r="A1485" s="2" t="s">
        <v>1572</v>
      </c>
      <c r="B1485" s="3">
        <v>46118</v>
      </c>
      <c r="C1485" s="2" t="s">
        <v>57</v>
      </c>
      <c r="D1485" s="2" t="s">
        <v>15</v>
      </c>
      <c r="E1485" s="2" t="s">
        <v>43</v>
      </c>
      <c r="F1485" s="2" t="s">
        <v>17</v>
      </c>
      <c r="G1485" s="2" t="s">
        <v>48</v>
      </c>
      <c r="H1485" s="2" t="s">
        <v>84</v>
      </c>
      <c r="I1485" s="2" t="s">
        <v>20</v>
      </c>
      <c r="J1485" s="4">
        <v>5</v>
      </c>
      <c r="K1485" s="5">
        <v>87.89</v>
      </c>
      <c r="L1485" s="6">
        <v>0</v>
      </c>
      <c r="M1485" s="5">
        <v>439.45</v>
      </c>
      <c r="P1485" t="str">
        <f>TEXT(Tableau2[[#This Row],[Date]],"mmmm aaaa")</f>
        <v>avril 2026</v>
      </c>
    </row>
    <row r="1486" spans="1:16">
      <c r="A1486" s="2" t="s">
        <v>1573</v>
      </c>
      <c r="B1486" s="3">
        <v>46182</v>
      </c>
      <c r="C1486" s="2" t="s">
        <v>164</v>
      </c>
      <c r="D1486" s="2" t="s">
        <v>53</v>
      </c>
      <c r="E1486" s="2" t="s">
        <v>16</v>
      </c>
      <c r="F1486" s="2" t="s">
        <v>28</v>
      </c>
      <c r="G1486" s="2" t="s">
        <v>48</v>
      </c>
      <c r="H1486" s="2" t="s">
        <v>88</v>
      </c>
      <c r="I1486" s="2" t="s">
        <v>41</v>
      </c>
      <c r="J1486" s="4">
        <v>1</v>
      </c>
      <c r="K1486" s="5">
        <v>71.66</v>
      </c>
      <c r="L1486" s="6">
        <v>0</v>
      </c>
      <c r="M1486" s="5">
        <v>71.66</v>
      </c>
      <c r="P1486" t="str">
        <f>TEXT(Tableau2[[#This Row],[Date]],"mmmm aaaa")</f>
        <v>juin 2026</v>
      </c>
    </row>
    <row r="1487" spans="1:16">
      <c r="A1487" s="2" t="s">
        <v>1574</v>
      </c>
      <c r="B1487" s="3">
        <v>46091</v>
      </c>
      <c r="C1487" s="2" t="s">
        <v>160</v>
      </c>
      <c r="D1487" s="2" t="s">
        <v>33</v>
      </c>
      <c r="E1487" s="2" t="s">
        <v>16</v>
      </c>
      <c r="F1487" s="2" t="s">
        <v>28</v>
      </c>
      <c r="G1487" s="2" t="s">
        <v>48</v>
      </c>
      <c r="H1487" s="2" t="s">
        <v>84</v>
      </c>
      <c r="I1487" s="2" t="s">
        <v>50</v>
      </c>
      <c r="J1487" s="4">
        <v>5</v>
      </c>
      <c r="K1487" s="5">
        <v>93.38</v>
      </c>
      <c r="L1487" s="6">
        <v>0.3</v>
      </c>
      <c r="M1487" s="5">
        <v>326.83</v>
      </c>
      <c r="P1487" t="str">
        <f>TEXT(Tableau2[[#This Row],[Date]],"mmmm aaaa")</f>
        <v>mars 2026</v>
      </c>
    </row>
    <row r="1488" spans="1:16">
      <c r="A1488" s="2" t="s">
        <v>1575</v>
      </c>
      <c r="B1488" s="3">
        <v>46240</v>
      </c>
      <c r="C1488" s="2" t="s">
        <v>92</v>
      </c>
      <c r="D1488" s="2" t="s">
        <v>53</v>
      </c>
      <c r="E1488" s="2" t="s">
        <v>34</v>
      </c>
      <c r="F1488" s="2" t="s">
        <v>17</v>
      </c>
      <c r="G1488" s="2" t="s">
        <v>18</v>
      </c>
      <c r="H1488" s="2" t="s">
        <v>19</v>
      </c>
      <c r="I1488" s="2" t="s">
        <v>50</v>
      </c>
      <c r="J1488" s="4">
        <v>2</v>
      </c>
      <c r="K1488" s="5">
        <v>50.49</v>
      </c>
      <c r="L1488" s="6">
        <v>0</v>
      </c>
      <c r="M1488" s="5">
        <v>100.98</v>
      </c>
      <c r="P1488" t="str">
        <f>TEXT(Tableau2[[#This Row],[Date]],"mmmm aaaa")</f>
        <v>août 2026</v>
      </c>
    </row>
    <row r="1489" spans="1:16">
      <c r="A1489" s="2" t="s">
        <v>1576</v>
      </c>
      <c r="B1489" s="3">
        <v>46048</v>
      </c>
      <c r="C1489" s="2" t="s">
        <v>22</v>
      </c>
      <c r="D1489" s="2" t="s">
        <v>23</v>
      </c>
      <c r="E1489" s="2" t="s">
        <v>34</v>
      </c>
      <c r="F1489" s="2" t="s">
        <v>17</v>
      </c>
      <c r="G1489" s="2" t="s">
        <v>18</v>
      </c>
      <c r="H1489" s="2" t="s">
        <v>158</v>
      </c>
      <c r="I1489" s="2" t="s">
        <v>75</v>
      </c>
      <c r="J1489" s="4">
        <v>4</v>
      </c>
      <c r="K1489" s="5">
        <v>48.98</v>
      </c>
      <c r="L1489" s="6">
        <v>0.1</v>
      </c>
      <c r="M1489" s="5">
        <v>176.33</v>
      </c>
      <c r="P1489" t="str">
        <f>TEXT(Tableau2[[#This Row],[Date]],"mmmm aaaa")</f>
        <v>janvier 2026</v>
      </c>
    </row>
    <row r="1490" spans="1:16">
      <c r="A1490" s="2" t="s">
        <v>1577</v>
      </c>
      <c r="B1490" s="3">
        <v>46219</v>
      </c>
      <c r="C1490" s="2" t="s">
        <v>94</v>
      </c>
      <c r="D1490" s="2" t="s">
        <v>15</v>
      </c>
      <c r="E1490" s="2" t="s">
        <v>34</v>
      </c>
      <c r="F1490" s="2" t="s">
        <v>17</v>
      </c>
      <c r="G1490" s="2" t="s">
        <v>48</v>
      </c>
      <c r="H1490" s="2" t="s">
        <v>49</v>
      </c>
      <c r="I1490" s="2" t="s">
        <v>45</v>
      </c>
      <c r="J1490" s="4">
        <v>1</v>
      </c>
      <c r="K1490" s="5">
        <v>60.87</v>
      </c>
      <c r="L1490" s="6">
        <v>0</v>
      </c>
      <c r="M1490" s="5">
        <v>60.87</v>
      </c>
      <c r="P1490" t="str">
        <f>TEXT(Tableau2[[#This Row],[Date]],"mmmm aaaa")</f>
        <v>juillet 2026</v>
      </c>
    </row>
    <row r="1491" spans="1:16">
      <c r="A1491" s="2" t="s">
        <v>1578</v>
      </c>
      <c r="B1491" s="3">
        <v>46341</v>
      </c>
      <c r="C1491" s="2" t="s">
        <v>52</v>
      </c>
      <c r="D1491" s="2" t="s">
        <v>53</v>
      </c>
      <c r="E1491" s="2" t="s">
        <v>43</v>
      </c>
      <c r="F1491" s="2" t="s">
        <v>17</v>
      </c>
      <c r="G1491" s="2" t="s">
        <v>18</v>
      </c>
      <c r="H1491" s="2" t="s">
        <v>136</v>
      </c>
      <c r="I1491" s="2" t="s">
        <v>20</v>
      </c>
      <c r="J1491" s="4">
        <v>2</v>
      </c>
      <c r="K1491" s="5">
        <v>32.18</v>
      </c>
      <c r="L1491" s="6">
        <v>0.05</v>
      </c>
      <c r="M1491" s="5">
        <v>61.14</v>
      </c>
      <c r="P1491" t="str">
        <f>TEXT(Tableau2[[#This Row],[Date]],"mmmm aaaa")</f>
        <v>novembre 2026</v>
      </c>
    </row>
    <row r="1492" spans="1:16">
      <c r="A1492" s="2" t="s">
        <v>1579</v>
      </c>
      <c r="B1492" s="3">
        <v>46367</v>
      </c>
      <c r="C1492" s="2" t="s">
        <v>63</v>
      </c>
      <c r="D1492" s="2" t="s">
        <v>33</v>
      </c>
      <c r="E1492" s="2" t="s">
        <v>43</v>
      </c>
      <c r="F1492" s="2" t="s">
        <v>17</v>
      </c>
      <c r="G1492" s="2" t="s">
        <v>39</v>
      </c>
      <c r="H1492" s="2" t="s">
        <v>40</v>
      </c>
      <c r="I1492" s="2" t="s">
        <v>45</v>
      </c>
      <c r="J1492" s="4">
        <v>3</v>
      </c>
      <c r="K1492" s="5">
        <v>138.26</v>
      </c>
      <c r="L1492" s="6">
        <v>0.15</v>
      </c>
      <c r="M1492" s="5">
        <v>352.56</v>
      </c>
      <c r="P1492" t="str">
        <f>TEXT(Tableau2[[#This Row],[Date]],"mmmm aaaa")</f>
        <v>décembre 2026</v>
      </c>
    </row>
    <row r="1493" spans="1:16">
      <c r="A1493" s="2" t="s">
        <v>1580</v>
      </c>
      <c r="B1493" s="3">
        <v>46298</v>
      </c>
      <c r="C1493" s="2" t="s">
        <v>94</v>
      </c>
      <c r="D1493" s="2" t="s">
        <v>15</v>
      </c>
      <c r="E1493" s="2" t="s">
        <v>16</v>
      </c>
      <c r="F1493" s="2" t="s">
        <v>28</v>
      </c>
      <c r="G1493" s="2" t="s">
        <v>18</v>
      </c>
      <c r="H1493" s="2" t="s">
        <v>158</v>
      </c>
      <c r="I1493" s="2" t="s">
        <v>58</v>
      </c>
      <c r="J1493" s="4">
        <v>8</v>
      </c>
      <c r="K1493" s="5">
        <v>49.46</v>
      </c>
      <c r="L1493" s="6">
        <v>0</v>
      </c>
      <c r="M1493" s="5">
        <v>395.68</v>
      </c>
      <c r="P1493" t="str">
        <f>TEXT(Tableau2[[#This Row],[Date]],"mmmm aaaa")</f>
        <v>octobre 2026</v>
      </c>
    </row>
    <row r="1494" spans="1:16">
      <c r="A1494" s="2" t="s">
        <v>1581</v>
      </c>
      <c r="B1494" s="3">
        <v>46194</v>
      </c>
      <c r="C1494" s="2" t="s">
        <v>160</v>
      </c>
      <c r="D1494" s="2" t="s">
        <v>33</v>
      </c>
      <c r="E1494" s="2" t="s">
        <v>16</v>
      </c>
      <c r="F1494" s="2" t="s">
        <v>17</v>
      </c>
      <c r="G1494" s="2" t="s">
        <v>54</v>
      </c>
      <c r="H1494" s="2" t="s">
        <v>64</v>
      </c>
      <c r="I1494" s="2" t="s">
        <v>41</v>
      </c>
      <c r="J1494" s="4">
        <v>1</v>
      </c>
      <c r="K1494" s="5">
        <v>89.2</v>
      </c>
      <c r="L1494" s="6">
        <v>0.2</v>
      </c>
      <c r="M1494" s="5">
        <v>71.36</v>
      </c>
      <c r="P1494" t="str">
        <f>TEXT(Tableau2[[#This Row],[Date]],"mmmm aaaa")</f>
        <v>juin 2026</v>
      </c>
    </row>
    <row r="1495" spans="1:16">
      <c r="A1495" s="2" t="s">
        <v>1582</v>
      </c>
      <c r="B1495" s="3">
        <v>46153</v>
      </c>
      <c r="C1495" s="2" t="s">
        <v>106</v>
      </c>
      <c r="D1495" s="2" t="s">
        <v>23</v>
      </c>
      <c r="E1495" s="2" t="s">
        <v>16</v>
      </c>
      <c r="F1495" s="2" t="s">
        <v>17</v>
      </c>
      <c r="G1495" s="2" t="s">
        <v>48</v>
      </c>
      <c r="H1495" s="2" t="s">
        <v>77</v>
      </c>
      <c r="I1495" s="2" t="s">
        <v>50</v>
      </c>
      <c r="J1495" s="4">
        <v>1</v>
      </c>
      <c r="K1495" s="5">
        <v>81.52</v>
      </c>
      <c r="L1495" s="6">
        <v>0</v>
      </c>
      <c r="M1495" s="5">
        <v>81.52</v>
      </c>
      <c r="P1495" t="str">
        <f>TEXT(Tableau2[[#This Row],[Date]],"mmmm aaaa")</f>
        <v>mai 2026</v>
      </c>
    </row>
    <row r="1496" spans="1:16">
      <c r="A1496" s="2" t="s">
        <v>1583</v>
      </c>
      <c r="B1496" s="3">
        <v>46216</v>
      </c>
      <c r="C1496" s="2" t="s">
        <v>32</v>
      </c>
      <c r="D1496" s="2" t="s">
        <v>33</v>
      </c>
      <c r="E1496" s="2" t="s">
        <v>16</v>
      </c>
      <c r="F1496" s="2" t="s">
        <v>28</v>
      </c>
      <c r="G1496" s="2" t="s">
        <v>54</v>
      </c>
      <c r="H1496" s="2" t="s">
        <v>64</v>
      </c>
      <c r="I1496" s="2" t="s">
        <v>36</v>
      </c>
      <c r="J1496" s="4">
        <v>5</v>
      </c>
      <c r="K1496" s="5">
        <v>94.15</v>
      </c>
      <c r="L1496" s="6">
        <v>0</v>
      </c>
      <c r="M1496" s="5">
        <v>470.75</v>
      </c>
      <c r="P1496" t="str">
        <f>TEXT(Tableau2[[#This Row],[Date]],"mmmm aaaa")</f>
        <v>juillet 2026</v>
      </c>
    </row>
    <row r="1497" spans="1:16">
      <c r="A1497" s="2" t="s">
        <v>1584</v>
      </c>
      <c r="B1497" s="3">
        <v>46330</v>
      </c>
      <c r="C1497" s="2" t="s">
        <v>92</v>
      </c>
      <c r="D1497" s="2" t="s">
        <v>53</v>
      </c>
      <c r="E1497" s="2" t="s">
        <v>43</v>
      </c>
      <c r="F1497" s="2" t="s">
        <v>28</v>
      </c>
      <c r="G1497" s="2" t="s">
        <v>54</v>
      </c>
      <c r="H1497" s="2" t="s">
        <v>55</v>
      </c>
      <c r="I1497" s="2" t="s">
        <v>41</v>
      </c>
      <c r="J1497" s="4">
        <v>5</v>
      </c>
      <c r="K1497" s="5">
        <v>157.41999999999999</v>
      </c>
      <c r="L1497" s="6">
        <v>0</v>
      </c>
      <c r="M1497" s="5">
        <v>787.1</v>
      </c>
      <c r="P1497" t="str">
        <f>TEXT(Tableau2[[#This Row],[Date]],"mmmm aaaa")</f>
        <v>novembre 2026</v>
      </c>
    </row>
    <row r="1498" spans="1:16">
      <c r="A1498" s="2" t="s">
        <v>1585</v>
      </c>
      <c r="B1498" s="3">
        <v>46028</v>
      </c>
      <c r="C1498" s="2" t="s">
        <v>32</v>
      </c>
      <c r="D1498" s="2" t="s">
        <v>33</v>
      </c>
      <c r="E1498" s="2" t="s">
        <v>43</v>
      </c>
      <c r="F1498" s="2" t="s">
        <v>28</v>
      </c>
      <c r="G1498" s="2" t="s">
        <v>48</v>
      </c>
      <c r="H1498" s="2" t="s">
        <v>49</v>
      </c>
      <c r="I1498" s="2" t="s">
        <v>20</v>
      </c>
      <c r="J1498" s="4">
        <v>2</v>
      </c>
      <c r="K1498" s="5">
        <v>55.18</v>
      </c>
      <c r="L1498" s="6">
        <v>0.05</v>
      </c>
      <c r="M1498" s="5">
        <v>104.84</v>
      </c>
      <c r="P1498" t="str">
        <f>TEXT(Tableau2[[#This Row],[Date]],"mmmm aaaa")</f>
        <v>janvier 2026</v>
      </c>
    </row>
    <row r="1499" spans="1:16">
      <c r="A1499" s="2" t="s">
        <v>1586</v>
      </c>
      <c r="B1499" s="3">
        <v>46328</v>
      </c>
      <c r="C1499" s="2" t="s">
        <v>101</v>
      </c>
      <c r="D1499" s="2" t="s">
        <v>33</v>
      </c>
      <c r="E1499" s="2" t="s">
        <v>38</v>
      </c>
      <c r="F1499" s="2" t="s">
        <v>17</v>
      </c>
      <c r="G1499" s="2" t="s">
        <v>54</v>
      </c>
      <c r="H1499" s="2" t="s">
        <v>55</v>
      </c>
      <c r="I1499" s="2" t="s">
        <v>26</v>
      </c>
      <c r="J1499" s="4">
        <v>4</v>
      </c>
      <c r="K1499" s="5">
        <v>158.13999999999999</v>
      </c>
      <c r="L1499" s="6">
        <v>0</v>
      </c>
      <c r="M1499" s="5">
        <v>632.55999999999995</v>
      </c>
      <c r="P1499" t="str">
        <f>TEXT(Tableau2[[#This Row],[Date]],"mmmm aaaa")</f>
        <v>novembre 2026</v>
      </c>
    </row>
    <row r="1500" spans="1:16">
      <c r="A1500" s="2" t="s">
        <v>1587</v>
      </c>
      <c r="B1500" s="3">
        <v>46061</v>
      </c>
      <c r="C1500" s="2" t="s">
        <v>130</v>
      </c>
      <c r="D1500" s="2" t="s">
        <v>53</v>
      </c>
      <c r="E1500" s="2" t="s">
        <v>38</v>
      </c>
      <c r="F1500" s="2" t="s">
        <v>17</v>
      </c>
      <c r="G1500" s="2" t="s">
        <v>39</v>
      </c>
      <c r="H1500" s="2" t="s">
        <v>40</v>
      </c>
      <c r="I1500" s="2" t="s">
        <v>45</v>
      </c>
      <c r="J1500" s="4">
        <v>2</v>
      </c>
      <c r="K1500" s="5">
        <v>131.52000000000001</v>
      </c>
      <c r="L1500" s="6">
        <v>0</v>
      </c>
      <c r="M1500" s="5">
        <v>263.04000000000002</v>
      </c>
      <c r="P1500" t="str">
        <f>TEXT(Tableau2[[#This Row],[Date]],"mmmm aaaa")</f>
        <v>février 2026</v>
      </c>
    </row>
    <row r="1501" spans="1:16">
      <c r="A1501" s="2" t="s">
        <v>1588</v>
      </c>
      <c r="B1501" s="3">
        <v>46036</v>
      </c>
      <c r="C1501" s="2" t="s">
        <v>164</v>
      </c>
      <c r="D1501" s="2" t="s">
        <v>53</v>
      </c>
      <c r="E1501" s="2" t="s">
        <v>38</v>
      </c>
      <c r="F1501" s="2" t="s">
        <v>17</v>
      </c>
      <c r="G1501" s="2" t="s">
        <v>29</v>
      </c>
      <c r="H1501" s="2" t="s">
        <v>140</v>
      </c>
      <c r="I1501" s="2" t="s">
        <v>20</v>
      </c>
      <c r="J1501" s="4">
        <v>1</v>
      </c>
      <c r="K1501" s="5">
        <v>50.89</v>
      </c>
      <c r="L1501" s="6">
        <v>0</v>
      </c>
      <c r="M1501" s="5">
        <v>50.89</v>
      </c>
      <c r="P1501" t="str">
        <f>TEXT(Tableau2[[#This Row],[Date]],"mmmm aaaa")</f>
        <v>janvier 2026</v>
      </c>
    </row>
    <row r="1502" spans="1:16">
      <c r="A1502" s="2" t="s">
        <v>1589</v>
      </c>
      <c r="B1502" s="3">
        <v>46184</v>
      </c>
      <c r="C1502" s="2" t="s">
        <v>32</v>
      </c>
      <c r="D1502" s="2" t="s">
        <v>33</v>
      </c>
      <c r="E1502" s="2" t="s">
        <v>34</v>
      </c>
      <c r="F1502" s="2" t="s">
        <v>17</v>
      </c>
      <c r="G1502" s="2" t="s">
        <v>39</v>
      </c>
      <c r="H1502" s="2" t="s">
        <v>40</v>
      </c>
      <c r="I1502" s="2" t="s">
        <v>41</v>
      </c>
      <c r="J1502" s="4">
        <v>1</v>
      </c>
      <c r="K1502" s="5">
        <v>128.02000000000001</v>
      </c>
      <c r="L1502" s="6">
        <v>0</v>
      </c>
      <c r="M1502" s="5">
        <v>128.02000000000001</v>
      </c>
      <c r="P1502" t="str">
        <f>TEXT(Tableau2[[#This Row],[Date]],"mmmm aaaa")</f>
        <v>juin 2026</v>
      </c>
    </row>
    <row r="1503" spans="1:16">
      <c r="A1503" s="2" t="s">
        <v>1590</v>
      </c>
      <c r="B1503" s="3">
        <v>46120</v>
      </c>
      <c r="C1503" s="2" t="s">
        <v>22</v>
      </c>
      <c r="D1503" s="2" t="s">
        <v>23</v>
      </c>
      <c r="E1503" s="2" t="s">
        <v>38</v>
      </c>
      <c r="F1503" s="2" t="s">
        <v>28</v>
      </c>
      <c r="G1503" s="2" t="s">
        <v>48</v>
      </c>
      <c r="H1503" s="2" t="s">
        <v>77</v>
      </c>
      <c r="I1503" s="2" t="s">
        <v>58</v>
      </c>
      <c r="J1503" s="4">
        <v>4</v>
      </c>
      <c r="K1503" s="5">
        <v>82.04</v>
      </c>
      <c r="L1503" s="6">
        <v>0.05</v>
      </c>
      <c r="M1503" s="5">
        <v>311.75</v>
      </c>
      <c r="P1503" t="str">
        <f>TEXT(Tableau2[[#This Row],[Date]],"mmmm aaaa")</f>
        <v>avril 2026</v>
      </c>
    </row>
    <row r="1504" spans="1:16">
      <c r="A1504" s="2" t="s">
        <v>1591</v>
      </c>
      <c r="B1504" s="3">
        <v>46089</v>
      </c>
      <c r="C1504" s="2" t="s">
        <v>169</v>
      </c>
      <c r="D1504" s="2" t="s">
        <v>33</v>
      </c>
      <c r="E1504" s="2" t="s">
        <v>16</v>
      </c>
      <c r="F1504" s="2" t="s">
        <v>28</v>
      </c>
      <c r="G1504" s="2" t="s">
        <v>54</v>
      </c>
      <c r="H1504" s="2" t="s">
        <v>55</v>
      </c>
      <c r="I1504" s="2" t="s">
        <v>41</v>
      </c>
      <c r="J1504" s="4">
        <v>1</v>
      </c>
      <c r="K1504" s="5">
        <v>156.03</v>
      </c>
      <c r="L1504" s="6">
        <v>0</v>
      </c>
      <c r="M1504" s="5">
        <v>156.03</v>
      </c>
      <c r="P1504" t="str">
        <f>TEXT(Tableau2[[#This Row],[Date]],"mmmm aaaa")</f>
        <v>mars 2026</v>
      </c>
    </row>
    <row r="1505" spans="1:16">
      <c r="A1505" s="2" t="s">
        <v>1592</v>
      </c>
      <c r="B1505" s="3">
        <v>46366</v>
      </c>
      <c r="C1505" s="2" t="s">
        <v>57</v>
      </c>
      <c r="D1505" s="2" t="s">
        <v>15</v>
      </c>
      <c r="E1505" s="2" t="s">
        <v>34</v>
      </c>
      <c r="F1505" s="2" t="s">
        <v>28</v>
      </c>
      <c r="G1505" s="2" t="s">
        <v>48</v>
      </c>
      <c r="H1505" s="2" t="s">
        <v>88</v>
      </c>
      <c r="I1505" s="2" t="s">
        <v>50</v>
      </c>
      <c r="J1505" s="4">
        <v>5</v>
      </c>
      <c r="K1505" s="5">
        <v>70.02</v>
      </c>
      <c r="L1505" s="6">
        <v>0</v>
      </c>
      <c r="M1505" s="5">
        <v>350.1</v>
      </c>
      <c r="P1505" t="str">
        <f>TEXT(Tableau2[[#This Row],[Date]],"mmmm aaaa")</f>
        <v>décembre 2026</v>
      </c>
    </row>
    <row r="1506" spans="1:16">
      <c r="A1506" s="2" t="s">
        <v>1593</v>
      </c>
      <c r="B1506" s="3">
        <v>46122</v>
      </c>
      <c r="C1506" s="2" t="s">
        <v>63</v>
      </c>
      <c r="D1506" s="2" t="s">
        <v>33</v>
      </c>
      <c r="E1506" s="2" t="s">
        <v>16</v>
      </c>
      <c r="F1506" s="2" t="s">
        <v>28</v>
      </c>
      <c r="G1506" s="2" t="s">
        <v>54</v>
      </c>
      <c r="H1506" s="2" t="s">
        <v>64</v>
      </c>
      <c r="I1506" s="2" t="s">
        <v>45</v>
      </c>
      <c r="J1506" s="4">
        <v>3</v>
      </c>
      <c r="K1506" s="5">
        <v>95.07</v>
      </c>
      <c r="L1506" s="6">
        <v>0</v>
      </c>
      <c r="M1506" s="5">
        <v>285.20999999999998</v>
      </c>
      <c r="P1506" t="str">
        <f>TEXT(Tableau2[[#This Row],[Date]],"mmmm aaaa")</f>
        <v>avril 2026</v>
      </c>
    </row>
    <row r="1507" spans="1:16">
      <c r="A1507" s="2" t="s">
        <v>1594</v>
      </c>
      <c r="B1507" s="3">
        <v>46383</v>
      </c>
      <c r="C1507" s="2" t="s">
        <v>63</v>
      </c>
      <c r="D1507" s="2" t="s">
        <v>33</v>
      </c>
      <c r="E1507" s="2" t="s">
        <v>16</v>
      </c>
      <c r="F1507" s="2" t="s">
        <v>28</v>
      </c>
      <c r="G1507" s="2" t="s">
        <v>54</v>
      </c>
      <c r="H1507" s="2" t="s">
        <v>64</v>
      </c>
      <c r="I1507" s="2" t="s">
        <v>58</v>
      </c>
      <c r="J1507" s="4">
        <v>18</v>
      </c>
      <c r="K1507" s="5">
        <v>82.35</v>
      </c>
      <c r="L1507" s="6">
        <v>0</v>
      </c>
      <c r="M1507" s="5">
        <v>1482.3</v>
      </c>
      <c r="P1507" t="str">
        <f>TEXT(Tableau2[[#This Row],[Date]],"mmmm aaaa")</f>
        <v>décembre 2026</v>
      </c>
    </row>
    <row r="1508" spans="1:16">
      <c r="A1508" s="2" t="s">
        <v>1595</v>
      </c>
      <c r="B1508" s="3">
        <v>46223</v>
      </c>
      <c r="C1508" s="2" t="s">
        <v>156</v>
      </c>
      <c r="D1508" s="2" t="s">
        <v>15</v>
      </c>
      <c r="E1508" s="2" t="s">
        <v>16</v>
      </c>
      <c r="F1508" s="2" t="s">
        <v>17</v>
      </c>
      <c r="G1508" s="2" t="s">
        <v>24</v>
      </c>
      <c r="H1508" s="2" t="s">
        <v>61</v>
      </c>
      <c r="I1508" s="2" t="s">
        <v>36</v>
      </c>
      <c r="J1508" s="4">
        <v>1</v>
      </c>
      <c r="K1508" s="5">
        <v>236.38</v>
      </c>
      <c r="L1508" s="6">
        <v>0.05</v>
      </c>
      <c r="M1508" s="5">
        <v>224.56</v>
      </c>
      <c r="P1508" t="str">
        <f>TEXT(Tableau2[[#This Row],[Date]],"mmmm aaaa")</f>
        <v>juillet 2026</v>
      </c>
    </row>
    <row r="1509" spans="1:16">
      <c r="A1509" s="2" t="s">
        <v>1596</v>
      </c>
      <c r="B1509" s="3">
        <v>46039</v>
      </c>
      <c r="C1509" s="2" t="s">
        <v>130</v>
      </c>
      <c r="D1509" s="2" t="s">
        <v>53</v>
      </c>
      <c r="E1509" s="2" t="s">
        <v>43</v>
      </c>
      <c r="F1509" s="2" t="s">
        <v>17</v>
      </c>
      <c r="G1509" s="2" t="s">
        <v>39</v>
      </c>
      <c r="H1509" s="2" t="s">
        <v>95</v>
      </c>
      <c r="I1509" s="2" t="s">
        <v>58</v>
      </c>
      <c r="J1509" s="4">
        <v>4</v>
      </c>
      <c r="K1509" s="5">
        <v>101.02</v>
      </c>
      <c r="L1509" s="6">
        <v>0</v>
      </c>
      <c r="M1509" s="5">
        <v>404.08</v>
      </c>
      <c r="P1509" t="str">
        <f>TEXT(Tableau2[[#This Row],[Date]],"mmmm aaaa")</f>
        <v>janvier 2026</v>
      </c>
    </row>
    <row r="1510" spans="1:16">
      <c r="A1510" s="2" t="s">
        <v>1597</v>
      </c>
      <c r="B1510" s="3">
        <v>46274</v>
      </c>
      <c r="C1510" s="2" t="s">
        <v>116</v>
      </c>
      <c r="D1510" s="2" t="s">
        <v>15</v>
      </c>
      <c r="E1510" s="2" t="s">
        <v>43</v>
      </c>
      <c r="F1510" s="2" t="s">
        <v>17</v>
      </c>
      <c r="G1510" s="2" t="s">
        <v>48</v>
      </c>
      <c r="H1510" s="2" t="s">
        <v>77</v>
      </c>
      <c r="I1510" s="2" t="s">
        <v>41</v>
      </c>
      <c r="J1510" s="4">
        <v>4</v>
      </c>
      <c r="K1510" s="5">
        <v>83.35</v>
      </c>
      <c r="L1510" s="6">
        <v>0</v>
      </c>
      <c r="M1510" s="5">
        <v>333.4</v>
      </c>
      <c r="P1510" t="str">
        <f>TEXT(Tableau2[[#This Row],[Date]],"mmmm aaaa")</f>
        <v>septembre 2026</v>
      </c>
    </row>
    <row r="1511" spans="1:16">
      <c r="A1511" s="2" t="s">
        <v>1598</v>
      </c>
      <c r="B1511" s="3">
        <v>46377</v>
      </c>
      <c r="C1511" s="2" t="s">
        <v>66</v>
      </c>
      <c r="D1511" s="2" t="s">
        <v>23</v>
      </c>
      <c r="E1511" s="2" t="s">
        <v>16</v>
      </c>
      <c r="F1511" s="2" t="s">
        <v>17</v>
      </c>
      <c r="G1511" s="2" t="s">
        <v>18</v>
      </c>
      <c r="H1511" s="2" t="s">
        <v>136</v>
      </c>
      <c r="I1511" s="2" t="s">
        <v>58</v>
      </c>
      <c r="J1511" s="4">
        <v>18</v>
      </c>
      <c r="K1511" s="5">
        <v>30.84</v>
      </c>
      <c r="L1511" s="6">
        <v>0.05</v>
      </c>
      <c r="M1511" s="5">
        <v>527.36</v>
      </c>
      <c r="P1511" t="str">
        <f>TEXT(Tableau2[[#This Row],[Date]],"mmmm aaaa")</f>
        <v>décembre 2026</v>
      </c>
    </row>
    <row r="1512" spans="1:16">
      <c r="A1512" s="2" t="s">
        <v>1599</v>
      </c>
      <c r="B1512" s="3">
        <v>46039</v>
      </c>
      <c r="C1512" s="2" t="s">
        <v>66</v>
      </c>
      <c r="D1512" s="2" t="s">
        <v>23</v>
      </c>
      <c r="E1512" s="2" t="s">
        <v>38</v>
      </c>
      <c r="F1512" s="2" t="s">
        <v>28</v>
      </c>
      <c r="G1512" s="2" t="s">
        <v>48</v>
      </c>
      <c r="H1512" s="2" t="s">
        <v>84</v>
      </c>
      <c r="I1512" s="2" t="s">
        <v>26</v>
      </c>
      <c r="J1512" s="4">
        <v>1</v>
      </c>
      <c r="K1512" s="5">
        <v>92.07</v>
      </c>
      <c r="L1512" s="6">
        <v>0.1</v>
      </c>
      <c r="M1512" s="5">
        <v>82.86</v>
      </c>
      <c r="P1512" t="str">
        <f>TEXT(Tableau2[[#This Row],[Date]],"mmmm aaaa")</f>
        <v>janvier 2026</v>
      </c>
    </row>
    <row r="1513" spans="1:16">
      <c r="A1513" s="2" t="s">
        <v>1600</v>
      </c>
      <c r="B1513" s="3">
        <v>46198</v>
      </c>
      <c r="C1513" s="2" t="s">
        <v>86</v>
      </c>
      <c r="D1513" s="2" t="s">
        <v>53</v>
      </c>
      <c r="E1513" s="2" t="s">
        <v>16</v>
      </c>
      <c r="F1513" s="2" t="s">
        <v>17</v>
      </c>
      <c r="G1513" s="2" t="s">
        <v>29</v>
      </c>
      <c r="H1513" s="2" t="s">
        <v>99</v>
      </c>
      <c r="I1513" s="2" t="s">
        <v>26</v>
      </c>
      <c r="J1513" s="4">
        <v>1</v>
      </c>
      <c r="K1513" s="5">
        <v>61.03</v>
      </c>
      <c r="L1513" s="6">
        <v>0</v>
      </c>
      <c r="M1513" s="5">
        <v>61.03</v>
      </c>
      <c r="P1513" t="str">
        <f>TEXT(Tableau2[[#This Row],[Date]],"mmmm aaaa")</f>
        <v>juin 2026</v>
      </c>
    </row>
    <row r="1514" spans="1:16">
      <c r="A1514" s="2" t="s">
        <v>1601</v>
      </c>
      <c r="B1514" s="3">
        <v>46123</v>
      </c>
      <c r="C1514" s="2" t="s">
        <v>14</v>
      </c>
      <c r="D1514" s="2" t="s">
        <v>15</v>
      </c>
      <c r="E1514" s="2" t="s">
        <v>34</v>
      </c>
      <c r="F1514" s="2" t="s">
        <v>17</v>
      </c>
      <c r="G1514" s="2" t="s">
        <v>39</v>
      </c>
      <c r="H1514" s="2" t="s">
        <v>95</v>
      </c>
      <c r="I1514" s="2" t="s">
        <v>26</v>
      </c>
      <c r="J1514" s="4">
        <v>3</v>
      </c>
      <c r="K1514" s="5">
        <v>93.18</v>
      </c>
      <c r="L1514" s="6">
        <v>0</v>
      </c>
      <c r="M1514" s="5">
        <v>279.54000000000002</v>
      </c>
      <c r="P1514" t="str">
        <f>TEXT(Tableau2[[#This Row],[Date]],"mmmm aaaa")</f>
        <v>avril 2026</v>
      </c>
    </row>
    <row r="1515" spans="1:16">
      <c r="A1515" s="2" t="s">
        <v>1602</v>
      </c>
      <c r="B1515" s="3">
        <v>46140</v>
      </c>
      <c r="C1515" s="2" t="s">
        <v>116</v>
      </c>
      <c r="D1515" s="2" t="s">
        <v>15</v>
      </c>
      <c r="E1515" s="2" t="s">
        <v>34</v>
      </c>
      <c r="F1515" s="2" t="s">
        <v>28</v>
      </c>
      <c r="G1515" s="2" t="s">
        <v>29</v>
      </c>
      <c r="H1515" s="2" t="s">
        <v>99</v>
      </c>
      <c r="I1515" s="2" t="s">
        <v>75</v>
      </c>
      <c r="J1515" s="4">
        <v>3</v>
      </c>
      <c r="K1515" s="5">
        <v>62.85</v>
      </c>
      <c r="L1515" s="6">
        <v>0</v>
      </c>
      <c r="M1515" s="5">
        <v>188.55</v>
      </c>
      <c r="P1515" t="str">
        <f>TEXT(Tableau2[[#This Row],[Date]],"mmmm aaaa")</f>
        <v>avril 2026</v>
      </c>
    </row>
    <row r="1516" spans="1:16">
      <c r="A1516" s="2" t="s">
        <v>1603</v>
      </c>
      <c r="B1516" s="3">
        <v>46207</v>
      </c>
      <c r="C1516" s="2" t="s">
        <v>63</v>
      </c>
      <c r="D1516" s="2" t="s">
        <v>33</v>
      </c>
      <c r="E1516" s="2" t="s">
        <v>43</v>
      </c>
      <c r="F1516" s="2" t="s">
        <v>17</v>
      </c>
      <c r="G1516" s="2" t="s">
        <v>39</v>
      </c>
      <c r="H1516" s="2" t="s">
        <v>71</v>
      </c>
      <c r="I1516" s="2" t="s">
        <v>50</v>
      </c>
      <c r="J1516" s="4">
        <v>1</v>
      </c>
      <c r="K1516" s="5">
        <v>122.34</v>
      </c>
      <c r="L1516" s="6">
        <v>0</v>
      </c>
      <c r="M1516" s="5">
        <v>122.34</v>
      </c>
      <c r="P1516" t="str">
        <f>TEXT(Tableau2[[#This Row],[Date]],"mmmm aaaa")</f>
        <v>juillet 2026</v>
      </c>
    </row>
    <row r="1517" spans="1:16">
      <c r="A1517" s="2" t="s">
        <v>1604</v>
      </c>
      <c r="B1517" s="3">
        <v>46367</v>
      </c>
      <c r="C1517" s="2" t="s">
        <v>90</v>
      </c>
      <c r="D1517" s="2" t="s">
        <v>53</v>
      </c>
      <c r="E1517" s="2" t="s">
        <v>38</v>
      </c>
      <c r="F1517" s="2" t="s">
        <v>17</v>
      </c>
      <c r="G1517" s="2" t="s">
        <v>24</v>
      </c>
      <c r="H1517" s="2" t="s">
        <v>35</v>
      </c>
      <c r="I1517" s="2" t="s">
        <v>58</v>
      </c>
      <c r="J1517" s="4">
        <v>5</v>
      </c>
      <c r="K1517" s="5">
        <v>178.9</v>
      </c>
      <c r="L1517" s="6">
        <v>0.05</v>
      </c>
      <c r="M1517" s="5">
        <v>849.77</v>
      </c>
      <c r="P1517" t="str">
        <f>TEXT(Tableau2[[#This Row],[Date]],"mmmm aaaa")</f>
        <v>décembre 2026</v>
      </c>
    </row>
    <row r="1518" spans="1:16">
      <c r="A1518" s="2" t="s">
        <v>1605</v>
      </c>
      <c r="B1518" s="3">
        <v>46117</v>
      </c>
      <c r="C1518" s="2" t="s">
        <v>14</v>
      </c>
      <c r="D1518" s="2" t="s">
        <v>15</v>
      </c>
      <c r="E1518" s="2" t="s">
        <v>16</v>
      </c>
      <c r="F1518" s="2" t="s">
        <v>17</v>
      </c>
      <c r="G1518" s="2" t="s">
        <v>24</v>
      </c>
      <c r="H1518" s="2" t="s">
        <v>25</v>
      </c>
      <c r="I1518" s="2" t="s">
        <v>45</v>
      </c>
      <c r="J1518" s="4">
        <v>2</v>
      </c>
      <c r="K1518" s="5">
        <v>132.27000000000001</v>
      </c>
      <c r="L1518" s="6">
        <v>0</v>
      </c>
      <c r="M1518" s="5">
        <v>264.54000000000002</v>
      </c>
      <c r="P1518" t="str">
        <f>TEXT(Tableau2[[#This Row],[Date]],"mmmm aaaa")</f>
        <v>avril 2026</v>
      </c>
    </row>
    <row r="1519" spans="1:16">
      <c r="A1519" s="2" t="s">
        <v>1606</v>
      </c>
      <c r="B1519" s="3">
        <v>46087</v>
      </c>
      <c r="C1519" s="2" t="s">
        <v>32</v>
      </c>
      <c r="D1519" s="2" t="s">
        <v>33</v>
      </c>
      <c r="E1519" s="2" t="s">
        <v>34</v>
      </c>
      <c r="F1519" s="2" t="s">
        <v>17</v>
      </c>
      <c r="G1519" s="2" t="s">
        <v>54</v>
      </c>
      <c r="H1519" s="2" t="s">
        <v>55</v>
      </c>
      <c r="I1519" s="2" t="s">
        <v>45</v>
      </c>
      <c r="J1519" s="4">
        <v>2</v>
      </c>
      <c r="K1519" s="5">
        <v>171.39</v>
      </c>
      <c r="L1519" s="6">
        <v>0.15</v>
      </c>
      <c r="M1519" s="5">
        <v>291.36</v>
      </c>
      <c r="P1519" t="str">
        <f>TEXT(Tableau2[[#This Row],[Date]],"mmmm aaaa")</f>
        <v>mars 2026</v>
      </c>
    </row>
    <row r="1520" spans="1:16">
      <c r="A1520" s="2" t="s">
        <v>1607</v>
      </c>
      <c r="B1520" s="3">
        <v>46260</v>
      </c>
      <c r="C1520" s="2" t="s">
        <v>116</v>
      </c>
      <c r="D1520" s="2" t="s">
        <v>15</v>
      </c>
      <c r="E1520" s="2" t="s">
        <v>16</v>
      </c>
      <c r="F1520" s="2" t="s">
        <v>17</v>
      </c>
      <c r="G1520" s="2" t="s">
        <v>54</v>
      </c>
      <c r="H1520" s="2" t="s">
        <v>102</v>
      </c>
      <c r="I1520" s="2" t="s">
        <v>36</v>
      </c>
      <c r="J1520" s="4">
        <v>1</v>
      </c>
      <c r="K1520" s="5">
        <v>225.23</v>
      </c>
      <c r="L1520" s="6">
        <v>0</v>
      </c>
      <c r="M1520" s="5">
        <v>225.23</v>
      </c>
      <c r="P1520" t="str">
        <f>TEXT(Tableau2[[#This Row],[Date]],"mmmm aaaa")</f>
        <v>août 2026</v>
      </c>
    </row>
    <row r="1521" spans="1:16">
      <c r="A1521" s="2" t="s">
        <v>1608</v>
      </c>
      <c r="B1521" s="3">
        <v>46131</v>
      </c>
      <c r="C1521" s="2" t="s">
        <v>14</v>
      </c>
      <c r="D1521" s="2" t="s">
        <v>15</v>
      </c>
      <c r="E1521" s="2" t="s">
        <v>16</v>
      </c>
      <c r="F1521" s="2" t="s">
        <v>28</v>
      </c>
      <c r="G1521" s="2" t="s">
        <v>24</v>
      </c>
      <c r="H1521" s="2" t="s">
        <v>35</v>
      </c>
      <c r="I1521" s="2" t="s">
        <v>20</v>
      </c>
      <c r="J1521" s="4">
        <v>2</v>
      </c>
      <c r="K1521" s="5">
        <v>177.46</v>
      </c>
      <c r="L1521" s="6">
        <v>0</v>
      </c>
      <c r="M1521" s="5">
        <v>354.92</v>
      </c>
      <c r="P1521" t="str">
        <f>TEXT(Tableau2[[#This Row],[Date]],"mmmm aaaa")</f>
        <v>avril 2026</v>
      </c>
    </row>
    <row r="1522" spans="1:16">
      <c r="A1522" s="2" t="s">
        <v>1609</v>
      </c>
      <c r="B1522" s="3">
        <v>46381</v>
      </c>
      <c r="C1522" s="2" t="s">
        <v>86</v>
      </c>
      <c r="D1522" s="2" t="s">
        <v>53</v>
      </c>
      <c r="E1522" s="2" t="s">
        <v>34</v>
      </c>
      <c r="F1522" s="2" t="s">
        <v>17</v>
      </c>
      <c r="G1522" s="2" t="s">
        <v>18</v>
      </c>
      <c r="H1522" s="2" t="s">
        <v>136</v>
      </c>
      <c r="I1522" s="2" t="s">
        <v>41</v>
      </c>
      <c r="J1522" s="4">
        <v>5</v>
      </c>
      <c r="K1522" s="5">
        <v>30.17</v>
      </c>
      <c r="L1522" s="6">
        <v>0.3</v>
      </c>
      <c r="M1522" s="5">
        <v>105.6</v>
      </c>
      <c r="P1522" t="str">
        <f>TEXT(Tableau2[[#This Row],[Date]],"mmmm aaaa")</f>
        <v>décembre 2026</v>
      </c>
    </row>
    <row r="1523" spans="1:16">
      <c r="A1523" s="2" t="s">
        <v>1610</v>
      </c>
      <c r="B1523" s="3">
        <v>46047</v>
      </c>
      <c r="C1523" s="2" t="s">
        <v>101</v>
      </c>
      <c r="D1523" s="2" t="s">
        <v>33</v>
      </c>
      <c r="E1523" s="2" t="s">
        <v>16</v>
      </c>
      <c r="F1523" s="2" t="s">
        <v>17</v>
      </c>
      <c r="G1523" s="2" t="s">
        <v>24</v>
      </c>
      <c r="H1523" s="2" t="s">
        <v>25</v>
      </c>
      <c r="I1523" s="2" t="s">
        <v>20</v>
      </c>
      <c r="J1523" s="4">
        <v>3</v>
      </c>
      <c r="K1523" s="5">
        <v>124.14</v>
      </c>
      <c r="L1523" s="6">
        <v>0</v>
      </c>
      <c r="M1523" s="5">
        <v>372.42</v>
      </c>
      <c r="P1523" t="str">
        <f>TEXT(Tableau2[[#This Row],[Date]],"mmmm aaaa")</f>
        <v>janvier 2026</v>
      </c>
    </row>
    <row r="1524" spans="1:16">
      <c r="A1524" s="2" t="s">
        <v>1611</v>
      </c>
      <c r="B1524" s="3">
        <v>46141</v>
      </c>
      <c r="C1524" s="2" t="s">
        <v>86</v>
      </c>
      <c r="D1524" s="2" t="s">
        <v>53</v>
      </c>
      <c r="E1524" s="2" t="s">
        <v>43</v>
      </c>
      <c r="F1524" s="2" t="s">
        <v>28</v>
      </c>
      <c r="G1524" s="2" t="s">
        <v>24</v>
      </c>
      <c r="H1524" s="2" t="s">
        <v>82</v>
      </c>
      <c r="I1524" s="2" t="s">
        <v>36</v>
      </c>
      <c r="J1524" s="4">
        <v>3</v>
      </c>
      <c r="K1524" s="5">
        <v>301.14999999999998</v>
      </c>
      <c r="L1524" s="6">
        <v>0.1</v>
      </c>
      <c r="M1524" s="5">
        <v>813.1</v>
      </c>
      <c r="P1524" t="str">
        <f>TEXT(Tableau2[[#This Row],[Date]],"mmmm aaaa")</f>
        <v>avril 2026</v>
      </c>
    </row>
    <row r="1525" spans="1:16">
      <c r="A1525" s="2" t="s">
        <v>1612</v>
      </c>
      <c r="B1525" s="3">
        <v>46266</v>
      </c>
      <c r="C1525" s="2" t="s">
        <v>164</v>
      </c>
      <c r="D1525" s="2" t="s">
        <v>53</v>
      </c>
      <c r="E1525" s="2" t="s">
        <v>34</v>
      </c>
      <c r="F1525" s="2" t="s">
        <v>28</v>
      </c>
      <c r="G1525" s="2" t="s">
        <v>18</v>
      </c>
      <c r="H1525" s="2" t="s">
        <v>143</v>
      </c>
      <c r="I1525" s="2" t="s">
        <v>41</v>
      </c>
      <c r="J1525" s="4">
        <v>6</v>
      </c>
      <c r="K1525" s="5">
        <v>73.209999999999994</v>
      </c>
      <c r="L1525" s="6">
        <v>0</v>
      </c>
      <c r="M1525" s="5">
        <v>439.26</v>
      </c>
      <c r="P1525" t="str">
        <f>TEXT(Tableau2[[#This Row],[Date]],"mmmm aaaa")</f>
        <v>septembre 2026</v>
      </c>
    </row>
    <row r="1526" spans="1:16">
      <c r="A1526" s="2" t="s">
        <v>1613</v>
      </c>
      <c r="B1526" s="3">
        <v>46160</v>
      </c>
      <c r="C1526" s="2" t="s">
        <v>106</v>
      </c>
      <c r="D1526" s="2" t="s">
        <v>23</v>
      </c>
      <c r="E1526" s="2" t="s">
        <v>38</v>
      </c>
      <c r="F1526" s="2" t="s">
        <v>28</v>
      </c>
      <c r="G1526" s="2" t="s">
        <v>39</v>
      </c>
      <c r="H1526" s="2" t="s">
        <v>95</v>
      </c>
      <c r="I1526" s="2" t="s">
        <v>20</v>
      </c>
      <c r="J1526" s="4">
        <v>4</v>
      </c>
      <c r="K1526" s="5">
        <v>94.4</v>
      </c>
      <c r="L1526" s="6">
        <v>0</v>
      </c>
      <c r="M1526" s="5">
        <v>377.6</v>
      </c>
      <c r="P1526" t="str">
        <f>TEXT(Tableau2[[#This Row],[Date]],"mmmm aaaa")</f>
        <v>mai 2026</v>
      </c>
    </row>
    <row r="1527" spans="1:16">
      <c r="A1527" s="2" t="s">
        <v>1614</v>
      </c>
      <c r="B1527" s="3">
        <v>46111</v>
      </c>
      <c r="C1527" s="2" t="s">
        <v>92</v>
      </c>
      <c r="D1527" s="2" t="s">
        <v>53</v>
      </c>
      <c r="E1527" s="2" t="s">
        <v>16</v>
      </c>
      <c r="F1527" s="2" t="s">
        <v>28</v>
      </c>
      <c r="G1527" s="2" t="s">
        <v>48</v>
      </c>
      <c r="H1527" s="2" t="s">
        <v>84</v>
      </c>
      <c r="I1527" s="2" t="s">
        <v>20</v>
      </c>
      <c r="J1527" s="4">
        <v>5</v>
      </c>
      <c r="K1527" s="5">
        <v>93.82</v>
      </c>
      <c r="L1527" s="6">
        <v>0</v>
      </c>
      <c r="M1527" s="5">
        <v>469.1</v>
      </c>
      <c r="P1527" t="str">
        <f>TEXT(Tableau2[[#This Row],[Date]],"mmmm aaaa")</f>
        <v>mars 2026</v>
      </c>
    </row>
    <row r="1528" spans="1:16">
      <c r="A1528" s="2" t="s">
        <v>1615</v>
      </c>
      <c r="B1528" s="3">
        <v>46091</v>
      </c>
      <c r="C1528" s="2" t="s">
        <v>116</v>
      </c>
      <c r="D1528" s="2" t="s">
        <v>15</v>
      </c>
      <c r="E1528" s="2" t="s">
        <v>38</v>
      </c>
      <c r="F1528" s="2" t="s">
        <v>28</v>
      </c>
      <c r="G1528" s="2" t="s">
        <v>18</v>
      </c>
      <c r="H1528" s="2" t="s">
        <v>143</v>
      </c>
      <c r="I1528" s="2" t="s">
        <v>26</v>
      </c>
      <c r="J1528" s="4">
        <v>4</v>
      </c>
      <c r="K1528" s="5">
        <v>72.27</v>
      </c>
      <c r="L1528" s="6">
        <v>0</v>
      </c>
      <c r="M1528" s="5">
        <v>289.08</v>
      </c>
      <c r="P1528" t="str">
        <f>TEXT(Tableau2[[#This Row],[Date]],"mmmm aaaa")</f>
        <v>mars 2026</v>
      </c>
    </row>
    <row r="1529" spans="1:16">
      <c r="A1529" s="2" t="s">
        <v>1616</v>
      </c>
      <c r="B1529" s="3">
        <v>46025</v>
      </c>
      <c r="C1529" s="2" t="s">
        <v>123</v>
      </c>
      <c r="D1529" s="2" t="s">
        <v>53</v>
      </c>
      <c r="E1529" s="2" t="s">
        <v>43</v>
      </c>
      <c r="F1529" s="2" t="s">
        <v>28</v>
      </c>
      <c r="G1529" s="2" t="s">
        <v>18</v>
      </c>
      <c r="H1529" s="2" t="s">
        <v>136</v>
      </c>
      <c r="I1529" s="2" t="s">
        <v>41</v>
      </c>
      <c r="J1529" s="4">
        <v>1</v>
      </c>
      <c r="K1529" s="5">
        <v>33.14</v>
      </c>
      <c r="L1529" s="6">
        <v>0</v>
      </c>
      <c r="M1529" s="5">
        <v>33.14</v>
      </c>
      <c r="P1529" t="str">
        <f>TEXT(Tableau2[[#This Row],[Date]],"mmmm aaaa")</f>
        <v>janvier 2026</v>
      </c>
    </row>
    <row r="1530" spans="1:16">
      <c r="A1530" s="2" t="s">
        <v>1617</v>
      </c>
      <c r="B1530" s="3">
        <v>46320</v>
      </c>
      <c r="C1530" s="2" t="s">
        <v>106</v>
      </c>
      <c r="D1530" s="2" t="s">
        <v>23</v>
      </c>
      <c r="E1530" s="2" t="s">
        <v>16</v>
      </c>
      <c r="F1530" s="2" t="s">
        <v>28</v>
      </c>
      <c r="G1530" s="2" t="s">
        <v>39</v>
      </c>
      <c r="H1530" s="2" t="s">
        <v>71</v>
      </c>
      <c r="I1530" s="2" t="s">
        <v>20</v>
      </c>
      <c r="J1530" s="4">
        <v>2</v>
      </c>
      <c r="K1530" s="5">
        <v>115.15</v>
      </c>
      <c r="L1530" s="6">
        <v>0</v>
      </c>
      <c r="M1530" s="5">
        <v>230.3</v>
      </c>
      <c r="P1530" t="str">
        <f>TEXT(Tableau2[[#This Row],[Date]],"mmmm aaaa")</f>
        <v>octobre 2026</v>
      </c>
    </row>
    <row r="1531" spans="1:16">
      <c r="A1531" s="2" t="s">
        <v>1618</v>
      </c>
      <c r="B1531" s="3">
        <v>46167</v>
      </c>
      <c r="C1531" s="2" t="s">
        <v>66</v>
      </c>
      <c r="D1531" s="2" t="s">
        <v>23</v>
      </c>
      <c r="E1531" s="2" t="s">
        <v>16</v>
      </c>
      <c r="F1531" s="2" t="s">
        <v>17</v>
      </c>
      <c r="G1531" s="2" t="s">
        <v>54</v>
      </c>
      <c r="H1531" s="2" t="s">
        <v>55</v>
      </c>
      <c r="I1531" s="2" t="s">
        <v>58</v>
      </c>
      <c r="J1531" s="4">
        <v>1</v>
      </c>
      <c r="K1531" s="5">
        <v>155.19999999999999</v>
      </c>
      <c r="L1531" s="6">
        <v>0</v>
      </c>
      <c r="M1531" s="5">
        <v>155.19999999999999</v>
      </c>
      <c r="P1531" t="str">
        <f>TEXT(Tableau2[[#This Row],[Date]],"mmmm aaaa")</f>
        <v>mai 2026</v>
      </c>
    </row>
    <row r="1532" spans="1:16">
      <c r="A1532" s="2" t="s">
        <v>1619</v>
      </c>
      <c r="B1532" s="3">
        <v>46298</v>
      </c>
      <c r="C1532" s="2" t="s">
        <v>57</v>
      </c>
      <c r="D1532" s="2" t="s">
        <v>15</v>
      </c>
      <c r="E1532" s="2" t="s">
        <v>16</v>
      </c>
      <c r="F1532" s="2" t="s">
        <v>17</v>
      </c>
      <c r="G1532" s="2" t="s">
        <v>39</v>
      </c>
      <c r="H1532" s="2" t="s">
        <v>95</v>
      </c>
      <c r="I1532" s="2" t="s">
        <v>20</v>
      </c>
      <c r="J1532" s="4">
        <v>6</v>
      </c>
      <c r="K1532" s="5">
        <v>100.67</v>
      </c>
      <c r="L1532" s="6">
        <v>0</v>
      </c>
      <c r="M1532" s="5">
        <v>604.02</v>
      </c>
      <c r="P1532" t="str">
        <f>TEXT(Tableau2[[#This Row],[Date]],"mmmm aaaa")</f>
        <v>octobre 2026</v>
      </c>
    </row>
    <row r="1533" spans="1:16">
      <c r="A1533" s="2" t="s">
        <v>1620</v>
      </c>
      <c r="B1533" s="3">
        <v>46358</v>
      </c>
      <c r="C1533" s="2" t="s">
        <v>92</v>
      </c>
      <c r="D1533" s="2" t="s">
        <v>53</v>
      </c>
      <c r="E1533" s="2" t="s">
        <v>34</v>
      </c>
      <c r="F1533" s="2" t="s">
        <v>28</v>
      </c>
      <c r="G1533" s="2" t="s">
        <v>29</v>
      </c>
      <c r="H1533" s="2" t="s">
        <v>140</v>
      </c>
      <c r="I1533" s="2" t="s">
        <v>36</v>
      </c>
      <c r="J1533" s="4">
        <v>1</v>
      </c>
      <c r="K1533" s="5">
        <v>45.85</v>
      </c>
      <c r="L1533" s="6">
        <v>0</v>
      </c>
      <c r="M1533" s="5">
        <v>45.85</v>
      </c>
      <c r="P1533" t="str">
        <f>TEXT(Tableau2[[#This Row],[Date]],"mmmm aaaa")</f>
        <v>décembre 2026</v>
      </c>
    </row>
    <row r="1534" spans="1:16">
      <c r="A1534" s="2" t="s">
        <v>1621</v>
      </c>
      <c r="B1534" s="3">
        <v>46236</v>
      </c>
      <c r="C1534" s="2" t="s">
        <v>86</v>
      </c>
      <c r="D1534" s="2" t="s">
        <v>53</v>
      </c>
      <c r="E1534" s="2" t="s">
        <v>16</v>
      </c>
      <c r="F1534" s="2" t="s">
        <v>28</v>
      </c>
      <c r="G1534" s="2" t="s">
        <v>39</v>
      </c>
      <c r="H1534" s="2" t="s">
        <v>95</v>
      </c>
      <c r="I1534" s="2" t="s">
        <v>45</v>
      </c>
      <c r="J1534" s="4">
        <v>8</v>
      </c>
      <c r="K1534" s="5">
        <v>97.16</v>
      </c>
      <c r="L1534" s="6">
        <v>0.05</v>
      </c>
      <c r="M1534" s="5">
        <v>738.42</v>
      </c>
      <c r="P1534" t="str">
        <f>TEXT(Tableau2[[#This Row],[Date]],"mmmm aaaa")</f>
        <v>août 2026</v>
      </c>
    </row>
    <row r="1535" spans="1:16">
      <c r="A1535" s="2" t="s">
        <v>1622</v>
      </c>
      <c r="B1535" s="3">
        <v>46182</v>
      </c>
      <c r="C1535" s="2" t="s">
        <v>130</v>
      </c>
      <c r="D1535" s="2" t="s">
        <v>53</v>
      </c>
      <c r="E1535" s="2" t="s">
        <v>34</v>
      </c>
      <c r="F1535" s="2" t="s">
        <v>28</v>
      </c>
      <c r="G1535" s="2" t="s">
        <v>24</v>
      </c>
      <c r="H1535" s="2" t="s">
        <v>61</v>
      </c>
      <c r="I1535" s="2" t="s">
        <v>50</v>
      </c>
      <c r="J1535" s="4">
        <v>1</v>
      </c>
      <c r="K1535" s="5">
        <v>237.08</v>
      </c>
      <c r="L1535" s="6">
        <v>0.15</v>
      </c>
      <c r="M1535" s="5">
        <v>201.52</v>
      </c>
      <c r="P1535" t="str">
        <f>TEXT(Tableau2[[#This Row],[Date]],"mmmm aaaa")</f>
        <v>juin 2026</v>
      </c>
    </row>
    <row r="1536" spans="1:16">
      <c r="A1536" s="2" t="s">
        <v>1623</v>
      </c>
      <c r="B1536" s="3">
        <v>46284</v>
      </c>
      <c r="C1536" s="2" t="s">
        <v>22</v>
      </c>
      <c r="D1536" s="2" t="s">
        <v>23</v>
      </c>
      <c r="E1536" s="2" t="s">
        <v>34</v>
      </c>
      <c r="F1536" s="2" t="s">
        <v>28</v>
      </c>
      <c r="G1536" s="2" t="s">
        <v>54</v>
      </c>
      <c r="H1536" s="2" t="s">
        <v>55</v>
      </c>
      <c r="I1536" s="2" t="s">
        <v>41</v>
      </c>
      <c r="J1536" s="4">
        <v>5</v>
      </c>
      <c r="K1536" s="5">
        <v>158.94999999999999</v>
      </c>
      <c r="L1536" s="6">
        <v>0</v>
      </c>
      <c r="M1536" s="5">
        <v>794.75</v>
      </c>
      <c r="P1536" t="str">
        <f>TEXT(Tableau2[[#This Row],[Date]],"mmmm aaaa")</f>
        <v>septembre 2026</v>
      </c>
    </row>
    <row r="1537" spans="1:16">
      <c r="A1537" s="2" t="s">
        <v>1624</v>
      </c>
      <c r="B1537" s="3">
        <v>46105</v>
      </c>
      <c r="C1537" s="2" t="s">
        <v>32</v>
      </c>
      <c r="D1537" s="2" t="s">
        <v>33</v>
      </c>
      <c r="E1537" s="2" t="s">
        <v>16</v>
      </c>
      <c r="F1537" s="2" t="s">
        <v>17</v>
      </c>
      <c r="G1537" s="2" t="s">
        <v>29</v>
      </c>
      <c r="H1537" s="2" t="s">
        <v>99</v>
      </c>
      <c r="I1537" s="2" t="s">
        <v>50</v>
      </c>
      <c r="J1537" s="4">
        <v>2</v>
      </c>
      <c r="K1537" s="5">
        <v>61.13</v>
      </c>
      <c r="L1537" s="6">
        <v>0</v>
      </c>
      <c r="M1537" s="5">
        <v>122.26</v>
      </c>
      <c r="P1537" t="str">
        <f>TEXT(Tableau2[[#This Row],[Date]],"mmmm aaaa")</f>
        <v>mars 2026</v>
      </c>
    </row>
    <row r="1538" spans="1:16">
      <c r="A1538" s="2" t="s">
        <v>1625</v>
      </c>
      <c r="B1538" s="3">
        <v>46247</v>
      </c>
      <c r="C1538" s="2" t="s">
        <v>14</v>
      </c>
      <c r="D1538" s="2" t="s">
        <v>15</v>
      </c>
      <c r="E1538" s="2" t="s">
        <v>38</v>
      </c>
      <c r="F1538" s="2" t="s">
        <v>17</v>
      </c>
      <c r="G1538" s="2" t="s">
        <v>39</v>
      </c>
      <c r="H1538" s="2" t="s">
        <v>71</v>
      </c>
      <c r="I1538" s="2" t="s">
        <v>58</v>
      </c>
      <c r="J1538" s="4">
        <v>10</v>
      </c>
      <c r="K1538" s="5">
        <v>115.92</v>
      </c>
      <c r="L1538" s="6">
        <v>0</v>
      </c>
      <c r="M1538" s="5">
        <v>1159.2</v>
      </c>
      <c r="P1538" t="str">
        <f>TEXT(Tableau2[[#This Row],[Date]],"mmmm aaaa")</f>
        <v>août 2026</v>
      </c>
    </row>
    <row r="1539" spans="1:16">
      <c r="A1539" s="2" t="s">
        <v>1626</v>
      </c>
      <c r="B1539" s="3">
        <v>46148</v>
      </c>
      <c r="C1539" s="2" t="s">
        <v>178</v>
      </c>
      <c r="D1539" s="2" t="s">
        <v>15</v>
      </c>
      <c r="E1539" s="2" t="s">
        <v>16</v>
      </c>
      <c r="F1539" s="2" t="s">
        <v>17</v>
      </c>
      <c r="G1539" s="2" t="s">
        <v>24</v>
      </c>
      <c r="H1539" s="2" t="s">
        <v>25</v>
      </c>
      <c r="I1539" s="2" t="s">
        <v>75</v>
      </c>
      <c r="J1539" s="4">
        <v>1</v>
      </c>
      <c r="K1539" s="5">
        <v>119.66</v>
      </c>
      <c r="L1539" s="6">
        <v>0.1</v>
      </c>
      <c r="M1539" s="5">
        <v>107.69</v>
      </c>
      <c r="P1539" t="str">
        <f>TEXT(Tableau2[[#This Row],[Date]],"mmmm aaaa")</f>
        <v>mai 2026</v>
      </c>
    </row>
    <row r="1540" spans="1:16">
      <c r="A1540" s="2" t="s">
        <v>1627</v>
      </c>
      <c r="B1540" s="3">
        <v>46121</v>
      </c>
      <c r="C1540" s="2" t="s">
        <v>164</v>
      </c>
      <c r="D1540" s="2" t="s">
        <v>53</v>
      </c>
      <c r="E1540" s="2" t="s">
        <v>34</v>
      </c>
      <c r="F1540" s="2" t="s">
        <v>17</v>
      </c>
      <c r="G1540" s="2" t="s">
        <v>18</v>
      </c>
      <c r="H1540" s="2" t="s">
        <v>143</v>
      </c>
      <c r="I1540" s="2" t="s">
        <v>36</v>
      </c>
      <c r="J1540" s="4">
        <v>16</v>
      </c>
      <c r="K1540" s="5">
        <v>66.55</v>
      </c>
      <c r="L1540" s="6">
        <v>0.05</v>
      </c>
      <c r="M1540" s="5">
        <v>1011.56</v>
      </c>
      <c r="P1540" t="str">
        <f>TEXT(Tableau2[[#This Row],[Date]],"mmmm aaaa")</f>
        <v>avril 2026</v>
      </c>
    </row>
    <row r="1541" spans="1:16">
      <c r="A1541" s="2" t="s">
        <v>1628</v>
      </c>
      <c r="B1541" s="3">
        <v>46323</v>
      </c>
      <c r="C1541" s="2" t="s">
        <v>101</v>
      </c>
      <c r="D1541" s="2" t="s">
        <v>33</v>
      </c>
      <c r="E1541" s="2" t="s">
        <v>34</v>
      </c>
      <c r="F1541" s="2" t="s">
        <v>28</v>
      </c>
      <c r="G1541" s="2" t="s">
        <v>18</v>
      </c>
      <c r="H1541" s="2" t="s">
        <v>158</v>
      </c>
      <c r="I1541" s="2" t="s">
        <v>41</v>
      </c>
      <c r="J1541" s="4">
        <v>14</v>
      </c>
      <c r="K1541" s="5">
        <v>47.37</v>
      </c>
      <c r="L1541" s="6">
        <v>0.05</v>
      </c>
      <c r="M1541" s="5">
        <v>630.02</v>
      </c>
      <c r="P1541" t="str">
        <f>TEXT(Tableau2[[#This Row],[Date]],"mmmm aaaa")</f>
        <v>octobre 2026</v>
      </c>
    </row>
    <row r="1542" spans="1:16">
      <c r="A1542" s="2" t="s">
        <v>1629</v>
      </c>
      <c r="B1542" s="3">
        <v>46354</v>
      </c>
      <c r="C1542" s="2" t="s">
        <v>63</v>
      </c>
      <c r="D1542" s="2" t="s">
        <v>33</v>
      </c>
      <c r="E1542" s="2" t="s">
        <v>34</v>
      </c>
      <c r="F1542" s="2" t="s">
        <v>17</v>
      </c>
      <c r="G1542" s="2" t="s">
        <v>24</v>
      </c>
      <c r="H1542" s="2" t="s">
        <v>82</v>
      </c>
      <c r="I1542" s="2" t="s">
        <v>41</v>
      </c>
      <c r="J1542" s="4">
        <v>1</v>
      </c>
      <c r="K1542" s="5">
        <v>296.32</v>
      </c>
      <c r="L1542" s="6">
        <v>0</v>
      </c>
      <c r="M1542" s="5">
        <v>296.32</v>
      </c>
      <c r="P1542" t="str">
        <f>TEXT(Tableau2[[#This Row],[Date]],"mmmm aaaa")</f>
        <v>novembre 2026</v>
      </c>
    </row>
    <row r="1543" spans="1:16">
      <c r="A1543" s="2" t="s">
        <v>1630</v>
      </c>
      <c r="B1543" s="3">
        <v>46296</v>
      </c>
      <c r="C1543" s="2" t="s">
        <v>63</v>
      </c>
      <c r="D1543" s="2" t="s">
        <v>33</v>
      </c>
      <c r="E1543" s="2" t="s">
        <v>16</v>
      </c>
      <c r="F1543" s="2" t="s">
        <v>28</v>
      </c>
      <c r="G1543" s="2" t="s">
        <v>29</v>
      </c>
      <c r="H1543" s="2" t="s">
        <v>44</v>
      </c>
      <c r="I1543" s="2" t="s">
        <v>50</v>
      </c>
      <c r="J1543" s="4">
        <v>5</v>
      </c>
      <c r="K1543" s="5">
        <v>40.159999999999997</v>
      </c>
      <c r="L1543" s="6">
        <v>0</v>
      </c>
      <c r="M1543" s="5">
        <v>200.8</v>
      </c>
      <c r="P1543" t="str">
        <f>TEXT(Tableau2[[#This Row],[Date]],"mmmm aaaa")</f>
        <v>octobre 2026</v>
      </c>
    </row>
    <row r="1544" spans="1:16">
      <c r="A1544" s="2" t="s">
        <v>1631</v>
      </c>
      <c r="B1544" s="3">
        <v>46280</v>
      </c>
      <c r="C1544" s="2" t="s">
        <v>151</v>
      </c>
      <c r="D1544" s="2" t="s">
        <v>15</v>
      </c>
      <c r="E1544" s="2" t="s">
        <v>43</v>
      </c>
      <c r="F1544" s="2" t="s">
        <v>28</v>
      </c>
      <c r="G1544" s="2" t="s">
        <v>24</v>
      </c>
      <c r="H1544" s="2" t="s">
        <v>61</v>
      </c>
      <c r="I1544" s="2" t="s">
        <v>20</v>
      </c>
      <c r="J1544" s="4">
        <v>3</v>
      </c>
      <c r="K1544" s="5">
        <v>220.47</v>
      </c>
      <c r="L1544" s="6">
        <v>0</v>
      </c>
      <c r="M1544" s="5">
        <v>661.41</v>
      </c>
      <c r="P1544" t="str">
        <f>TEXT(Tableau2[[#This Row],[Date]],"mmmm aaaa")</f>
        <v>septembre 2026</v>
      </c>
    </row>
    <row r="1545" spans="1:16">
      <c r="A1545" s="2" t="s">
        <v>1632</v>
      </c>
      <c r="B1545" s="3">
        <v>46298</v>
      </c>
      <c r="C1545" s="2" t="s">
        <v>63</v>
      </c>
      <c r="D1545" s="2" t="s">
        <v>33</v>
      </c>
      <c r="E1545" s="2" t="s">
        <v>43</v>
      </c>
      <c r="F1545" s="2" t="s">
        <v>17</v>
      </c>
      <c r="G1545" s="2" t="s">
        <v>24</v>
      </c>
      <c r="H1545" s="2" t="s">
        <v>35</v>
      </c>
      <c r="I1545" s="2" t="s">
        <v>58</v>
      </c>
      <c r="J1545" s="4">
        <v>4</v>
      </c>
      <c r="K1545" s="5">
        <v>174.49</v>
      </c>
      <c r="L1545" s="6">
        <v>0</v>
      </c>
      <c r="M1545" s="5">
        <v>697.96</v>
      </c>
      <c r="P1545" t="str">
        <f>TEXT(Tableau2[[#This Row],[Date]],"mmmm aaaa")</f>
        <v>octobre 2026</v>
      </c>
    </row>
    <row r="1546" spans="1:16">
      <c r="A1546" s="2" t="s">
        <v>1633</v>
      </c>
      <c r="B1546" s="3">
        <v>46097</v>
      </c>
      <c r="C1546" s="2" t="s">
        <v>156</v>
      </c>
      <c r="D1546" s="2" t="s">
        <v>15</v>
      </c>
      <c r="E1546" s="2" t="s">
        <v>34</v>
      </c>
      <c r="F1546" s="2" t="s">
        <v>17</v>
      </c>
      <c r="G1546" s="2" t="s">
        <v>54</v>
      </c>
      <c r="H1546" s="2" t="s">
        <v>102</v>
      </c>
      <c r="I1546" s="2" t="s">
        <v>20</v>
      </c>
      <c r="J1546" s="4">
        <v>10</v>
      </c>
      <c r="K1546" s="5">
        <v>225.74</v>
      </c>
      <c r="L1546" s="6">
        <v>0</v>
      </c>
      <c r="M1546" s="5">
        <v>2257.4</v>
      </c>
      <c r="P1546" t="str">
        <f>TEXT(Tableau2[[#This Row],[Date]],"mmmm aaaa")</f>
        <v>mars 2026</v>
      </c>
    </row>
    <row r="1547" spans="1:16">
      <c r="A1547" s="2" t="s">
        <v>1634</v>
      </c>
      <c r="B1547" s="3">
        <v>46224</v>
      </c>
      <c r="C1547" s="2" t="s">
        <v>86</v>
      </c>
      <c r="D1547" s="2" t="s">
        <v>53</v>
      </c>
      <c r="E1547" s="2" t="s">
        <v>43</v>
      </c>
      <c r="F1547" s="2" t="s">
        <v>28</v>
      </c>
      <c r="G1547" s="2" t="s">
        <v>48</v>
      </c>
      <c r="H1547" s="2" t="s">
        <v>77</v>
      </c>
      <c r="I1547" s="2" t="s">
        <v>26</v>
      </c>
      <c r="J1547" s="4">
        <v>12</v>
      </c>
      <c r="K1547" s="5">
        <v>79.569999999999993</v>
      </c>
      <c r="L1547" s="6">
        <v>0</v>
      </c>
      <c r="M1547" s="5">
        <v>954.84</v>
      </c>
      <c r="P1547" t="str">
        <f>TEXT(Tableau2[[#This Row],[Date]],"mmmm aaaa")</f>
        <v>juillet 2026</v>
      </c>
    </row>
    <row r="1548" spans="1:16">
      <c r="A1548" s="2" t="s">
        <v>1635</v>
      </c>
      <c r="B1548" s="3">
        <v>46111</v>
      </c>
      <c r="C1548" s="2" t="s">
        <v>63</v>
      </c>
      <c r="D1548" s="2" t="s">
        <v>33</v>
      </c>
      <c r="E1548" s="2" t="s">
        <v>16</v>
      </c>
      <c r="F1548" s="2" t="s">
        <v>28</v>
      </c>
      <c r="G1548" s="2" t="s">
        <v>54</v>
      </c>
      <c r="H1548" s="2" t="s">
        <v>64</v>
      </c>
      <c r="I1548" s="2" t="s">
        <v>20</v>
      </c>
      <c r="J1548" s="4">
        <v>6</v>
      </c>
      <c r="K1548" s="5">
        <v>94.6</v>
      </c>
      <c r="L1548" s="6">
        <v>0.05</v>
      </c>
      <c r="M1548" s="5">
        <v>539.22</v>
      </c>
      <c r="P1548" t="str">
        <f>TEXT(Tableau2[[#This Row],[Date]],"mmmm aaaa")</f>
        <v>mars 2026</v>
      </c>
    </row>
    <row r="1549" spans="1:16">
      <c r="A1549" s="2" t="s">
        <v>1636</v>
      </c>
      <c r="B1549" s="3">
        <v>46297</v>
      </c>
      <c r="C1549" s="2" t="s">
        <v>14</v>
      </c>
      <c r="D1549" s="2" t="s">
        <v>15</v>
      </c>
      <c r="E1549" s="2" t="s">
        <v>43</v>
      </c>
      <c r="F1549" s="2" t="s">
        <v>28</v>
      </c>
      <c r="G1549" s="2" t="s">
        <v>18</v>
      </c>
      <c r="H1549" s="2" t="s">
        <v>136</v>
      </c>
      <c r="I1549" s="2" t="s">
        <v>36</v>
      </c>
      <c r="J1549" s="4">
        <v>3</v>
      </c>
      <c r="K1549" s="5">
        <v>33.049999999999997</v>
      </c>
      <c r="L1549" s="6">
        <v>0</v>
      </c>
      <c r="M1549" s="5">
        <v>99.15</v>
      </c>
      <c r="P1549" t="str">
        <f>TEXT(Tableau2[[#This Row],[Date]],"mmmm aaaa")</f>
        <v>octobre 2026</v>
      </c>
    </row>
    <row r="1550" spans="1:16">
      <c r="A1550" s="2" t="s">
        <v>1637</v>
      </c>
      <c r="B1550" s="3">
        <v>46037</v>
      </c>
      <c r="C1550" s="2" t="s">
        <v>101</v>
      </c>
      <c r="D1550" s="2" t="s">
        <v>33</v>
      </c>
      <c r="E1550" s="2" t="s">
        <v>16</v>
      </c>
      <c r="F1550" s="2" t="s">
        <v>17</v>
      </c>
      <c r="G1550" s="2" t="s">
        <v>54</v>
      </c>
      <c r="H1550" s="2" t="s">
        <v>55</v>
      </c>
      <c r="I1550" s="2" t="s">
        <v>20</v>
      </c>
      <c r="J1550" s="4">
        <v>1</v>
      </c>
      <c r="K1550" s="5">
        <v>159.82</v>
      </c>
      <c r="L1550" s="6">
        <v>0</v>
      </c>
      <c r="M1550" s="5">
        <v>159.82</v>
      </c>
      <c r="P1550" t="str">
        <f>TEXT(Tableau2[[#This Row],[Date]],"mmmm aaaa")</f>
        <v>janvier 2026</v>
      </c>
    </row>
    <row r="1551" spans="1:16">
      <c r="A1551" s="2" t="s">
        <v>1638</v>
      </c>
      <c r="B1551" s="3">
        <v>46030</v>
      </c>
      <c r="C1551" s="2" t="s">
        <v>156</v>
      </c>
      <c r="D1551" s="2" t="s">
        <v>15</v>
      </c>
      <c r="E1551" s="2" t="s">
        <v>16</v>
      </c>
      <c r="F1551" s="2" t="s">
        <v>28</v>
      </c>
      <c r="G1551" s="2" t="s">
        <v>18</v>
      </c>
      <c r="H1551" s="2" t="s">
        <v>136</v>
      </c>
      <c r="I1551" s="2" t="s">
        <v>26</v>
      </c>
      <c r="J1551" s="4">
        <v>2</v>
      </c>
      <c r="K1551" s="5">
        <v>34.04</v>
      </c>
      <c r="L1551" s="6">
        <v>0</v>
      </c>
      <c r="M1551" s="5">
        <v>68.08</v>
      </c>
      <c r="P1551" t="str">
        <f>TEXT(Tableau2[[#This Row],[Date]],"mmmm aaaa")</f>
        <v>janvier 2026</v>
      </c>
    </row>
    <row r="1552" spans="1:16">
      <c r="A1552" s="2" t="s">
        <v>1639</v>
      </c>
      <c r="B1552" s="3">
        <v>46269</v>
      </c>
      <c r="C1552" s="2" t="s">
        <v>52</v>
      </c>
      <c r="D1552" s="2" t="s">
        <v>53</v>
      </c>
      <c r="E1552" s="2" t="s">
        <v>16</v>
      </c>
      <c r="F1552" s="2" t="s">
        <v>28</v>
      </c>
      <c r="G1552" s="2" t="s">
        <v>24</v>
      </c>
      <c r="H1552" s="2" t="s">
        <v>25</v>
      </c>
      <c r="I1552" s="2" t="s">
        <v>36</v>
      </c>
      <c r="J1552" s="4">
        <v>15</v>
      </c>
      <c r="K1552" s="5">
        <v>124.08</v>
      </c>
      <c r="L1552" s="6">
        <v>0.05</v>
      </c>
      <c r="M1552" s="5">
        <v>1768.14</v>
      </c>
      <c r="P1552" t="str">
        <f>TEXT(Tableau2[[#This Row],[Date]],"mmmm aaaa")</f>
        <v>septembre 2026</v>
      </c>
    </row>
    <row r="1553" spans="1:16">
      <c r="A1553" s="2" t="s">
        <v>1640</v>
      </c>
      <c r="B1553" s="3">
        <v>46106</v>
      </c>
      <c r="C1553" s="2" t="s">
        <v>160</v>
      </c>
      <c r="D1553" s="2" t="s">
        <v>33</v>
      </c>
      <c r="E1553" s="2" t="s">
        <v>16</v>
      </c>
      <c r="F1553" s="2" t="s">
        <v>28</v>
      </c>
      <c r="G1553" s="2" t="s">
        <v>18</v>
      </c>
      <c r="H1553" s="2" t="s">
        <v>136</v>
      </c>
      <c r="I1553" s="2" t="s">
        <v>75</v>
      </c>
      <c r="J1553" s="4">
        <v>8</v>
      </c>
      <c r="K1553" s="5">
        <v>31.46</v>
      </c>
      <c r="L1553" s="6">
        <v>0</v>
      </c>
      <c r="M1553" s="5">
        <v>251.68</v>
      </c>
      <c r="P1553" t="str">
        <f>TEXT(Tableau2[[#This Row],[Date]],"mmmm aaaa")</f>
        <v>mars 2026</v>
      </c>
    </row>
    <row r="1554" spans="1:16">
      <c r="A1554" s="2" t="s">
        <v>1641</v>
      </c>
      <c r="B1554" s="3">
        <v>46234</v>
      </c>
      <c r="C1554" s="2" t="s">
        <v>164</v>
      </c>
      <c r="D1554" s="2" t="s">
        <v>53</v>
      </c>
      <c r="E1554" s="2" t="s">
        <v>43</v>
      </c>
      <c r="F1554" s="2" t="s">
        <v>17</v>
      </c>
      <c r="G1554" s="2" t="s">
        <v>39</v>
      </c>
      <c r="H1554" s="2" t="s">
        <v>71</v>
      </c>
      <c r="I1554" s="2" t="s">
        <v>41</v>
      </c>
      <c r="J1554" s="4">
        <v>1</v>
      </c>
      <c r="K1554" s="5">
        <v>126.75</v>
      </c>
      <c r="L1554" s="6">
        <v>0</v>
      </c>
      <c r="M1554" s="5">
        <v>126.75</v>
      </c>
      <c r="P1554" t="str">
        <f>TEXT(Tableau2[[#This Row],[Date]],"mmmm aaaa")</f>
        <v>juillet 2026</v>
      </c>
    </row>
    <row r="1555" spans="1:16">
      <c r="A1555" s="2" t="s">
        <v>1642</v>
      </c>
      <c r="B1555" s="3">
        <v>46152</v>
      </c>
      <c r="C1555" s="2" t="s">
        <v>130</v>
      </c>
      <c r="D1555" s="2" t="s">
        <v>53</v>
      </c>
      <c r="E1555" s="2" t="s">
        <v>16</v>
      </c>
      <c r="F1555" s="2" t="s">
        <v>17</v>
      </c>
      <c r="G1555" s="2" t="s">
        <v>48</v>
      </c>
      <c r="H1555" s="2" t="s">
        <v>49</v>
      </c>
      <c r="I1555" s="2" t="s">
        <v>36</v>
      </c>
      <c r="J1555" s="4">
        <v>4</v>
      </c>
      <c r="K1555" s="5">
        <v>54.3</v>
      </c>
      <c r="L1555" s="6">
        <v>0</v>
      </c>
      <c r="M1555" s="5">
        <v>217.2</v>
      </c>
      <c r="P1555" t="str">
        <f>TEXT(Tableau2[[#This Row],[Date]],"mmmm aaaa")</f>
        <v>mai 2026</v>
      </c>
    </row>
    <row r="1556" spans="1:16">
      <c r="A1556" s="2" t="s">
        <v>1643</v>
      </c>
      <c r="B1556" s="3">
        <v>46060</v>
      </c>
      <c r="C1556" s="2" t="s">
        <v>130</v>
      </c>
      <c r="D1556" s="2" t="s">
        <v>53</v>
      </c>
      <c r="E1556" s="2" t="s">
        <v>16</v>
      </c>
      <c r="F1556" s="2" t="s">
        <v>17</v>
      </c>
      <c r="G1556" s="2" t="s">
        <v>24</v>
      </c>
      <c r="H1556" s="2" t="s">
        <v>82</v>
      </c>
      <c r="I1556" s="2" t="s">
        <v>20</v>
      </c>
      <c r="J1556" s="4">
        <v>8</v>
      </c>
      <c r="K1556" s="5">
        <v>298.20999999999998</v>
      </c>
      <c r="L1556" s="6">
        <v>0</v>
      </c>
      <c r="M1556" s="5">
        <v>2385.6799999999998</v>
      </c>
      <c r="P1556" t="str">
        <f>TEXT(Tableau2[[#This Row],[Date]],"mmmm aaaa")</f>
        <v>février 2026</v>
      </c>
    </row>
    <row r="1557" spans="1:16">
      <c r="A1557" s="2" t="s">
        <v>1644</v>
      </c>
      <c r="B1557" s="3">
        <v>46066</v>
      </c>
      <c r="C1557" s="2" t="s">
        <v>52</v>
      </c>
      <c r="D1557" s="2" t="s">
        <v>53</v>
      </c>
      <c r="E1557" s="2" t="s">
        <v>43</v>
      </c>
      <c r="F1557" s="2" t="s">
        <v>17</v>
      </c>
      <c r="G1557" s="2" t="s">
        <v>48</v>
      </c>
      <c r="H1557" s="2" t="s">
        <v>84</v>
      </c>
      <c r="I1557" s="2" t="s">
        <v>41</v>
      </c>
      <c r="J1557" s="4">
        <v>1</v>
      </c>
      <c r="K1557" s="5">
        <v>98.28</v>
      </c>
      <c r="L1557" s="6">
        <v>0</v>
      </c>
      <c r="M1557" s="5">
        <v>98.28</v>
      </c>
      <c r="P1557" t="str">
        <f>TEXT(Tableau2[[#This Row],[Date]],"mmmm aaaa")</f>
        <v>février 2026</v>
      </c>
    </row>
    <row r="1558" spans="1:16">
      <c r="A1558" s="2" t="s">
        <v>1645</v>
      </c>
      <c r="B1558" s="3">
        <v>46121</v>
      </c>
      <c r="C1558" s="2" t="s">
        <v>63</v>
      </c>
      <c r="D1558" s="2" t="s">
        <v>33</v>
      </c>
      <c r="E1558" s="2" t="s">
        <v>16</v>
      </c>
      <c r="F1558" s="2" t="s">
        <v>17</v>
      </c>
      <c r="G1558" s="2" t="s">
        <v>54</v>
      </c>
      <c r="H1558" s="2" t="s">
        <v>64</v>
      </c>
      <c r="I1558" s="2" t="s">
        <v>26</v>
      </c>
      <c r="J1558" s="4">
        <v>1</v>
      </c>
      <c r="K1558" s="5">
        <v>87.87</v>
      </c>
      <c r="L1558" s="6">
        <v>0</v>
      </c>
      <c r="M1558" s="5">
        <v>87.87</v>
      </c>
      <c r="P1558" t="str">
        <f>TEXT(Tableau2[[#This Row],[Date]],"mmmm aaaa")</f>
        <v>avril 2026</v>
      </c>
    </row>
    <row r="1559" spans="1:16">
      <c r="A1559" s="2" t="s">
        <v>1646</v>
      </c>
      <c r="B1559" s="3">
        <v>46173</v>
      </c>
      <c r="C1559" s="2" t="s">
        <v>86</v>
      </c>
      <c r="D1559" s="2" t="s">
        <v>53</v>
      </c>
      <c r="E1559" s="2" t="s">
        <v>43</v>
      </c>
      <c r="F1559" s="2" t="s">
        <v>28</v>
      </c>
      <c r="G1559" s="2" t="s">
        <v>29</v>
      </c>
      <c r="H1559" s="2" t="s">
        <v>44</v>
      </c>
      <c r="I1559" s="2" t="s">
        <v>50</v>
      </c>
      <c r="J1559" s="4">
        <v>8</v>
      </c>
      <c r="K1559" s="5">
        <v>40.98</v>
      </c>
      <c r="L1559" s="6">
        <v>0.05</v>
      </c>
      <c r="M1559" s="5">
        <v>311.45</v>
      </c>
      <c r="P1559" t="str">
        <f>TEXT(Tableau2[[#This Row],[Date]],"mmmm aaaa")</f>
        <v>mai 2026</v>
      </c>
    </row>
    <row r="1560" spans="1:16">
      <c r="A1560" s="2" t="s">
        <v>1647</v>
      </c>
      <c r="B1560" s="3">
        <v>46156</v>
      </c>
      <c r="C1560" s="2" t="s">
        <v>52</v>
      </c>
      <c r="D1560" s="2" t="s">
        <v>53</v>
      </c>
      <c r="E1560" s="2" t="s">
        <v>34</v>
      </c>
      <c r="F1560" s="2" t="s">
        <v>17</v>
      </c>
      <c r="G1560" s="2" t="s">
        <v>24</v>
      </c>
      <c r="H1560" s="2" t="s">
        <v>82</v>
      </c>
      <c r="I1560" s="2" t="s">
        <v>26</v>
      </c>
      <c r="J1560" s="4">
        <v>3</v>
      </c>
      <c r="K1560" s="5">
        <v>313.11</v>
      </c>
      <c r="L1560" s="6">
        <v>0</v>
      </c>
      <c r="M1560" s="5">
        <v>939.33</v>
      </c>
      <c r="P1560" t="str">
        <f>TEXT(Tableau2[[#This Row],[Date]],"mmmm aaaa")</f>
        <v>mai 2026</v>
      </c>
    </row>
    <row r="1561" spans="1:16">
      <c r="A1561" s="2" t="s">
        <v>1648</v>
      </c>
      <c r="B1561" s="3">
        <v>46185</v>
      </c>
      <c r="C1561" s="2" t="s">
        <v>79</v>
      </c>
      <c r="D1561" s="2" t="s">
        <v>33</v>
      </c>
      <c r="E1561" s="2" t="s">
        <v>38</v>
      </c>
      <c r="F1561" s="2" t="s">
        <v>17</v>
      </c>
      <c r="G1561" s="2" t="s">
        <v>54</v>
      </c>
      <c r="H1561" s="2" t="s">
        <v>55</v>
      </c>
      <c r="I1561" s="2" t="s">
        <v>50</v>
      </c>
      <c r="J1561" s="4">
        <v>1</v>
      </c>
      <c r="K1561" s="5">
        <v>155.74</v>
      </c>
      <c r="L1561" s="6">
        <v>0</v>
      </c>
      <c r="M1561" s="5">
        <v>155.74</v>
      </c>
      <c r="P1561" t="str">
        <f>TEXT(Tableau2[[#This Row],[Date]],"mmmm aaaa")</f>
        <v>juin 2026</v>
      </c>
    </row>
    <row r="1562" spans="1:16">
      <c r="A1562" s="2" t="s">
        <v>1649</v>
      </c>
      <c r="B1562" s="3">
        <v>46290</v>
      </c>
      <c r="C1562" s="2" t="s">
        <v>101</v>
      </c>
      <c r="D1562" s="2" t="s">
        <v>33</v>
      </c>
      <c r="E1562" s="2" t="s">
        <v>43</v>
      </c>
      <c r="F1562" s="2" t="s">
        <v>28</v>
      </c>
      <c r="G1562" s="2" t="s">
        <v>18</v>
      </c>
      <c r="H1562" s="2" t="s">
        <v>19</v>
      </c>
      <c r="I1562" s="2" t="s">
        <v>36</v>
      </c>
      <c r="J1562" s="4">
        <v>1</v>
      </c>
      <c r="K1562" s="5">
        <v>57.53</v>
      </c>
      <c r="L1562" s="6">
        <v>0.15</v>
      </c>
      <c r="M1562" s="5">
        <v>48.9</v>
      </c>
      <c r="P1562" t="str">
        <f>TEXT(Tableau2[[#This Row],[Date]],"mmmm aaaa")</f>
        <v>septembre 2026</v>
      </c>
    </row>
    <row r="1563" spans="1:16">
      <c r="A1563" s="2" t="s">
        <v>1650</v>
      </c>
      <c r="B1563" s="3">
        <v>46260</v>
      </c>
      <c r="C1563" s="2" t="s">
        <v>90</v>
      </c>
      <c r="D1563" s="2" t="s">
        <v>53</v>
      </c>
      <c r="E1563" s="2" t="s">
        <v>16</v>
      </c>
      <c r="F1563" s="2" t="s">
        <v>17</v>
      </c>
      <c r="G1563" s="2" t="s">
        <v>18</v>
      </c>
      <c r="H1563" s="2" t="s">
        <v>158</v>
      </c>
      <c r="I1563" s="2" t="s">
        <v>36</v>
      </c>
      <c r="J1563" s="4">
        <v>1</v>
      </c>
      <c r="K1563" s="5">
        <v>49.01</v>
      </c>
      <c r="L1563" s="6">
        <v>0</v>
      </c>
      <c r="M1563" s="5">
        <v>49.01</v>
      </c>
      <c r="P1563" t="str">
        <f>TEXT(Tableau2[[#This Row],[Date]],"mmmm aaaa")</f>
        <v>août 2026</v>
      </c>
    </row>
    <row r="1564" spans="1:16">
      <c r="A1564" s="2" t="s">
        <v>1651</v>
      </c>
      <c r="B1564" s="3">
        <v>46105</v>
      </c>
      <c r="C1564" s="2" t="s">
        <v>441</v>
      </c>
      <c r="D1564" s="2" t="s">
        <v>23</v>
      </c>
      <c r="E1564" s="2" t="s">
        <v>16</v>
      </c>
      <c r="F1564" s="2" t="s">
        <v>28</v>
      </c>
      <c r="G1564" s="2" t="s">
        <v>48</v>
      </c>
      <c r="H1564" s="2" t="s">
        <v>77</v>
      </c>
      <c r="I1564" s="2" t="s">
        <v>75</v>
      </c>
      <c r="J1564" s="4">
        <v>2</v>
      </c>
      <c r="K1564" s="5">
        <v>83.61</v>
      </c>
      <c r="L1564" s="6">
        <v>0</v>
      </c>
      <c r="M1564" s="5">
        <v>167.22</v>
      </c>
      <c r="P1564" t="str">
        <f>TEXT(Tableau2[[#This Row],[Date]],"mmmm aaaa")</f>
        <v>mars 2026</v>
      </c>
    </row>
    <row r="1565" spans="1:16">
      <c r="A1565" s="2" t="s">
        <v>1652</v>
      </c>
      <c r="B1565" s="3">
        <v>46040</v>
      </c>
      <c r="C1565" s="2" t="s">
        <v>79</v>
      </c>
      <c r="D1565" s="2" t="s">
        <v>33</v>
      </c>
      <c r="E1565" s="2" t="s">
        <v>16</v>
      </c>
      <c r="F1565" s="2" t="s">
        <v>28</v>
      </c>
      <c r="G1565" s="2" t="s">
        <v>48</v>
      </c>
      <c r="H1565" s="2" t="s">
        <v>88</v>
      </c>
      <c r="I1565" s="2" t="s">
        <v>45</v>
      </c>
      <c r="J1565" s="4">
        <v>2</v>
      </c>
      <c r="K1565" s="5">
        <v>76.34</v>
      </c>
      <c r="L1565" s="6">
        <v>0.1</v>
      </c>
      <c r="M1565" s="5">
        <v>137.41</v>
      </c>
      <c r="P1565" t="str">
        <f>TEXT(Tableau2[[#This Row],[Date]],"mmmm aaaa")</f>
        <v>janvier 2026</v>
      </c>
    </row>
    <row r="1566" spans="1:16">
      <c r="A1566" s="2" t="s">
        <v>1653</v>
      </c>
      <c r="B1566" s="3">
        <v>46148</v>
      </c>
      <c r="C1566" s="2" t="s">
        <v>116</v>
      </c>
      <c r="D1566" s="2" t="s">
        <v>15</v>
      </c>
      <c r="E1566" s="2" t="s">
        <v>34</v>
      </c>
      <c r="F1566" s="2" t="s">
        <v>17</v>
      </c>
      <c r="G1566" s="2" t="s">
        <v>18</v>
      </c>
      <c r="H1566" s="2" t="s">
        <v>143</v>
      </c>
      <c r="I1566" s="2" t="s">
        <v>20</v>
      </c>
      <c r="J1566" s="4">
        <v>3</v>
      </c>
      <c r="K1566" s="5">
        <v>66.37</v>
      </c>
      <c r="L1566" s="6">
        <v>0</v>
      </c>
      <c r="M1566" s="5">
        <v>199.11</v>
      </c>
      <c r="P1566" t="str">
        <f>TEXT(Tableau2[[#This Row],[Date]],"mmmm aaaa")</f>
        <v>mai 2026</v>
      </c>
    </row>
    <row r="1567" spans="1:16">
      <c r="A1567" s="2" t="s">
        <v>1654</v>
      </c>
      <c r="B1567" s="3">
        <v>46035</v>
      </c>
      <c r="C1567" s="2" t="s">
        <v>125</v>
      </c>
      <c r="D1567" s="2" t="s">
        <v>23</v>
      </c>
      <c r="E1567" s="2" t="s">
        <v>16</v>
      </c>
      <c r="F1567" s="2" t="s">
        <v>17</v>
      </c>
      <c r="G1567" s="2" t="s">
        <v>48</v>
      </c>
      <c r="H1567" s="2" t="s">
        <v>84</v>
      </c>
      <c r="I1567" s="2" t="s">
        <v>20</v>
      </c>
      <c r="J1567" s="4">
        <v>3</v>
      </c>
      <c r="K1567" s="5">
        <v>96.38</v>
      </c>
      <c r="L1567" s="6">
        <v>0.1</v>
      </c>
      <c r="M1567" s="5">
        <v>260.23</v>
      </c>
      <c r="P1567" t="str">
        <f>TEXT(Tableau2[[#This Row],[Date]],"mmmm aaaa")</f>
        <v>janvier 2026</v>
      </c>
    </row>
    <row r="1568" spans="1:16">
      <c r="A1568" s="2" t="s">
        <v>1655</v>
      </c>
      <c r="B1568" s="3">
        <v>46372</v>
      </c>
      <c r="C1568" s="2" t="s">
        <v>63</v>
      </c>
      <c r="D1568" s="2" t="s">
        <v>33</v>
      </c>
      <c r="E1568" s="2" t="s">
        <v>16</v>
      </c>
      <c r="F1568" s="2" t="s">
        <v>17</v>
      </c>
      <c r="G1568" s="2" t="s">
        <v>54</v>
      </c>
      <c r="H1568" s="2" t="s">
        <v>55</v>
      </c>
      <c r="I1568" s="2" t="s">
        <v>75</v>
      </c>
      <c r="J1568" s="4">
        <v>1</v>
      </c>
      <c r="K1568" s="5">
        <v>164.25</v>
      </c>
      <c r="L1568" s="6">
        <v>0</v>
      </c>
      <c r="M1568" s="5">
        <v>164.25</v>
      </c>
      <c r="P1568" t="str">
        <f>TEXT(Tableau2[[#This Row],[Date]],"mmmm aaaa")</f>
        <v>décembre 2026</v>
      </c>
    </row>
    <row r="1569" spans="1:16">
      <c r="A1569" s="2" t="s">
        <v>1656</v>
      </c>
      <c r="B1569" s="3">
        <v>46307</v>
      </c>
      <c r="C1569" s="2" t="s">
        <v>60</v>
      </c>
      <c r="D1569" s="2" t="s">
        <v>33</v>
      </c>
      <c r="E1569" s="2" t="s">
        <v>16</v>
      </c>
      <c r="F1569" s="2" t="s">
        <v>17</v>
      </c>
      <c r="G1569" s="2" t="s">
        <v>48</v>
      </c>
      <c r="H1569" s="2" t="s">
        <v>49</v>
      </c>
      <c r="I1569" s="2" t="s">
        <v>26</v>
      </c>
      <c r="J1569" s="4">
        <v>5</v>
      </c>
      <c r="K1569" s="5">
        <v>56.08</v>
      </c>
      <c r="L1569" s="6">
        <v>0</v>
      </c>
      <c r="M1569" s="5">
        <v>280.39999999999998</v>
      </c>
      <c r="P1569" t="str">
        <f>TEXT(Tableau2[[#This Row],[Date]],"mmmm aaaa")</f>
        <v>octobre 2026</v>
      </c>
    </row>
    <row r="1570" spans="1:16">
      <c r="A1570" s="2" t="s">
        <v>1657</v>
      </c>
      <c r="B1570" s="3">
        <v>46189</v>
      </c>
      <c r="C1570" s="2" t="s">
        <v>60</v>
      </c>
      <c r="D1570" s="2" t="s">
        <v>33</v>
      </c>
      <c r="E1570" s="2" t="s">
        <v>43</v>
      </c>
      <c r="F1570" s="2" t="s">
        <v>17</v>
      </c>
      <c r="G1570" s="2" t="s">
        <v>48</v>
      </c>
      <c r="H1570" s="2" t="s">
        <v>49</v>
      </c>
      <c r="I1570" s="2" t="s">
        <v>50</v>
      </c>
      <c r="J1570" s="4">
        <v>1</v>
      </c>
      <c r="K1570" s="5">
        <v>60.05</v>
      </c>
      <c r="L1570" s="6">
        <v>0.1</v>
      </c>
      <c r="M1570" s="5">
        <v>54.05</v>
      </c>
      <c r="P1570" t="str">
        <f>TEXT(Tableau2[[#This Row],[Date]],"mmmm aaaa")</f>
        <v>juin 2026</v>
      </c>
    </row>
    <row r="1571" spans="1:16">
      <c r="A1571" s="2" t="s">
        <v>1658</v>
      </c>
      <c r="B1571" s="3">
        <v>46040</v>
      </c>
      <c r="C1571" s="2" t="s">
        <v>119</v>
      </c>
      <c r="D1571" s="2" t="s">
        <v>15</v>
      </c>
      <c r="E1571" s="2" t="s">
        <v>16</v>
      </c>
      <c r="F1571" s="2" t="s">
        <v>28</v>
      </c>
      <c r="G1571" s="2" t="s">
        <v>18</v>
      </c>
      <c r="H1571" s="2" t="s">
        <v>158</v>
      </c>
      <c r="I1571" s="2" t="s">
        <v>50</v>
      </c>
      <c r="J1571" s="4">
        <v>2</v>
      </c>
      <c r="K1571" s="5">
        <v>45.11</v>
      </c>
      <c r="L1571" s="6">
        <v>0</v>
      </c>
      <c r="M1571" s="5">
        <v>90.22</v>
      </c>
      <c r="P1571" t="str">
        <f>TEXT(Tableau2[[#This Row],[Date]],"mmmm aaaa")</f>
        <v>janvier 2026</v>
      </c>
    </row>
    <row r="1572" spans="1:16">
      <c r="A1572" s="2" t="s">
        <v>1659</v>
      </c>
      <c r="B1572" s="3">
        <v>46125</v>
      </c>
      <c r="C1572" s="2" t="s">
        <v>134</v>
      </c>
      <c r="D1572" s="2" t="s">
        <v>15</v>
      </c>
      <c r="E1572" s="2" t="s">
        <v>16</v>
      </c>
      <c r="F1572" s="2" t="s">
        <v>17</v>
      </c>
      <c r="G1572" s="2" t="s">
        <v>48</v>
      </c>
      <c r="H1572" s="2" t="s">
        <v>77</v>
      </c>
      <c r="I1572" s="2" t="s">
        <v>26</v>
      </c>
      <c r="J1572" s="4">
        <v>3</v>
      </c>
      <c r="K1572" s="5">
        <v>78.89</v>
      </c>
      <c r="L1572" s="6">
        <v>0</v>
      </c>
      <c r="M1572" s="5">
        <v>236.67</v>
      </c>
      <c r="P1572" t="str">
        <f>TEXT(Tableau2[[#This Row],[Date]],"mmmm aaaa")</f>
        <v>avril 2026</v>
      </c>
    </row>
    <row r="1573" spans="1:16">
      <c r="A1573" s="2" t="s">
        <v>1660</v>
      </c>
      <c r="B1573" s="3">
        <v>46100</v>
      </c>
      <c r="C1573" s="2" t="s">
        <v>79</v>
      </c>
      <c r="D1573" s="2" t="s">
        <v>33</v>
      </c>
      <c r="E1573" s="2" t="s">
        <v>43</v>
      </c>
      <c r="F1573" s="2" t="s">
        <v>28</v>
      </c>
      <c r="G1573" s="2" t="s">
        <v>24</v>
      </c>
      <c r="H1573" s="2" t="s">
        <v>35</v>
      </c>
      <c r="I1573" s="2" t="s">
        <v>45</v>
      </c>
      <c r="J1573" s="4">
        <v>2</v>
      </c>
      <c r="K1573" s="5">
        <v>164.18</v>
      </c>
      <c r="L1573" s="6">
        <v>0.05</v>
      </c>
      <c r="M1573" s="5">
        <v>311.94</v>
      </c>
      <c r="P1573" t="str">
        <f>TEXT(Tableau2[[#This Row],[Date]],"mmmm aaaa")</f>
        <v>mars 2026</v>
      </c>
    </row>
    <row r="1574" spans="1:16">
      <c r="A1574" s="2" t="s">
        <v>1661</v>
      </c>
      <c r="B1574" s="3">
        <v>46118</v>
      </c>
      <c r="C1574" s="2" t="s">
        <v>106</v>
      </c>
      <c r="D1574" s="2" t="s">
        <v>23</v>
      </c>
      <c r="E1574" s="2" t="s">
        <v>16</v>
      </c>
      <c r="F1574" s="2" t="s">
        <v>28</v>
      </c>
      <c r="G1574" s="2" t="s">
        <v>18</v>
      </c>
      <c r="H1574" s="2" t="s">
        <v>143</v>
      </c>
      <c r="I1574" s="2" t="s">
        <v>26</v>
      </c>
      <c r="J1574" s="4">
        <v>1</v>
      </c>
      <c r="K1574" s="5">
        <v>65.040000000000006</v>
      </c>
      <c r="L1574" s="6">
        <v>0</v>
      </c>
      <c r="M1574" s="5">
        <v>65.040000000000006</v>
      </c>
      <c r="P1574" t="str">
        <f>TEXT(Tableau2[[#This Row],[Date]],"mmmm aaaa")</f>
        <v>avril 2026</v>
      </c>
    </row>
    <row r="1575" spans="1:16">
      <c r="A1575" s="2" t="s">
        <v>1662</v>
      </c>
      <c r="B1575" s="3">
        <v>46075</v>
      </c>
      <c r="C1575" s="2" t="s">
        <v>164</v>
      </c>
      <c r="D1575" s="2" t="s">
        <v>53</v>
      </c>
      <c r="E1575" s="2" t="s">
        <v>34</v>
      </c>
      <c r="F1575" s="2" t="s">
        <v>28</v>
      </c>
      <c r="G1575" s="2" t="s">
        <v>48</v>
      </c>
      <c r="H1575" s="2" t="s">
        <v>49</v>
      </c>
      <c r="I1575" s="2" t="s">
        <v>36</v>
      </c>
      <c r="J1575" s="4">
        <v>1</v>
      </c>
      <c r="K1575" s="5">
        <v>57.43</v>
      </c>
      <c r="L1575" s="6">
        <v>0</v>
      </c>
      <c r="M1575" s="5">
        <v>57.43</v>
      </c>
      <c r="P1575" t="str">
        <f>TEXT(Tableau2[[#This Row],[Date]],"mmmm aaaa")</f>
        <v>février 2026</v>
      </c>
    </row>
    <row r="1576" spans="1:16">
      <c r="A1576" s="2" t="s">
        <v>1663</v>
      </c>
      <c r="B1576" s="3">
        <v>46307</v>
      </c>
      <c r="C1576" s="2" t="s">
        <v>32</v>
      </c>
      <c r="D1576" s="2" t="s">
        <v>33</v>
      </c>
      <c r="E1576" s="2" t="s">
        <v>16</v>
      </c>
      <c r="F1576" s="2" t="s">
        <v>28</v>
      </c>
      <c r="G1576" s="2" t="s">
        <v>48</v>
      </c>
      <c r="H1576" s="2" t="s">
        <v>49</v>
      </c>
      <c r="I1576" s="2" t="s">
        <v>58</v>
      </c>
      <c r="J1576" s="4">
        <v>2</v>
      </c>
      <c r="K1576" s="5">
        <v>62.54</v>
      </c>
      <c r="L1576" s="6">
        <v>0</v>
      </c>
      <c r="M1576" s="5">
        <v>125.08</v>
      </c>
      <c r="P1576" t="str">
        <f>TEXT(Tableau2[[#This Row],[Date]],"mmmm aaaa")</f>
        <v>octobre 2026</v>
      </c>
    </row>
    <row r="1577" spans="1:16">
      <c r="A1577" s="2" t="s">
        <v>1664</v>
      </c>
      <c r="B1577" s="3">
        <v>46096</v>
      </c>
      <c r="C1577" s="2" t="s">
        <v>130</v>
      </c>
      <c r="D1577" s="2" t="s">
        <v>53</v>
      </c>
      <c r="E1577" s="2" t="s">
        <v>34</v>
      </c>
      <c r="F1577" s="2" t="s">
        <v>17</v>
      </c>
      <c r="G1577" s="2" t="s">
        <v>39</v>
      </c>
      <c r="H1577" s="2" t="s">
        <v>40</v>
      </c>
      <c r="I1577" s="2" t="s">
        <v>75</v>
      </c>
      <c r="J1577" s="4">
        <v>6</v>
      </c>
      <c r="K1577" s="5">
        <v>129.35</v>
      </c>
      <c r="L1577" s="6">
        <v>0</v>
      </c>
      <c r="M1577" s="5">
        <v>776.1</v>
      </c>
      <c r="P1577" t="str">
        <f>TEXT(Tableau2[[#This Row],[Date]],"mmmm aaaa")</f>
        <v>mars 2026</v>
      </c>
    </row>
    <row r="1578" spans="1:16">
      <c r="A1578" s="2" t="s">
        <v>1665</v>
      </c>
      <c r="B1578" s="3">
        <v>46336</v>
      </c>
      <c r="C1578" s="2" t="s">
        <v>116</v>
      </c>
      <c r="D1578" s="2" t="s">
        <v>15</v>
      </c>
      <c r="E1578" s="2" t="s">
        <v>16</v>
      </c>
      <c r="F1578" s="2" t="s">
        <v>28</v>
      </c>
      <c r="G1578" s="2" t="s">
        <v>18</v>
      </c>
      <c r="H1578" s="2" t="s">
        <v>143</v>
      </c>
      <c r="I1578" s="2" t="s">
        <v>75</v>
      </c>
      <c r="J1578" s="4">
        <v>5</v>
      </c>
      <c r="K1578" s="5">
        <v>67.180000000000007</v>
      </c>
      <c r="L1578" s="6">
        <v>0</v>
      </c>
      <c r="M1578" s="5">
        <v>335.9</v>
      </c>
      <c r="P1578" t="str">
        <f>TEXT(Tableau2[[#This Row],[Date]],"mmmm aaaa")</f>
        <v>novembre 2026</v>
      </c>
    </row>
    <row r="1579" spans="1:16">
      <c r="A1579" s="2" t="s">
        <v>1666</v>
      </c>
      <c r="B1579" s="3">
        <v>46172</v>
      </c>
      <c r="C1579" s="2" t="s">
        <v>92</v>
      </c>
      <c r="D1579" s="2" t="s">
        <v>53</v>
      </c>
      <c r="E1579" s="2" t="s">
        <v>43</v>
      </c>
      <c r="F1579" s="2" t="s">
        <v>17</v>
      </c>
      <c r="G1579" s="2" t="s">
        <v>48</v>
      </c>
      <c r="H1579" s="2" t="s">
        <v>84</v>
      </c>
      <c r="I1579" s="2" t="s">
        <v>50</v>
      </c>
      <c r="J1579" s="4">
        <v>1</v>
      </c>
      <c r="K1579" s="5">
        <v>92.32</v>
      </c>
      <c r="L1579" s="6">
        <v>0</v>
      </c>
      <c r="M1579" s="5">
        <v>92.32</v>
      </c>
      <c r="P1579" t="str">
        <f>TEXT(Tableau2[[#This Row],[Date]],"mmmm aaaa")</f>
        <v>mai 2026</v>
      </c>
    </row>
    <row r="1580" spans="1:16">
      <c r="A1580" s="2" t="s">
        <v>1667</v>
      </c>
      <c r="B1580" s="3">
        <v>46073</v>
      </c>
      <c r="C1580" s="2" t="s">
        <v>160</v>
      </c>
      <c r="D1580" s="2" t="s">
        <v>33</v>
      </c>
      <c r="E1580" s="2" t="s">
        <v>16</v>
      </c>
      <c r="F1580" s="2" t="s">
        <v>17</v>
      </c>
      <c r="G1580" s="2" t="s">
        <v>29</v>
      </c>
      <c r="H1580" s="2" t="s">
        <v>44</v>
      </c>
      <c r="I1580" s="2" t="s">
        <v>50</v>
      </c>
      <c r="J1580" s="4">
        <v>3</v>
      </c>
      <c r="K1580" s="5">
        <v>36.32</v>
      </c>
      <c r="L1580" s="6">
        <v>0.2</v>
      </c>
      <c r="M1580" s="5">
        <v>87.17</v>
      </c>
      <c r="P1580" t="str">
        <f>TEXT(Tableau2[[#This Row],[Date]],"mmmm aaaa")</f>
        <v>février 2026</v>
      </c>
    </row>
    <row r="1581" spans="1:16">
      <c r="A1581" s="2" t="s">
        <v>1668</v>
      </c>
      <c r="B1581" s="3">
        <v>46355</v>
      </c>
      <c r="C1581" s="2" t="s">
        <v>63</v>
      </c>
      <c r="D1581" s="2" t="s">
        <v>33</v>
      </c>
      <c r="E1581" s="2" t="s">
        <v>34</v>
      </c>
      <c r="F1581" s="2" t="s">
        <v>17</v>
      </c>
      <c r="G1581" s="2" t="s">
        <v>29</v>
      </c>
      <c r="H1581" s="2" t="s">
        <v>44</v>
      </c>
      <c r="I1581" s="2" t="s">
        <v>36</v>
      </c>
      <c r="J1581" s="4">
        <v>13</v>
      </c>
      <c r="K1581" s="5">
        <v>40.49</v>
      </c>
      <c r="L1581" s="6">
        <v>0.1</v>
      </c>
      <c r="M1581" s="5">
        <v>473.73</v>
      </c>
      <c r="P1581" t="str">
        <f>TEXT(Tableau2[[#This Row],[Date]],"mmmm aaaa")</f>
        <v>novembre 2026</v>
      </c>
    </row>
    <row r="1582" spans="1:16">
      <c r="A1582" s="2" t="s">
        <v>1669</v>
      </c>
      <c r="B1582" s="3">
        <v>46229</v>
      </c>
      <c r="C1582" s="2" t="s">
        <v>22</v>
      </c>
      <c r="D1582" s="2" t="s">
        <v>23</v>
      </c>
      <c r="E1582" s="2" t="s">
        <v>16</v>
      </c>
      <c r="F1582" s="2" t="s">
        <v>28</v>
      </c>
      <c r="G1582" s="2" t="s">
        <v>48</v>
      </c>
      <c r="H1582" s="2" t="s">
        <v>88</v>
      </c>
      <c r="I1582" s="2" t="s">
        <v>36</v>
      </c>
      <c r="J1582" s="4">
        <v>1</v>
      </c>
      <c r="K1582" s="5">
        <v>81.66</v>
      </c>
      <c r="L1582" s="6">
        <v>0.05</v>
      </c>
      <c r="M1582" s="5">
        <v>77.58</v>
      </c>
      <c r="P1582" t="str">
        <f>TEXT(Tableau2[[#This Row],[Date]],"mmmm aaaa")</f>
        <v>juillet 2026</v>
      </c>
    </row>
    <row r="1583" spans="1:16">
      <c r="A1583" s="2" t="s">
        <v>1670</v>
      </c>
      <c r="B1583" s="3">
        <v>46111</v>
      </c>
      <c r="C1583" s="2" t="s">
        <v>130</v>
      </c>
      <c r="D1583" s="2" t="s">
        <v>53</v>
      </c>
      <c r="E1583" s="2" t="s">
        <v>34</v>
      </c>
      <c r="F1583" s="2" t="s">
        <v>28</v>
      </c>
      <c r="G1583" s="2" t="s">
        <v>29</v>
      </c>
      <c r="H1583" s="2" t="s">
        <v>30</v>
      </c>
      <c r="I1583" s="2" t="s">
        <v>45</v>
      </c>
      <c r="J1583" s="4">
        <v>3</v>
      </c>
      <c r="K1583" s="5">
        <v>25.37</v>
      </c>
      <c r="L1583" s="6">
        <v>0</v>
      </c>
      <c r="M1583" s="5">
        <v>76.11</v>
      </c>
      <c r="P1583" t="str">
        <f>TEXT(Tableau2[[#This Row],[Date]],"mmmm aaaa")</f>
        <v>mars 2026</v>
      </c>
    </row>
    <row r="1584" spans="1:16">
      <c r="A1584" s="2" t="s">
        <v>1671</v>
      </c>
      <c r="B1584" s="3">
        <v>46332</v>
      </c>
      <c r="C1584" s="2" t="s">
        <v>125</v>
      </c>
      <c r="D1584" s="2" t="s">
        <v>23</v>
      </c>
      <c r="E1584" s="2" t="s">
        <v>16</v>
      </c>
      <c r="F1584" s="2" t="s">
        <v>17</v>
      </c>
      <c r="G1584" s="2" t="s">
        <v>18</v>
      </c>
      <c r="H1584" s="2" t="s">
        <v>143</v>
      </c>
      <c r="I1584" s="2" t="s">
        <v>20</v>
      </c>
      <c r="J1584" s="4">
        <v>2</v>
      </c>
      <c r="K1584" s="5">
        <v>66.2</v>
      </c>
      <c r="L1584" s="6">
        <v>0.1</v>
      </c>
      <c r="M1584" s="5">
        <v>119.16</v>
      </c>
      <c r="P1584" t="str">
        <f>TEXT(Tableau2[[#This Row],[Date]],"mmmm aaaa")</f>
        <v>novembre 2026</v>
      </c>
    </row>
    <row r="1585" spans="1:16">
      <c r="A1585" s="2" t="s">
        <v>1672</v>
      </c>
      <c r="B1585" s="3">
        <v>46387</v>
      </c>
      <c r="C1585" s="2" t="s">
        <v>63</v>
      </c>
      <c r="D1585" s="2" t="s">
        <v>33</v>
      </c>
      <c r="E1585" s="2" t="s">
        <v>16</v>
      </c>
      <c r="F1585" s="2" t="s">
        <v>17</v>
      </c>
      <c r="G1585" s="2" t="s">
        <v>24</v>
      </c>
      <c r="H1585" s="2" t="s">
        <v>61</v>
      </c>
      <c r="I1585" s="2" t="s">
        <v>50</v>
      </c>
      <c r="J1585" s="4">
        <v>1</v>
      </c>
      <c r="K1585" s="5">
        <v>223.92</v>
      </c>
      <c r="L1585" s="6">
        <v>0</v>
      </c>
      <c r="M1585" s="5">
        <v>223.92</v>
      </c>
      <c r="P1585" t="str">
        <f>TEXT(Tableau2[[#This Row],[Date]],"mmmm aaaa")</f>
        <v>décembre 2026</v>
      </c>
    </row>
    <row r="1586" spans="1:16">
      <c r="A1586" s="2" t="s">
        <v>1673</v>
      </c>
      <c r="B1586" s="3">
        <v>46203</v>
      </c>
      <c r="C1586" s="2" t="s">
        <v>57</v>
      </c>
      <c r="D1586" s="2" t="s">
        <v>15</v>
      </c>
      <c r="E1586" s="2" t="s">
        <v>16</v>
      </c>
      <c r="F1586" s="2" t="s">
        <v>17</v>
      </c>
      <c r="G1586" s="2" t="s">
        <v>39</v>
      </c>
      <c r="H1586" s="2" t="s">
        <v>95</v>
      </c>
      <c r="I1586" s="2" t="s">
        <v>36</v>
      </c>
      <c r="J1586" s="4">
        <v>1</v>
      </c>
      <c r="K1586" s="5">
        <v>98.92</v>
      </c>
      <c r="L1586" s="6">
        <v>0</v>
      </c>
      <c r="M1586" s="5">
        <v>98.92</v>
      </c>
      <c r="P1586" t="str">
        <f>TEXT(Tableau2[[#This Row],[Date]],"mmmm aaaa")</f>
        <v>juin 2026</v>
      </c>
    </row>
    <row r="1587" spans="1:16">
      <c r="A1587" s="2" t="s">
        <v>1674</v>
      </c>
      <c r="B1587" s="3">
        <v>46262</v>
      </c>
      <c r="C1587" s="2" t="s">
        <v>178</v>
      </c>
      <c r="D1587" s="2" t="s">
        <v>15</v>
      </c>
      <c r="E1587" s="2" t="s">
        <v>34</v>
      </c>
      <c r="F1587" s="2" t="s">
        <v>28</v>
      </c>
      <c r="G1587" s="2" t="s">
        <v>29</v>
      </c>
      <c r="H1587" s="2" t="s">
        <v>44</v>
      </c>
      <c r="I1587" s="2" t="s">
        <v>26</v>
      </c>
      <c r="J1587" s="4">
        <v>2</v>
      </c>
      <c r="K1587" s="5">
        <v>40.58</v>
      </c>
      <c r="L1587" s="6">
        <v>0</v>
      </c>
      <c r="M1587" s="5">
        <v>81.16</v>
      </c>
      <c r="P1587" t="str">
        <f>TEXT(Tableau2[[#This Row],[Date]],"mmmm aaaa")</f>
        <v>août 2026</v>
      </c>
    </row>
    <row r="1588" spans="1:16">
      <c r="A1588" s="2" t="s">
        <v>1675</v>
      </c>
      <c r="B1588" s="3">
        <v>46298</v>
      </c>
      <c r="C1588" s="2" t="s">
        <v>60</v>
      </c>
      <c r="D1588" s="2" t="s">
        <v>33</v>
      </c>
      <c r="E1588" s="2" t="s">
        <v>16</v>
      </c>
      <c r="F1588" s="2" t="s">
        <v>17</v>
      </c>
      <c r="G1588" s="2" t="s">
        <v>54</v>
      </c>
      <c r="H1588" s="2" t="s">
        <v>102</v>
      </c>
      <c r="I1588" s="2" t="s">
        <v>75</v>
      </c>
      <c r="J1588" s="4">
        <v>1</v>
      </c>
      <c r="K1588" s="5">
        <v>219.44</v>
      </c>
      <c r="L1588" s="6">
        <v>0.1</v>
      </c>
      <c r="M1588" s="5">
        <v>197.5</v>
      </c>
      <c r="P1588" t="str">
        <f>TEXT(Tableau2[[#This Row],[Date]],"mmmm aaaa")</f>
        <v>octobre 2026</v>
      </c>
    </row>
    <row r="1589" spans="1:16">
      <c r="A1589" s="2" t="s">
        <v>1676</v>
      </c>
      <c r="B1589" s="3">
        <v>46381</v>
      </c>
      <c r="C1589" s="2" t="s">
        <v>164</v>
      </c>
      <c r="D1589" s="2" t="s">
        <v>53</v>
      </c>
      <c r="E1589" s="2" t="s">
        <v>34</v>
      </c>
      <c r="F1589" s="2" t="s">
        <v>17</v>
      </c>
      <c r="G1589" s="2" t="s">
        <v>18</v>
      </c>
      <c r="H1589" s="2" t="s">
        <v>136</v>
      </c>
      <c r="I1589" s="2" t="s">
        <v>20</v>
      </c>
      <c r="J1589" s="4">
        <v>6</v>
      </c>
      <c r="K1589" s="5">
        <v>30.05</v>
      </c>
      <c r="L1589" s="6">
        <v>0</v>
      </c>
      <c r="M1589" s="5">
        <v>180.3</v>
      </c>
      <c r="P1589" t="str">
        <f>TEXT(Tableau2[[#This Row],[Date]],"mmmm aaaa")</f>
        <v>décembre 2026</v>
      </c>
    </row>
    <row r="1590" spans="1:16">
      <c r="A1590" s="2" t="s">
        <v>1677</v>
      </c>
      <c r="B1590" s="3">
        <v>46177</v>
      </c>
      <c r="C1590" s="2" t="s">
        <v>57</v>
      </c>
      <c r="D1590" s="2" t="s">
        <v>15</v>
      </c>
      <c r="E1590" s="2" t="s">
        <v>16</v>
      </c>
      <c r="F1590" s="2" t="s">
        <v>28</v>
      </c>
      <c r="G1590" s="2" t="s">
        <v>18</v>
      </c>
      <c r="H1590" s="2" t="s">
        <v>158</v>
      </c>
      <c r="I1590" s="2" t="s">
        <v>20</v>
      </c>
      <c r="J1590" s="4">
        <v>2</v>
      </c>
      <c r="K1590" s="5">
        <v>48.18</v>
      </c>
      <c r="L1590" s="6">
        <v>0</v>
      </c>
      <c r="M1590" s="5">
        <v>96.36</v>
      </c>
      <c r="P1590" t="str">
        <f>TEXT(Tableau2[[#This Row],[Date]],"mmmm aaaa")</f>
        <v>juin 2026</v>
      </c>
    </row>
    <row r="1591" spans="1:16">
      <c r="A1591" s="2" t="s">
        <v>1678</v>
      </c>
      <c r="B1591" s="3">
        <v>46041</v>
      </c>
      <c r="C1591" s="2" t="s">
        <v>14</v>
      </c>
      <c r="D1591" s="2" t="s">
        <v>15</v>
      </c>
      <c r="E1591" s="2" t="s">
        <v>16</v>
      </c>
      <c r="F1591" s="2" t="s">
        <v>28</v>
      </c>
      <c r="G1591" s="2" t="s">
        <v>18</v>
      </c>
      <c r="H1591" s="2" t="s">
        <v>136</v>
      </c>
      <c r="I1591" s="2" t="s">
        <v>26</v>
      </c>
      <c r="J1591" s="4">
        <v>2</v>
      </c>
      <c r="K1591" s="5">
        <v>31.66</v>
      </c>
      <c r="L1591" s="6">
        <v>0</v>
      </c>
      <c r="M1591" s="5">
        <v>63.32</v>
      </c>
      <c r="P1591" t="str">
        <f>TEXT(Tableau2[[#This Row],[Date]],"mmmm aaaa")</f>
        <v>janvier 2026</v>
      </c>
    </row>
    <row r="1592" spans="1:16">
      <c r="A1592" s="2" t="s">
        <v>1679</v>
      </c>
      <c r="B1592" s="3">
        <v>46329</v>
      </c>
      <c r="C1592" s="2" t="s">
        <v>14</v>
      </c>
      <c r="D1592" s="2" t="s">
        <v>15</v>
      </c>
      <c r="E1592" s="2" t="s">
        <v>16</v>
      </c>
      <c r="F1592" s="2" t="s">
        <v>17</v>
      </c>
      <c r="G1592" s="2" t="s">
        <v>18</v>
      </c>
      <c r="H1592" s="2" t="s">
        <v>143</v>
      </c>
      <c r="I1592" s="2" t="s">
        <v>45</v>
      </c>
      <c r="J1592" s="4">
        <v>4</v>
      </c>
      <c r="K1592" s="5">
        <v>71.39</v>
      </c>
      <c r="L1592" s="6">
        <v>0</v>
      </c>
      <c r="M1592" s="5">
        <v>285.56</v>
      </c>
      <c r="P1592" t="str">
        <f>TEXT(Tableau2[[#This Row],[Date]],"mmmm aaaa")</f>
        <v>novembre 2026</v>
      </c>
    </row>
    <row r="1593" spans="1:16">
      <c r="A1593" s="2" t="s">
        <v>1680</v>
      </c>
      <c r="B1593" s="3">
        <v>46120</v>
      </c>
      <c r="C1593" s="2" t="s">
        <v>101</v>
      </c>
      <c r="D1593" s="2" t="s">
        <v>33</v>
      </c>
      <c r="E1593" s="2" t="s">
        <v>16</v>
      </c>
      <c r="F1593" s="2" t="s">
        <v>17</v>
      </c>
      <c r="G1593" s="2" t="s">
        <v>39</v>
      </c>
      <c r="H1593" s="2" t="s">
        <v>71</v>
      </c>
      <c r="I1593" s="2" t="s">
        <v>36</v>
      </c>
      <c r="J1593" s="4">
        <v>2</v>
      </c>
      <c r="K1593" s="5">
        <v>118.97</v>
      </c>
      <c r="L1593" s="6">
        <v>0</v>
      </c>
      <c r="M1593" s="5">
        <v>237.94</v>
      </c>
      <c r="P1593" t="str">
        <f>TEXT(Tableau2[[#This Row],[Date]],"mmmm aaaa")</f>
        <v>avril 2026</v>
      </c>
    </row>
    <row r="1594" spans="1:16">
      <c r="A1594" s="2" t="s">
        <v>1681</v>
      </c>
      <c r="B1594" s="3">
        <v>46340</v>
      </c>
      <c r="C1594" s="2" t="s">
        <v>63</v>
      </c>
      <c r="D1594" s="2" t="s">
        <v>33</v>
      </c>
      <c r="E1594" s="2" t="s">
        <v>38</v>
      </c>
      <c r="F1594" s="2" t="s">
        <v>17</v>
      </c>
      <c r="G1594" s="2" t="s">
        <v>48</v>
      </c>
      <c r="H1594" s="2" t="s">
        <v>84</v>
      </c>
      <c r="I1594" s="2" t="s">
        <v>41</v>
      </c>
      <c r="J1594" s="4">
        <v>5</v>
      </c>
      <c r="K1594" s="5">
        <v>98.1</v>
      </c>
      <c r="L1594" s="6">
        <v>0</v>
      </c>
      <c r="M1594" s="5">
        <v>490.5</v>
      </c>
      <c r="P1594" t="str">
        <f>TEXT(Tableau2[[#This Row],[Date]],"mmmm aaaa")</f>
        <v>novembre 2026</v>
      </c>
    </row>
    <row r="1595" spans="1:16">
      <c r="A1595" s="2" t="s">
        <v>1682</v>
      </c>
      <c r="B1595" s="3">
        <v>46321</v>
      </c>
      <c r="C1595" s="2" t="s">
        <v>57</v>
      </c>
      <c r="D1595" s="2" t="s">
        <v>15</v>
      </c>
      <c r="E1595" s="2" t="s">
        <v>16</v>
      </c>
      <c r="F1595" s="2" t="s">
        <v>28</v>
      </c>
      <c r="G1595" s="2" t="s">
        <v>48</v>
      </c>
      <c r="H1595" s="2" t="s">
        <v>88</v>
      </c>
      <c r="I1595" s="2" t="s">
        <v>26</v>
      </c>
      <c r="J1595" s="4">
        <v>3</v>
      </c>
      <c r="K1595" s="5">
        <v>69.97</v>
      </c>
      <c r="L1595" s="6">
        <v>0.15</v>
      </c>
      <c r="M1595" s="5">
        <v>178.42</v>
      </c>
      <c r="P1595" t="str">
        <f>TEXT(Tableau2[[#This Row],[Date]],"mmmm aaaa")</f>
        <v>octobre 2026</v>
      </c>
    </row>
    <row r="1596" spans="1:16">
      <c r="A1596" s="2" t="s">
        <v>1683</v>
      </c>
      <c r="B1596" s="3">
        <v>46189</v>
      </c>
      <c r="C1596" s="2" t="s">
        <v>156</v>
      </c>
      <c r="D1596" s="2" t="s">
        <v>15</v>
      </c>
      <c r="E1596" s="2" t="s">
        <v>16</v>
      </c>
      <c r="F1596" s="2" t="s">
        <v>17</v>
      </c>
      <c r="G1596" s="2" t="s">
        <v>18</v>
      </c>
      <c r="H1596" s="2" t="s">
        <v>143</v>
      </c>
      <c r="I1596" s="2" t="s">
        <v>45</v>
      </c>
      <c r="J1596" s="4">
        <v>2</v>
      </c>
      <c r="K1596" s="5">
        <v>69.709999999999994</v>
      </c>
      <c r="L1596" s="6">
        <v>0</v>
      </c>
      <c r="M1596" s="5">
        <v>139.41999999999999</v>
      </c>
      <c r="P1596" t="str">
        <f>TEXT(Tableau2[[#This Row],[Date]],"mmmm aaaa")</f>
        <v>juin 2026</v>
      </c>
    </row>
    <row r="1597" spans="1:16">
      <c r="A1597" s="2" t="s">
        <v>1684</v>
      </c>
      <c r="B1597" s="3">
        <v>46380</v>
      </c>
      <c r="C1597" s="2" t="s">
        <v>86</v>
      </c>
      <c r="D1597" s="2" t="s">
        <v>53</v>
      </c>
      <c r="E1597" s="2" t="s">
        <v>43</v>
      </c>
      <c r="F1597" s="2" t="s">
        <v>28</v>
      </c>
      <c r="G1597" s="2" t="s">
        <v>48</v>
      </c>
      <c r="H1597" s="2" t="s">
        <v>88</v>
      </c>
      <c r="I1597" s="2" t="s">
        <v>41</v>
      </c>
      <c r="J1597" s="4">
        <v>2</v>
      </c>
      <c r="K1597" s="5">
        <v>79.489999999999995</v>
      </c>
      <c r="L1597" s="6">
        <v>0</v>
      </c>
      <c r="M1597" s="5">
        <v>158.97999999999999</v>
      </c>
      <c r="P1597" t="str">
        <f>TEXT(Tableau2[[#This Row],[Date]],"mmmm aaaa")</f>
        <v>décembre 2026</v>
      </c>
    </row>
    <row r="1598" spans="1:16">
      <c r="A1598" s="2" t="s">
        <v>1685</v>
      </c>
      <c r="B1598" s="3">
        <v>46066</v>
      </c>
      <c r="C1598" s="2" t="s">
        <v>106</v>
      </c>
      <c r="D1598" s="2" t="s">
        <v>23</v>
      </c>
      <c r="E1598" s="2" t="s">
        <v>43</v>
      </c>
      <c r="F1598" s="2" t="s">
        <v>28</v>
      </c>
      <c r="G1598" s="2" t="s">
        <v>48</v>
      </c>
      <c r="H1598" s="2" t="s">
        <v>84</v>
      </c>
      <c r="I1598" s="2" t="s">
        <v>41</v>
      </c>
      <c r="J1598" s="4">
        <v>2</v>
      </c>
      <c r="K1598" s="5">
        <v>96.12</v>
      </c>
      <c r="L1598" s="6">
        <v>0.05</v>
      </c>
      <c r="M1598" s="5">
        <v>182.63</v>
      </c>
      <c r="P1598" t="str">
        <f>TEXT(Tableau2[[#This Row],[Date]],"mmmm aaaa")</f>
        <v>février 2026</v>
      </c>
    </row>
    <row r="1599" spans="1:16">
      <c r="A1599" s="2" t="s">
        <v>1686</v>
      </c>
      <c r="B1599" s="3">
        <v>46171</v>
      </c>
      <c r="C1599" s="2" t="s">
        <v>63</v>
      </c>
      <c r="D1599" s="2" t="s">
        <v>33</v>
      </c>
      <c r="E1599" s="2" t="s">
        <v>34</v>
      </c>
      <c r="F1599" s="2" t="s">
        <v>28</v>
      </c>
      <c r="G1599" s="2" t="s">
        <v>29</v>
      </c>
      <c r="H1599" s="2" t="s">
        <v>44</v>
      </c>
      <c r="I1599" s="2" t="s">
        <v>41</v>
      </c>
      <c r="J1599" s="4">
        <v>8</v>
      </c>
      <c r="K1599" s="5">
        <v>35.42</v>
      </c>
      <c r="L1599" s="6">
        <v>0</v>
      </c>
      <c r="M1599" s="5">
        <v>283.36</v>
      </c>
      <c r="P1599" t="str">
        <f>TEXT(Tableau2[[#This Row],[Date]],"mmmm aaaa")</f>
        <v>mai 2026</v>
      </c>
    </row>
    <row r="1600" spans="1:16">
      <c r="A1600" s="2" t="s">
        <v>1687</v>
      </c>
      <c r="B1600" s="3">
        <v>46146</v>
      </c>
      <c r="C1600" s="2" t="s">
        <v>63</v>
      </c>
      <c r="D1600" s="2" t="s">
        <v>33</v>
      </c>
      <c r="E1600" s="2" t="s">
        <v>34</v>
      </c>
      <c r="F1600" s="2" t="s">
        <v>17</v>
      </c>
      <c r="G1600" s="2" t="s">
        <v>54</v>
      </c>
      <c r="H1600" s="2" t="s">
        <v>55</v>
      </c>
      <c r="I1600" s="2" t="s">
        <v>75</v>
      </c>
      <c r="J1600" s="4">
        <v>3</v>
      </c>
      <c r="K1600" s="5">
        <v>152.75</v>
      </c>
      <c r="L1600" s="6">
        <v>0.15</v>
      </c>
      <c r="M1600" s="5">
        <v>389.51</v>
      </c>
      <c r="P1600" t="str">
        <f>TEXT(Tableau2[[#This Row],[Date]],"mmmm aaaa")</f>
        <v>mai 2026</v>
      </c>
    </row>
    <row r="1601" spans="1:16">
      <c r="A1601" s="2" t="s">
        <v>1688</v>
      </c>
      <c r="B1601" s="3">
        <v>46033</v>
      </c>
      <c r="C1601" s="2" t="s">
        <v>86</v>
      </c>
      <c r="D1601" s="2" t="s">
        <v>53</v>
      </c>
      <c r="E1601" s="2" t="s">
        <v>34</v>
      </c>
      <c r="F1601" s="2" t="s">
        <v>17</v>
      </c>
      <c r="G1601" s="2" t="s">
        <v>48</v>
      </c>
      <c r="H1601" s="2" t="s">
        <v>77</v>
      </c>
      <c r="I1601" s="2" t="s">
        <v>45</v>
      </c>
      <c r="J1601" s="4">
        <v>2</v>
      </c>
      <c r="K1601" s="5">
        <v>87.47</v>
      </c>
      <c r="L1601" s="6">
        <v>0</v>
      </c>
      <c r="M1601" s="5">
        <v>174.94</v>
      </c>
      <c r="P1601" t="str">
        <f>TEXT(Tableau2[[#This Row],[Date]],"mmmm aaaa")</f>
        <v>janvier 2026</v>
      </c>
    </row>
    <row r="1602" spans="1:16">
      <c r="A1602" s="2" t="s">
        <v>1689</v>
      </c>
      <c r="B1602" s="3">
        <v>46083</v>
      </c>
      <c r="C1602" s="2" t="s">
        <v>57</v>
      </c>
      <c r="D1602" s="2" t="s">
        <v>15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75</v>
      </c>
      <c r="J1602" s="4">
        <v>6</v>
      </c>
      <c r="K1602" s="5">
        <v>53.77</v>
      </c>
      <c r="L1602" s="6">
        <v>0.3</v>
      </c>
      <c r="M1602" s="5">
        <v>225.83</v>
      </c>
      <c r="P1602" t="str">
        <f>TEXT(Tableau2[[#This Row],[Date]],"mmmm aaaa")</f>
        <v>mars 2026</v>
      </c>
    </row>
    <row r="1603" spans="1:16">
      <c r="A1603" s="2" t="s">
        <v>1690</v>
      </c>
      <c r="B1603" s="3">
        <v>46356</v>
      </c>
      <c r="C1603" s="2" t="s">
        <v>66</v>
      </c>
      <c r="D1603" s="2" t="s">
        <v>23</v>
      </c>
      <c r="E1603" s="2" t="s">
        <v>43</v>
      </c>
      <c r="F1603" s="2" t="s">
        <v>28</v>
      </c>
      <c r="G1603" s="2" t="s">
        <v>54</v>
      </c>
      <c r="H1603" s="2" t="s">
        <v>64</v>
      </c>
      <c r="I1603" s="2" t="s">
        <v>36</v>
      </c>
      <c r="J1603" s="4">
        <v>8</v>
      </c>
      <c r="K1603" s="5">
        <v>85.77</v>
      </c>
      <c r="L1603" s="6">
        <v>0.05</v>
      </c>
      <c r="M1603" s="5">
        <v>651.85</v>
      </c>
      <c r="P1603" t="str">
        <f>TEXT(Tableau2[[#This Row],[Date]],"mmmm aaaa")</f>
        <v>novembre 2026</v>
      </c>
    </row>
    <row r="1604" spans="1:16">
      <c r="A1604" s="2" t="s">
        <v>1691</v>
      </c>
      <c r="B1604" s="3">
        <v>46239</v>
      </c>
      <c r="C1604" s="2" t="s">
        <v>134</v>
      </c>
      <c r="D1604" s="2" t="s">
        <v>15</v>
      </c>
      <c r="E1604" s="2" t="s">
        <v>34</v>
      </c>
      <c r="F1604" s="2" t="s">
        <v>28</v>
      </c>
      <c r="G1604" s="2" t="s">
        <v>18</v>
      </c>
      <c r="H1604" s="2" t="s">
        <v>136</v>
      </c>
      <c r="I1604" s="2" t="s">
        <v>50</v>
      </c>
      <c r="J1604" s="4">
        <v>2</v>
      </c>
      <c r="K1604" s="5">
        <v>33.450000000000003</v>
      </c>
      <c r="L1604" s="6">
        <v>0</v>
      </c>
      <c r="M1604" s="5">
        <v>66.900000000000006</v>
      </c>
      <c r="P1604" t="str">
        <f>TEXT(Tableau2[[#This Row],[Date]],"mmmm aaaa")</f>
        <v>août 2026</v>
      </c>
    </row>
    <row r="1605" spans="1:16">
      <c r="A1605" s="2" t="s">
        <v>1692</v>
      </c>
      <c r="B1605" s="3">
        <v>46362</v>
      </c>
      <c r="C1605" s="2" t="s">
        <v>160</v>
      </c>
      <c r="D1605" s="2" t="s">
        <v>33</v>
      </c>
      <c r="E1605" s="2" t="s">
        <v>16</v>
      </c>
      <c r="F1605" s="2" t="s">
        <v>17</v>
      </c>
      <c r="G1605" s="2" t="s">
        <v>29</v>
      </c>
      <c r="H1605" s="2" t="s">
        <v>99</v>
      </c>
      <c r="I1605" s="2" t="s">
        <v>75</v>
      </c>
      <c r="J1605" s="4">
        <v>6</v>
      </c>
      <c r="K1605" s="5">
        <v>58.22</v>
      </c>
      <c r="L1605" s="6">
        <v>0</v>
      </c>
      <c r="M1605" s="5">
        <v>349.32</v>
      </c>
      <c r="P1605" t="str">
        <f>TEXT(Tableau2[[#This Row],[Date]],"mmmm aaaa")</f>
        <v>décembre 2026</v>
      </c>
    </row>
    <row r="1606" spans="1:16">
      <c r="A1606" s="2" t="s">
        <v>1693</v>
      </c>
      <c r="B1606" s="3">
        <v>46334</v>
      </c>
      <c r="C1606" s="2" t="s">
        <v>14</v>
      </c>
      <c r="D1606" s="2" t="s">
        <v>15</v>
      </c>
      <c r="E1606" s="2" t="s">
        <v>16</v>
      </c>
      <c r="F1606" s="2" t="s">
        <v>28</v>
      </c>
      <c r="G1606" s="2" t="s">
        <v>24</v>
      </c>
      <c r="H1606" s="2" t="s">
        <v>61</v>
      </c>
      <c r="I1606" s="2" t="s">
        <v>36</v>
      </c>
      <c r="J1606" s="4">
        <v>13</v>
      </c>
      <c r="K1606" s="5">
        <v>246.24</v>
      </c>
      <c r="L1606" s="6">
        <v>0</v>
      </c>
      <c r="M1606" s="5">
        <v>3201.12</v>
      </c>
      <c r="P1606" t="str">
        <f>TEXT(Tableau2[[#This Row],[Date]],"mmmm aaaa")</f>
        <v>novembre 2026</v>
      </c>
    </row>
    <row r="1607" spans="1:16">
      <c r="A1607" s="2" t="s">
        <v>1694</v>
      </c>
      <c r="B1607" s="3">
        <v>46229</v>
      </c>
      <c r="C1607" s="2" t="s">
        <v>94</v>
      </c>
      <c r="D1607" s="2" t="s">
        <v>15</v>
      </c>
      <c r="E1607" s="2" t="s">
        <v>43</v>
      </c>
      <c r="F1607" s="2" t="s">
        <v>17</v>
      </c>
      <c r="G1607" s="2" t="s">
        <v>18</v>
      </c>
      <c r="H1607" s="2" t="s">
        <v>136</v>
      </c>
      <c r="I1607" s="2" t="s">
        <v>41</v>
      </c>
      <c r="J1607" s="4">
        <v>1</v>
      </c>
      <c r="K1607" s="5">
        <v>30.65</v>
      </c>
      <c r="L1607" s="6">
        <v>0</v>
      </c>
      <c r="M1607" s="5">
        <v>30.65</v>
      </c>
      <c r="P1607" t="str">
        <f>TEXT(Tableau2[[#This Row],[Date]],"mmmm aaaa")</f>
        <v>juillet 2026</v>
      </c>
    </row>
    <row r="1608" spans="1:16">
      <c r="A1608" s="2" t="s">
        <v>1695</v>
      </c>
      <c r="B1608" s="3">
        <v>46174</v>
      </c>
      <c r="C1608" s="2" t="s">
        <v>164</v>
      </c>
      <c r="D1608" s="2" t="s">
        <v>53</v>
      </c>
      <c r="E1608" s="2" t="s">
        <v>16</v>
      </c>
      <c r="F1608" s="2" t="s">
        <v>28</v>
      </c>
      <c r="G1608" s="2" t="s">
        <v>48</v>
      </c>
      <c r="H1608" s="2" t="s">
        <v>77</v>
      </c>
      <c r="I1608" s="2" t="s">
        <v>41</v>
      </c>
      <c r="J1608" s="4">
        <v>1</v>
      </c>
      <c r="K1608" s="5">
        <v>85.56</v>
      </c>
      <c r="L1608" s="6">
        <v>0</v>
      </c>
      <c r="M1608" s="5">
        <v>85.56</v>
      </c>
      <c r="P1608" t="str">
        <f>TEXT(Tableau2[[#This Row],[Date]],"mmmm aaaa")</f>
        <v>juin 2026</v>
      </c>
    </row>
    <row r="1609" spans="1:16">
      <c r="A1609" s="2" t="s">
        <v>1696</v>
      </c>
      <c r="B1609" s="3">
        <v>46110</v>
      </c>
      <c r="C1609" s="2" t="s">
        <v>130</v>
      </c>
      <c r="D1609" s="2" t="s">
        <v>53</v>
      </c>
      <c r="E1609" s="2" t="s">
        <v>34</v>
      </c>
      <c r="F1609" s="2" t="s">
        <v>28</v>
      </c>
      <c r="G1609" s="2" t="s">
        <v>48</v>
      </c>
      <c r="H1609" s="2" t="s">
        <v>88</v>
      </c>
      <c r="I1609" s="2" t="s">
        <v>26</v>
      </c>
      <c r="J1609" s="4">
        <v>1</v>
      </c>
      <c r="K1609" s="5">
        <v>72.819999999999993</v>
      </c>
      <c r="L1609" s="6">
        <v>0</v>
      </c>
      <c r="M1609" s="5">
        <v>72.819999999999993</v>
      </c>
      <c r="P1609" t="str">
        <f>TEXT(Tableau2[[#This Row],[Date]],"mmmm aaaa")</f>
        <v>mars 2026</v>
      </c>
    </row>
    <row r="1610" spans="1:16">
      <c r="A1610" s="2" t="s">
        <v>1697</v>
      </c>
      <c r="B1610" s="3">
        <v>46121</v>
      </c>
      <c r="C1610" s="2" t="s">
        <v>14</v>
      </c>
      <c r="D1610" s="2" t="s">
        <v>15</v>
      </c>
      <c r="E1610" s="2" t="s">
        <v>38</v>
      </c>
      <c r="F1610" s="2" t="s">
        <v>28</v>
      </c>
      <c r="G1610" s="2" t="s">
        <v>18</v>
      </c>
      <c r="H1610" s="2" t="s">
        <v>136</v>
      </c>
      <c r="I1610" s="2" t="s">
        <v>45</v>
      </c>
      <c r="J1610" s="4">
        <v>3</v>
      </c>
      <c r="K1610" s="5">
        <v>29.83</v>
      </c>
      <c r="L1610" s="6">
        <v>0</v>
      </c>
      <c r="M1610" s="5">
        <v>89.49</v>
      </c>
      <c r="P1610" t="str">
        <f>TEXT(Tableau2[[#This Row],[Date]],"mmmm aaaa")</f>
        <v>avril 2026</v>
      </c>
    </row>
    <row r="1611" spans="1:16">
      <c r="A1611" s="2" t="s">
        <v>1698</v>
      </c>
      <c r="B1611" s="3">
        <v>46212</v>
      </c>
      <c r="C1611" s="2" t="s">
        <v>57</v>
      </c>
      <c r="D1611" s="2" t="s">
        <v>15</v>
      </c>
      <c r="E1611" s="2" t="s">
        <v>16</v>
      </c>
      <c r="F1611" s="2" t="s">
        <v>28</v>
      </c>
      <c r="G1611" s="2" t="s">
        <v>39</v>
      </c>
      <c r="H1611" s="2" t="s">
        <v>71</v>
      </c>
      <c r="I1611" s="2" t="s">
        <v>26</v>
      </c>
      <c r="J1611" s="4">
        <v>1</v>
      </c>
      <c r="K1611" s="5">
        <v>118.22</v>
      </c>
      <c r="L1611" s="6">
        <v>0</v>
      </c>
      <c r="M1611" s="5">
        <v>118.22</v>
      </c>
      <c r="P1611" t="str">
        <f>TEXT(Tableau2[[#This Row],[Date]],"mmmm aaaa")</f>
        <v>juillet 2026</v>
      </c>
    </row>
    <row r="1612" spans="1:16">
      <c r="A1612" s="2" t="s">
        <v>1699</v>
      </c>
      <c r="B1612" s="3">
        <v>46190</v>
      </c>
      <c r="C1612" s="2" t="s">
        <v>57</v>
      </c>
      <c r="D1612" s="2" t="s">
        <v>15</v>
      </c>
      <c r="E1612" s="2" t="s">
        <v>16</v>
      </c>
      <c r="F1612" s="2" t="s">
        <v>28</v>
      </c>
      <c r="G1612" s="2" t="s">
        <v>18</v>
      </c>
      <c r="H1612" s="2" t="s">
        <v>19</v>
      </c>
      <c r="I1612" s="2" t="s">
        <v>41</v>
      </c>
      <c r="J1612" s="4">
        <v>3</v>
      </c>
      <c r="K1612" s="5">
        <v>55.13</v>
      </c>
      <c r="L1612" s="6">
        <v>0.1</v>
      </c>
      <c r="M1612" s="5">
        <v>148.85</v>
      </c>
      <c r="P1612" t="str">
        <f>TEXT(Tableau2[[#This Row],[Date]],"mmmm aaaa")</f>
        <v>juin 2026</v>
      </c>
    </row>
    <row r="1613" spans="1:16">
      <c r="A1613" s="2" t="s">
        <v>1700</v>
      </c>
      <c r="B1613" s="3">
        <v>46282</v>
      </c>
      <c r="C1613" s="2" t="s">
        <v>32</v>
      </c>
      <c r="D1613" s="2" t="s">
        <v>33</v>
      </c>
      <c r="E1613" s="2" t="s">
        <v>43</v>
      </c>
      <c r="F1613" s="2" t="s">
        <v>17</v>
      </c>
      <c r="G1613" s="2" t="s">
        <v>18</v>
      </c>
      <c r="H1613" s="2" t="s">
        <v>143</v>
      </c>
      <c r="I1613" s="2" t="s">
        <v>41</v>
      </c>
      <c r="J1613" s="4">
        <v>2</v>
      </c>
      <c r="K1613" s="5">
        <v>71.56</v>
      </c>
      <c r="L1613" s="6">
        <v>0</v>
      </c>
      <c r="M1613" s="5">
        <v>143.12</v>
      </c>
      <c r="P1613" t="str">
        <f>TEXT(Tableau2[[#This Row],[Date]],"mmmm aaaa")</f>
        <v>septembre 2026</v>
      </c>
    </row>
    <row r="1614" spans="1:16">
      <c r="A1614" s="2" t="s">
        <v>1701</v>
      </c>
      <c r="B1614" s="3">
        <v>46359</v>
      </c>
      <c r="C1614" s="2" t="s">
        <v>79</v>
      </c>
      <c r="D1614" s="2" t="s">
        <v>33</v>
      </c>
      <c r="E1614" s="2" t="s">
        <v>34</v>
      </c>
      <c r="F1614" s="2" t="s">
        <v>17</v>
      </c>
      <c r="G1614" s="2" t="s">
        <v>29</v>
      </c>
      <c r="H1614" s="2" t="s">
        <v>99</v>
      </c>
      <c r="I1614" s="2" t="s">
        <v>20</v>
      </c>
      <c r="J1614" s="4">
        <v>1</v>
      </c>
      <c r="K1614" s="5">
        <v>58.61</v>
      </c>
      <c r="L1614" s="6">
        <v>0</v>
      </c>
      <c r="M1614" s="5">
        <v>58.61</v>
      </c>
      <c r="P1614" t="str">
        <f>TEXT(Tableau2[[#This Row],[Date]],"mmmm aaaa")</f>
        <v>décembre 2026</v>
      </c>
    </row>
    <row r="1615" spans="1:16">
      <c r="A1615" s="2" t="s">
        <v>1702</v>
      </c>
      <c r="B1615" s="3">
        <v>46062</v>
      </c>
      <c r="C1615" s="2" t="s">
        <v>116</v>
      </c>
      <c r="D1615" s="2" t="s">
        <v>15</v>
      </c>
      <c r="E1615" s="2" t="s">
        <v>16</v>
      </c>
      <c r="F1615" s="2" t="s">
        <v>17</v>
      </c>
      <c r="G1615" s="2" t="s">
        <v>54</v>
      </c>
      <c r="H1615" s="2" t="s">
        <v>102</v>
      </c>
      <c r="I1615" s="2" t="s">
        <v>26</v>
      </c>
      <c r="J1615" s="4">
        <v>6</v>
      </c>
      <c r="K1615" s="5">
        <v>212.51</v>
      </c>
      <c r="L1615" s="6">
        <v>0</v>
      </c>
      <c r="M1615" s="5">
        <v>1275.06</v>
      </c>
      <c r="P1615" t="str">
        <f>TEXT(Tableau2[[#This Row],[Date]],"mmmm aaaa")</f>
        <v>février 2026</v>
      </c>
    </row>
    <row r="1616" spans="1:16">
      <c r="A1616" s="2" t="s">
        <v>1703</v>
      </c>
      <c r="B1616" s="3">
        <v>46148</v>
      </c>
      <c r="C1616" s="2" t="s">
        <v>178</v>
      </c>
      <c r="D1616" s="2" t="s">
        <v>15</v>
      </c>
      <c r="E1616" s="2" t="s">
        <v>43</v>
      </c>
      <c r="F1616" s="2" t="s">
        <v>28</v>
      </c>
      <c r="G1616" s="2" t="s">
        <v>54</v>
      </c>
      <c r="H1616" s="2" t="s">
        <v>64</v>
      </c>
      <c r="I1616" s="2" t="s">
        <v>36</v>
      </c>
      <c r="J1616" s="4">
        <v>3</v>
      </c>
      <c r="K1616" s="5">
        <v>86.71</v>
      </c>
      <c r="L1616" s="6">
        <v>0</v>
      </c>
      <c r="M1616" s="5">
        <v>260.13</v>
      </c>
      <c r="P1616" t="str">
        <f>TEXT(Tableau2[[#This Row],[Date]],"mmmm aaaa")</f>
        <v>mai 2026</v>
      </c>
    </row>
    <row r="1617" spans="1:16">
      <c r="A1617" s="2" t="s">
        <v>1704</v>
      </c>
      <c r="B1617" s="3">
        <v>46259</v>
      </c>
      <c r="C1617" s="2" t="s">
        <v>63</v>
      </c>
      <c r="D1617" s="2" t="s">
        <v>33</v>
      </c>
      <c r="E1617" s="2" t="s">
        <v>38</v>
      </c>
      <c r="F1617" s="2" t="s">
        <v>17</v>
      </c>
      <c r="G1617" s="2" t="s">
        <v>48</v>
      </c>
      <c r="H1617" s="2" t="s">
        <v>49</v>
      </c>
      <c r="I1617" s="2" t="s">
        <v>75</v>
      </c>
      <c r="J1617" s="4">
        <v>1</v>
      </c>
      <c r="K1617" s="5">
        <v>59.08</v>
      </c>
      <c r="L1617" s="6">
        <v>0.05</v>
      </c>
      <c r="M1617" s="5">
        <v>56.13</v>
      </c>
      <c r="P1617" t="str">
        <f>TEXT(Tableau2[[#This Row],[Date]],"mmmm aaaa")</f>
        <v>août 2026</v>
      </c>
    </row>
    <row r="1618" spans="1:16">
      <c r="A1618" s="2" t="s">
        <v>1705</v>
      </c>
      <c r="B1618" s="3">
        <v>46330</v>
      </c>
      <c r="C1618" s="2" t="s">
        <v>160</v>
      </c>
      <c r="D1618" s="2" t="s">
        <v>33</v>
      </c>
      <c r="E1618" s="2" t="s">
        <v>16</v>
      </c>
      <c r="F1618" s="2" t="s">
        <v>28</v>
      </c>
      <c r="G1618" s="2" t="s">
        <v>48</v>
      </c>
      <c r="H1618" s="2" t="s">
        <v>49</v>
      </c>
      <c r="I1618" s="2" t="s">
        <v>26</v>
      </c>
      <c r="J1618" s="4">
        <v>18</v>
      </c>
      <c r="K1618" s="5">
        <v>58.06</v>
      </c>
      <c r="L1618" s="6">
        <v>0</v>
      </c>
      <c r="M1618" s="5">
        <v>1045.08</v>
      </c>
      <c r="P1618" t="str">
        <f>TEXT(Tableau2[[#This Row],[Date]],"mmmm aaaa")</f>
        <v>novembre 2026</v>
      </c>
    </row>
    <row r="1619" spans="1:16">
      <c r="A1619" s="2" t="s">
        <v>1706</v>
      </c>
      <c r="B1619" s="3">
        <v>46332</v>
      </c>
      <c r="C1619" s="2" t="s">
        <v>32</v>
      </c>
      <c r="D1619" s="2" t="s">
        <v>33</v>
      </c>
      <c r="E1619" s="2" t="s">
        <v>38</v>
      </c>
      <c r="F1619" s="2" t="s">
        <v>17</v>
      </c>
      <c r="G1619" s="2" t="s">
        <v>48</v>
      </c>
      <c r="H1619" s="2" t="s">
        <v>84</v>
      </c>
      <c r="I1619" s="2" t="s">
        <v>36</v>
      </c>
      <c r="J1619" s="4">
        <v>4</v>
      </c>
      <c r="K1619" s="5">
        <v>98.02</v>
      </c>
      <c r="L1619" s="6">
        <v>0</v>
      </c>
      <c r="M1619" s="5">
        <v>392.08</v>
      </c>
      <c r="P1619" t="str">
        <f>TEXT(Tableau2[[#This Row],[Date]],"mmmm aaaa")</f>
        <v>novembre 2026</v>
      </c>
    </row>
    <row r="1620" spans="1:16">
      <c r="A1620" s="2" t="s">
        <v>1707</v>
      </c>
      <c r="B1620" s="3">
        <v>46229</v>
      </c>
      <c r="C1620" s="2" t="s">
        <v>60</v>
      </c>
      <c r="D1620" s="2" t="s">
        <v>33</v>
      </c>
      <c r="E1620" s="2" t="s">
        <v>16</v>
      </c>
      <c r="F1620" s="2" t="s">
        <v>17</v>
      </c>
      <c r="G1620" s="2" t="s">
        <v>18</v>
      </c>
      <c r="H1620" s="2" t="s">
        <v>143</v>
      </c>
      <c r="I1620" s="2" t="s">
        <v>26</v>
      </c>
      <c r="J1620" s="4">
        <v>1</v>
      </c>
      <c r="K1620" s="5">
        <v>69.12</v>
      </c>
      <c r="L1620" s="6">
        <v>0</v>
      </c>
      <c r="M1620" s="5">
        <v>69.12</v>
      </c>
      <c r="P1620" t="str">
        <f>TEXT(Tableau2[[#This Row],[Date]],"mmmm aaaa")</f>
        <v>juillet 2026</v>
      </c>
    </row>
    <row r="1621" spans="1:16">
      <c r="A1621" s="2" t="s">
        <v>1708</v>
      </c>
      <c r="B1621" s="3">
        <v>46337</v>
      </c>
      <c r="C1621" s="2" t="s">
        <v>106</v>
      </c>
      <c r="D1621" s="2" t="s">
        <v>23</v>
      </c>
      <c r="E1621" s="2" t="s">
        <v>38</v>
      </c>
      <c r="F1621" s="2" t="s">
        <v>28</v>
      </c>
      <c r="G1621" s="2" t="s">
        <v>24</v>
      </c>
      <c r="H1621" s="2" t="s">
        <v>25</v>
      </c>
      <c r="I1621" s="2" t="s">
        <v>36</v>
      </c>
      <c r="J1621" s="4">
        <v>5</v>
      </c>
      <c r="K1621" s="5">
        <v>126.96</v>
      </c>
      <c r="L1621" s="6">
        <v>0</v>
      </c>
      <c r="M1621" s="5">
        <v>634.79999999999995</v>
      </c>
      <c r="P1621" t="str">
        <f>TEXT(Tableau2[[#This Row],[Date]],"mmmm aaaa")</f>
        <v>novembre 2026</v>
      </c>
    </row>
    <row r="1622" spans="1:16">
      <c r="A1622" s="2" t="s">
        <v>1709</v>
      </c>
      <c r="B1622" s="3">
        <v>46220</v>
      </c>
      <c r="C1622" s="2" t="s">
        <v>441</v>
      </c>
      <c r="D1622" s="2" t="s">
        <v>23</v>
      </c>
      <c r="E1622" s="2" t="s">
        <v>16</v>
      </c>
      <c r="F1622" s="2" t="s">
        <v>17</v>
      </c>
      <c r="G1622" s="2" t="s">
        <v>18</v>
      </c>
      <c r="H1622" s="2" t="s">
        <v>143</v>
      </c>
      <c r="I1622" s="2" t="s">
        <v>75</v>
      </c>
      <c r="J1622" s="4">
        <v>3</v>
      </c>
      <c r="K1622" s="5">
        <v>71.63</v>
      </c>
      <c r="L1622" s="6">
        <v>0.1</v>
      </c>
      <c r="M1622" s="5">
        <v>193.4</v>
      </c>
      <c r="P1622" t="str">
        <f>TEXT(Tableau2[[#This Row],[Date]],"mmmm aaaa")</f>
        <v>juillet 2026</v>
      </c>
    </row>
    <row r="1623" spans="1:16">
      <c r="A1623" s="2" t="s">
        <v>1710</v>
      </c>
      <c r="B1623" s="3">
        <v>46219</v>
      </c>
      <c r="C1623" s="2" t="s">
        <v>57</v>
      </c>
      <c r="D1623" s="2" t="s">
        <v>15</v>
      </c>
      <c r="E1623" s="2" t="s">
        <v>34</v>
      </c>
      <c r="F1623" s="2" t="s">
        <v>17</v>
      </c>
      <c r="G1623" s="2" t="s">
        <v>39</v>
      </c>
      <c r="H1623" s="2" t="s">
        <v>71</v>
      </c>
      <c r="I1623" s="2" t="s">
        <v>58</v>
      </c>
      <c r="J1623" s="4">
        <v>1</v>
      </c>
      <c r="K1623" s="5">
        <v>114.43</v>
      </c>
      <c r="L1623" s="6">
        <v>0</v>
      </c>
      <c r="M1623" s="5">
        <v>114.43</v>
      </c>
      <c r="P1623" t="str">
        <f>TEXT(Tableau2[[#This Row],[Date]],"mmmm aaaa")</f>
        <v>juillet 2026</v>
      </c>
    </row>
    <row r="1624" spans="1:16">
      <c r="A1624" s="2" t="s">
        <v>1711</v>
      </c>
      <c r="B1624" s="3">
        <v>46277</v>
      </c>
      <c r="C1624" s="2" t="s">
        <v>79</v>
      </c>
      <c r="D1624" s="2" t="s">
        <v>33</v>
      </c>
      <c r="E1624" s="2" t="s">
        <v>16</v>
      </c>
      <c r="F1624" s="2" t="s">
        <v>28</v>
      </c>
      <c r="G1624" s="2" t="s">
        <v>24</v>
      </c>
      <c r="H1624" s="2" t="s">
        <v>25</v>
      </c>
      <c r="I1624" s="2" t="s">
        <v>50</v>
      </c>
      <c r="J1624" s="4">
        <v>2</v>
      </c>
      <c r="K1624" s="5">
        <v>130.08000000000001</v>
      </c>
      <c r="L1624" s="6">
        <v>0</v>
      </c>
      <c r="M1624" s="5">
        <v>260.16000000000003</v>
      </c>
      <c r="P1624" t="str">
        <f>TEXT(Tableau2[[#This Row],[Date]],"mmmm aaaa")</f>
        <v>septembre 2026</v>
      </c>
    </row>
    <row r="1625" spans="1:16">
      <c r="A1625" s="2" t="s">
        <v>1712</v>
      </c>
      <c r="B1625" s="3">
        <v>46188</v>
      </c>
      <c r="C1625" s="2" t="s">
        <v>79</v>
      </c>
      <c r="D1625" s="2" t="s">
        <v>33</v>
      </c>
      <c r="E1625" s="2" t="s">
        <v>43</v>
      </c>
      <c r="F1625" s="2" t="s">
        <v>28</v>
      </c>
      <c r="G1625" s="2" t="s">
        <v>24</v>
      </c>
      <c r="H1625" s="2" t="s">
        <v>82</v>
      </c>
      <c r="I1625" s="2" t="s">
        <v>50</v>
      </c>
      <c r="J1625" s="4">
        <v>2</v>
      </c>
      <c r="K1625" s="5">
        <v>271.98</v>
      </c>
      <c r="L1625" s="6">
        <v>0</v>
      </c>
      <c r="M1625" s="5">
        <v>543.96</v>
      </c>
      <c r="P1625" t="str">
        <f>TEXT(Tableau2[[#This Row],[Date]],"mmmm aaaa")</f>
        <v>juin 2026</v>
      </c>
    </row>
    <row r="1626" spans="1:16">
      <c r="A1626" s="2" t="s">
        <v>1713</v>
      </c>
      <c r="B1626" s="3">
        <v>46183</v>
      </c>
      <c r="C1626" s="2" t="s">
        <v>47</v>
      </c>
      <c r="D1626" s="2" t="s">
        <v>15</v>
      </c>
      <c r="E1626" s="2" t="s">
        <v>34</v>
      </c>
      <c r="F1626" s="2" t="s">
        <v>17</v>
      </c>
      <c r="G1626" s="2" t="s">
        <v>54</v>
      </c>
      <c r="H1626" s="2" t="s">
        <v>55</v>
      </c>
      <c r="I1626" s="2" t="s">
        <v>58</v>
      </c>
      <c r="J1626" s="4">
        <v>1</v>
      </c>
      <c r="K1626" s="5">
        <v>147.68</v>
      </c>
      <c r="L1626" s="6">
        <v>0</v>
      </c>
      <c r="M1626" s="5">
        <v>147.68</v>
      </c>
      <c r="P1626" t="str">
        <f>TEXT(Tableau2[[#This Row],[Date]],"mmmm aaaa")</f>
        <v>juin 2026</v>
      </c>
    </row>
    <row r="1627" spans="1:16">
      <c r="A1627" s="2" t="s">
        <v>1714</v>
      </c>
      <c r="B1627" s="3">
        <v>46345</v>
      </c>
      <c r="C1627" s="2" t="s">
        <v>52</v>
      </c>
      <c r="D1627" s="2" t="s">
        <v>53</v>
      </c>
      <c r="E1627" s="2" t="s">
        <v>34</v>
      </c>
      <c r="F1627" s="2" t="s">
        <v>17</v>
      </c>
      <c r="G1627" s="2" t="s">
        <v>48</v>
      </c>
      <c r="H1627" s="2" t="s">
        <v>49</v>
      </c>
      <c r="I1627" s="2" t="s">
        <v>75</v>
      </c>
      <c r="J1627" s="4">
        <v>5</v>
      </c>
      <c r="K1627" s="5">
        <v>56.27</v>
      </c>
      <c r="L1627" s="6">
        <v>0</v>
      </c>
      <c r="M1627" s="5">
        <v>281.35000000000002</v>
      </c>
      <c r="P1627" t="str">
        <f>TEXT(Tableau2[[#This Row],[Date]],"mmmm aaaa")</f>
        <v>novembre 2026</v>
      </c>
    </row>
    <row r="1628" spans="1:16">
      <c r="A1628" s="2" t="s">
        <v>1715</v>
      </c>
      <c r="B1628" s="3">
        <v>46198</v>
      </c>
      <c r="C1628" s="2" t="s">
        <v>32</v>
      </c>
      <c r="D1628" s="2" t="s">
        <v>33</v>
      </c>
      <c r="E1628" s="2" t="s">
        <v>43</v>
      </c>
      <c r="F1628" s="2" t="s">
        <v>17</v>
      </c>
      <c r="G1628" s="2" t="s">
        <v>48</v>
      </c>
      <c r="H1628" s="2" t="s">
        <v>49</v>
      </c>
      <c r="I1628" s="2" t="s">
        <v>20</v>
      </c>
      <c r="J1628" s="4">
        <v>1</v>
      </c>
      <c r="K1628" s="5">
        <v>56.44</v>
      </c>
      <c r="L1628" s="6">
        <v>0</v>
      </c>
      <c r="M1628" s="5">
        <v>56.44</v>
      </c>
      <c r="P1628" t="str">
        <f>TEXT(Tableau2[[#This Row],[Date]],"mmmm aaaa")</f>
        <v>juin 2026</v>
      </c>
    </row>
    <row r="1629" spans="1:16">
      <c r="A1629" s="2" t="s">
        <v>1716</v>
      </c>
      <c r="B1629" s="3">
        <v>46279</v>
      </c>
      <c r="C1629" s="2" t="s">
        <v>52</v>
      </c>
      <c r="D1629" s="2" t="s">
        <v>53</v>
      </c>
      <c r="E1629" s="2" t="s">
        <v>43</v>
      </c>
      <c r="F1629" s="2" t="s">
        <v>28</v>
      </c>
      <c r="G1629" s="2" t="s">
        <v>48</v>
      </c>
      <c r="H1629" s="2" t="s">
        <v>88</v>
      </c>
      <c r="I1629" s="2" t="s">
        <v>36</v>
      </c>
      <c r="J1629" s="4">
        <v>1</v>
      </c>
      <c r="K1629" s="5">
        <v>73.2</v>
      </c>
      <c r="L1629" s="6">
        <v>0</v>
      </c>
      <c r="M1629" s="5">
        <v>73.2</v>
      </c>
      <c r="P1629" t="str">
        <f>TEXT(Tableau2[[#This Row],[Date]],"mmmm aaaa")</f>
        <v>septembre 2026</v>
      </c>
    </row>
    <row r="1630" spans="1:16">
      <c r="A1630" s="2" t="s">
        <v>1717</v>
      </c>
      <c r="B1630" s="3">
        <v>46244</v>
      </c>
      <c r="C1630" s="2" t="s">
        <v>14</v>
      </c>
      <c r="D1630" s="2" t="s">
        <v>15</v>
      </c>
      <c r="E1630" s="2" t="s">
        <v>43</v>
      </c>
      <c r="F1630" s="2" t="s">
        <v>17</v>
      </c>
      <c r="G1630" s="2" t="s">
        <v>24</v>
      </c>
      <c r="H1630" s="2" t="s">
        <v>82</v>
      </c>
      <c r="I1630" s="2" t="s">
        <v>75</v>
      </c>
      <c r="J1630" s="4">
        <v>4</v>
      </c>
      <c r="K1630" s="5">
        <v>310.33999999999997</v>
      </c>
      <c r="L1630" s="6">
        <v>0.15</v>
      </c>
      <c r="M1630" s="5">
        <v>1055.1600000000001</v>
      </c>
      <c r="P1630" t="str">
        <f>TEXT(Tableau2[[#This Row],[Date]],"mmmm aaaa")</f>
        <v>août 2026</v>
      </c>
    </row>
    <row r="1631" spans="1:16">
      <c r="A1631" s="2" t="s">
        <v>1718</v>
      </c>
      <c r="B1631" s="3">
        <v>46360</v>
      </c>
      <c r="C1631" s="2" t="s">
        <v>134</v>
      </c>
      <c r="D1631" s="2" t="s">
        <v>15</v>
      </c>
      <c r="E1631" s="2" t="s">
        <v>34</v>
      </c>
      <c r="F1631" s="2" t="s">
        <v>17</v>
      </c>
      <c r="G1631" s="2" t="s">
        <v>54</v>
      </c>
      <c r="H1631" s="2" t="s">
        <v>55</v>
      </c>
      <c r="I1631" s="2" t="s">
        <v>75</v>
      </c>
      <c r="J1631" s="4">
        <v>1</v>
      </c>
      <c r="K1631" s="5">
        <v>162.34</v>
      </c>
      <c r="L1631" s="6">
        <v>0</v>
      </c>
      <c r="M1631" s="5">
        <v>162.34</v>
      </c>
      <c r="P1631" t="str">
        <f>TEXT(Tableau2[[#This Row],[Date]],"mmmm aaaa")</f>
        <v>décembre 2026</v>
      </c>
    </row>
    <row r="1632" spans="1:16">
      <c r="A1632" s="2" t="s">
        <v>1719</v>
      </c>
      <c r="B1632" s="3">
        <v>46158</v>
      </c>
      <c r="C1632" s="2" t="s">
        <v>63</v>
      </c>
      <c r="D1632" s="2" t="s">
        <v>33</v>
      </c>
      <c r="E1632" s="2" t="s">
        <v>43</v>
      </c>
      <c r="F1632" s="2" t="s">
        <v>17</v>
      </c>
      <c r="G1632" s="2" t="s">
        <v>18</v>
      </c>
      <c r="H1632" s="2" t="s">
        <v>143</v>
      </c>
      <c r="I1632" s="2" t="s">
        <v>20</v>
      </c>
      <c r="J1632" s="4">
        <v>3</v>
      </c>
      <c r="K1632" s="5">
        <v>62.65</v>
      </c>
      <c r="L1632" s="6">
        <v>0</v>
      </c>
      <c r="M1632" s="5">
        <v>187.95</v>
      </c>
      <c r="P1632" t="str">
        <f>TEXT(Tableau2[[#This Row],[Date]],"mmmm aaaa")</f>
        <v>mai 2026</v>
      </c>
    </row>
    <row r="1633" spans="1:16">
      <c r="A1633" s="2" t="s">
        <v>1720</v>
      </c>
      <c r="B1633" s="3">
        <v>46364</v>
      </c>
      <c r="C1633" s="2" t="s">
        <v>52</v>
      </c>
      <c r="D1633" s="2" t="s">
        <v>53</v>
      </c>
      <c r="E1633" s="2" t="s">
        <v>16</v>
      </c>
      <c r="F1633" s="2" t="s">
        <v>17</v>
      </c>
      <c r="G1633" s="2" t="s">
        <v>18</v>
      </c>
      <c r="H1633" s="2" t="s">
        <v>136</v>
      </c>
      <c r="I1633" s="2" t="s">
        <v>36</v>
      </c>
      <c r="J1633" s="4">
        <v>6</v>
      </c>
      <c r="K1633" s="5">
        <v>34.54</v>
      </c>
      <c r="L1633" s="6">
        <v>0</v>
      </c>
      <c r="M1633" s="5">
        <v>207.24</v>
      </c>
      <c r="P1633" t="str">
        <f>TEXT(Tableau2[[#This Row],[Date]],"mmmm aaaa")</f>
        <v>décembre 2026</v>
      </c>
    </row>
    <row r="1634" spans="1:16">
      <c r="A1634" s="2" t="s">
        <v>1721</v>
      </c>
      <c r="B1634" s="3">
        <v>46151</v>
      </c>
      <c r="C1634" s="2" t="s">
        <v>66</v>
      </c>
      <c r="D1634" s="2" t="s">
        <v>23</v>
      </c>
      <c r="E1634" s="2" t="s">
        <v>16</v>
      </c>
      <c r="F1634" s="2" t="s">
        <v>28</v>
      </c>
      <c r="G1634" s="2" t="s">
        <v>18</v>
      </c>
      <c r="H1634" s="2" t="s">
        <v>19</v>
      </c>
      <c r="I1634" s="2" t="s">
        <v>50</v>
      </c>
      <c r="J1634" s="4">
        <v>2</v>
      </c>
      <c r="K1634" s="5">
        <v>55.7</v>
      </c>
      <c r="L1634" s="6">
        <v>0.05</v>
      </c>
      <c r="M1634" s="5">
        <v>105.83</v>
      </c>
      <c r="P1634" t="str">
        <f>TEXT(Tableau2[[#This Row],[Date]],"mmmm aaaa")</f>
        <v>mai 2026</v>
      </c>
    </row>
    <row r="1635" spans="1:16">
      <c r="A1635" s="2" t="s">
        <v>1722</v>
      </c>
      <c r="B1635" s="3">
        <v>46149</v>
      </c>
      <c r="C1635" s="2" t="s">
        <v>130</v>
      </c>
      <c r="D1635" s="2" t="s">
        <v>53</v>
      </c>
      <c r="E1635" s="2" t="s">
        <v>34</v>
      </c>
      <c r="F1635" s="2" t="s">
        <v>28</v>
      </c>
      <c r="G1635" s="2" t="s">
        <v>48</v>
      </c>
      <c r="H1635" s="2" t="s">
        <v>88</v>
      </c>
      <c r="I1635" s="2" t="s">
        <v>41</v>
      </c>
      <c r="J1635" s="4">
        <v>1</v>
      </c>
      <c r="K1635" s="5">
        <v>74.33</v>
      </c>
      <c r="L1635" s="6">
        <v>0.05</v>
      </c>
      <c r="M1635" s="5">
        <v>70.61</v>
      </c>
      <c r="P1635" t="str">
        <f>TEXT(Tableau2[[#This Row],[Date]],"mmmm aaaa")</f>
        <v>mai 2026</v>
      </c>
    </row>
    <row r="1636" spans="1:16">
      <c r="A1636" s="2" t="s">
        <v>1723</v>
      </c>
      <c r="B1636" s="3">
        <v>46154</v>
      </c>
      <c r="C1636" s="2" t="s">
        <v>130</v>
      </c>
      <c r="D1636" s="2" t="s">
        <v>53</v>
      </c>
      <c r="E1636" s="2" t="s">
        <v>43</v>
      </c>
      <c r="F1636" s="2" t="s">
        <v>17</v>
      </c>
      <c r="G1636" s="2" t="s">
        <v>54</v>
      </c>
      <c r="H1636" s="2" t="s">
        <v>64</v>
      </c>
      <c r="I1636" s="2" t="s">
        <v>45</v>
      </c>
      <c r="J1636" s="4">
        <v>1</v>
      </c>
      <c r="K1636" s="5">
        <v>83.19</v>
      </c>
      <c r="L1636" s="6">
        <v>0</v>
      </c>
      <c r="M1636" s="5">
        <v>83.19</v>
      </c>
      <c r="P1636" t="str">
        <f>TEXT(Tableau2[[#This Row],[Date]],"mmmm aaaa")</f>
        <v>mai 2026</v>
      </c>
    </row>
    <row r="1637" spans="1:16">
      <c r="A1637" s="2" t="s">
        <v>1724</v>
      </c>
      <c r="B1637" s="3">
        <v>46211</v>
      </c>
      <c r="C1637" s="2" t="s">
        <v>66</v>
      </c>
      <c r="D1637" s="2" t="s">
        <v>23</v>
      </c>
      <c r="E1637" s="2" t="s">
        <v>34</v>
      </c>
      <c r="F1637" s="2" t="s">
        <v>17</v>
      </c>
      <c r="G1637" s="2" t="s">
        <v>39</v>
      </c>
      <c r="H1637" s="2" t="s">
        <v>40</v>
      </c>
      <c r="I1637" s="2" t="s">
        <v>20</v>
      </c>
      <c r="J1637" s="4">
        <v>1</v>
      </c>
      <c r="K1637" s="5">
        <v>134.31</v>
      </c>
      <c r="L1637" s="6">
        <v>0.05</v>
      </c>
      <c r="M1637" s="5">
        <v>127.59</v>
      </c>
      <c r="P1637" t="str">
        <f>TEXT(Tableau2[[#This Row],[Date]],"mmmm aaaa")</f>
        <v>juillet 2026</v>
      </c>
    </row>
    <row r="1638" spans="1:16">
      <c r="A1638" s="2" t="s">
        <v>1725</v>
      </c>
      <c r="B1638" s="3">
        <v>46100</v>
      </c>
      <c r="C1638" s="2" t="s">
        <v>116</v>
      </c>
      <c r="D1638" s="2" t="s">
        <v>15</v>
      </c>
      <c r="E1638" s="2" t="s">
        <v>43</v>
      </c>
      <c r="F1638" s="2" t="s">
        <v>28</v>
      </c>
      <c r="G1638" s="2" t="s">
        <v>18</v>
      </c>
      <c r="H1638" s="2" t="s">
        <v>136</v>
      </c>
      <c r="I1638" s="2" t="s">
        <v>41</v>
      </c>
      <c r="J1638" s="4">
        <v>5</v>
      </c>
      <c r="K1638" s="5">
        <v>31.56</v>
      </c>
      <c r="L1638" s="6">
        <v>0</v>
      </c>
      <c r="M1638" s="5">
        <v>157.80000000000001</v>
      </c>
      <c r="P1638" t="str">
        <f>TEXT(Tableau2[[#This Row],[Date]],"mmmm aaaa")</f>
        <v>mars 2026</v>
      </c>
    </row>
    <row r="1639" spans="1:16">
      <c r="A1639" s="2" t="s">
        <v>1726</v>
      </c>
      <c r="B1639" s="3">
        <v>46249</v>
      </c>
      <c r="C1639" s="2" t="s">
        <v>52</v>
      </c>
      <c r="D1639" s="2" t="s">
        <v>53</v>
      </c>
      <c r="E1639" s="2" t="s">
        <v>38</v>
      </c>
      <c r="F1639" s="2" t="s">
        <v>28</v>
      </c>
      <c r="G1639" s="2" t="s">
        <v>29</v>
      </c>
      <c r="H1639" s="2" t="s">
        <v>44</v>
      </c>
      <c r="I1639" s="2" t="s">
        <v>41</v>
      </c>
      <c r="J1639" s="4">
        <v>2</v>
      </c>
      <c r="K1639" s="5">
        <v>36.82</v>
      </c>
      <c r="L1639" s="6">
        <v>0</v>
      </c>
      <c r="M1639" s="5">
        <v>73.64</v>
      </c>
      <c r="P1639" t="str">
        <f>TEXT(Tableau2[[#This Row],[Date]],"mmmm aaaa")</f>
        <v>août 2026</v>
      </c>
    </row>
    <row r="1640" spans="1:16">
      <c r="A1640" s="2" t="s">
        <v>1727</v>
      </c>
      <c r="B1640" s="3">
        <v>46251</v>
      </c>
      <c r="C1640" s="2" t="s">
        <v>66</v>
      </c>
      <c r="D1640" s="2" t="s">
        <v>23</v>
      </c>
      <c r="E1640" s="2" t="s">
        <v>43</v>
      </c>
      <c r="F1640" s="2" t="s">
        <v>17</v>
      </c>
      <c r="G1640" s="2" t="s">
        <v>54</v>
      </c>
      <c r="H1640" s="2" t="s">
        <v>102</v>
      </c>
      <c r="I1640" s="2" t="s">
        <v>36</v>
      </c>
      <c r="J1640" s="4">
        <v>3</v>
      </c>
      <c r="K1640" s="5">
        <v>211.68</v>
      </c>
      <c r="L1640" s="6">
        <v>0.2</v>
      </c>
      <c r="M1640" s="5">
        <v>508.03</v>
      </c>
      <c r="P1640" t="str">
        <f>TEXT(Tableau2[[#This Row],[Date]],"mmmm aaaa")</f>
        <v>août 2026</v>
      </c>
    </row>
    <row r="1641" spans="1:16">
      <c r="A1641" s="2" t="s">
        <v>1728</v>
      </c>
      <c r="B1641" s="3">
        <v>46253</v>
      </c>
      <c r="C1641" s="2" t="s">
        <v>90</v>
      </c>
      <c r="D1641" s="2" t="s">
        <v>53</v>
      </c>
      <c r="E1641" s="2" t="s">
        <v>34</v>
      </c>
      <c r="F1641" s="2" t="s">
        <v>28</v>
      </c>
      <c r="G1641" s="2" t="s">
        <v>48</v>
      </c>
      <c r="H1641" s="2" t="s">
        <v>49</v>
      </c>
      <c r="I1641" s="2" t="s">
        <v>50</v>
      </c>
      <c r="J1641" s="4">
        <v>10</v>
      </c>
      <c r="K1641" s="5">
        <v>55.49</v>
      </c>
      <c r="L1641" s="6">
        <v>0</v>
      </c>
      <c r="M1641" s="5">
        <v>554.9</v>
      </c>
      <c r="P1641" t="str">
        <f>TEXT(Tableau2[[#This Row],[Date]],"mmmm aaaa")</f>
        <v>août 2026</v>
      </c>
    </row>
    <row r="1642" spans="1:16">
      <c r="A1642" s="2" t="s">
        <v>1729</v>
      </c>
      <c r="B1642" s="3">
        <v>46213</v>
      </c>
      <c r="C1642" s="2" t="s">
        <v>125</v>
      </c>
      <c r="D1642" s="2" t="s">
        <v>23</v>
      </c>
      <c r="E1642" s="2" t="s">
        <v>16</v>
      </c>
      <c r="F1642" s="2" t="s">
        <v>17</v>
      </c>
      <c r="G1642" s="2" t="s">
        <v>48</v>
      </c>
      <c r="H1642" s="2" t="s">
        <v>88</v>
      </c>
      <c r="I1642" s="2" t="s">
        <v>36</v>
      </c>
      <c r="J1642" s="4">
        <v>4</v>
      </c>
      <c r="K1642" s="5">
        <v>71.900000000000006</v>
      </c>
      <c r="L1642" s="6">
        <v>0</v>
      </c>
      <c r="M1642" s="5">
        <v>287.60000000000002</v>
      </c>
      <c r="P1642" t="str">
        <f>TEXT(Tableau2[[#This Row],[Date]],"mmmm aaaa")</f>
        <v>juillet 2026</v>
      </c>
    </row>
    <row r="1643" spans="1:16">
      <c r="A1643" s="2" t="s">
        <v>1730</v>
      </c>
      <c r="B1643" s="3">
        <v>46381</v>
      </c>
      <c r="C1643" s="2" t="s">
        <v>22</v>
      </c>
      <c r="D1643" s="2" t="s">
        <v>23</v>
      </c>
      <c r="E1643" s="2" t="s">
        <v>34</v>
      </c>
      <c r="F1643" s="2" t="s">
        <v>28</v>
      </c>
      <c r="G1643" s="2" t="s">
        <v>24</v>
      </c>
      <c r="H1643" s="2" t="s">
        <v>82</v>
      </c>
      <c r="I1643" s="2" t="s">
        <v>41</v>
      </c>
      <c r="J1643" s="4">
        <v>1</v>
      </c>
      <c r="K1643" s="5">
        <v>285.48</v>
      </c>
      <c r="L1643" s="6">
        <v>0</v>
      </c>
      <c r="M1643" s="5">
        <v>285.48</v>
      </c>
      <c r="P1643" t="str">
        <f>TEXT(Tableau2[[#This Row],[Date]],"mmmm aaaa")</f>
        <v>décembre 2026</v>
      </c>
    </row>
    <row r="1644" spans="1:16">
      <c r="A1644" s="2" t="s">
        <v>1731</v>
      </c>
      <c r="B1644" s="3">
        <v>46286</v>
      </c>
      <c r="C1644" s="2" t="s">
        <v>134</v>
      </c>
      <c r="D1644" s="2" t="s">
        <v>15</v>
      </c>
      <c r="E1644" s="2" t="s">
        <v>16</v>
      </c>
      <c r="F1644" s="2" t="s">
        <v>17</v>
      </c>
      <c r="G1644" s="2" t="s">
        <v>39</v>
      </c>
      <c r="H1644" s="2" t="s">
        <v>40</v>
      </c>
      <c r="I1644" s="2" t="s">
        <v>50</v>
      </c>
      <c r="J1644" s="4">
        <v>2</v>
      </c>
      <c r="K1644" s="5">
        <v>137.72999999999999</v>
      </c>
      <c r="L1644" s="6">
        <v>0.3</v>
      </c>
      <c r="M1644" s="5">
        <v>192.82</v>
      </c>
      <c r="P1644" t="str">
        <f>TEXT(Tableau2[[#This Row],[Date]],"mmmm aaaa")</f>
        <v>septembre 2026</v>
      </c>
    </row>
    <row r="1645" spans="1:16">
      <c r="A1645" s="2" t="s">
        <v>1732</v>
      </c>
      <c r="B1645" s="3">
        <v>46352</v>
      </c>
      <c r="C1645" s="2" t="s">
        <v>130</v>
      </c>
      <c r="D1645" s="2" t="s">
        <v>53</v>
      </c>
      <c r="E1645" s="2" t="s">
        <v>34</v>
      </c>
      <c r="F1645" s="2" t="s">
        <v>17</v>
      </c>
      <c r="G1645" s="2" t="s">
        <v>24</v>
      </c>
      <c r="H1645" s="2" t="s">
        <v>25</v>
      </c>
      <c r="I1645" s="2" t="s">
        <v>58</v>
      </c>
      <c r="J1645" s="4">
        <v>4</v>
      </c>
      <c r="K1645" s="5">
        <v>131.16</v>
      </c>
      <c r="L1645" s="6">
        <v>0.15</v>
      </c>
      <c r="M1645" s="5">
        <v>445.94</v>
      </c>
      <c r="P1645" t="str">
        <f>TEXT(Tableau2[[#This Row],[Date]],"mmmm aaaa")</f>
        <v>novembre 2026</v>
      </c>
    </row>
    <row r="1646" spans="1:16">
      <c r="A1646" s="2" t="s">
        <v>1733</v>
      </c>
      <c r="B1646" s="3">
        <v>46360</v>
      </c>
      <c r="C1646" s="2" t="s">
        <v>60</v>
      </c>
      <c r="D1646" s="2" t="s">
        <v>33</v>
      </c>
      <c r="E1646" s="2" t="s">
        <v>34</v>
      </c>
      <c r="F1646" s="2" t="s">
        <v>17</v>
      </c>
      <c r="G1646" s="2" t="s">
        <v>48</v>
      </c>
      <c r="H1646" s="2" t="s">
        <v>49</v>
      </c>
      <c r="I1646" s="2" t="s">
        <v>41</v>
      </c>
      <c r="J1646" s="4">
        <v>3</v>
      </c>
      <c r="K1646" s="5">
        <v>61.05</v>
      </c>
      <c r="L1646" s="6">
        <v>0</v>
      </c>
      <c r="M1646" s="5">
        <v>183.15</v>
      </c>
      <c r="P1646" t="str">
        <f>TEXT(Tableau2[[#This Row],[Date]],"mmmm aaaa")</f>
        <v>décembre 2026</v>
      </c>
    </row>
    <row r="1647" spans="1:16">
      <c r="A1647" s="2" t="s">
        <v>1734</v>
      </c>
      <c r="B1647" s="3">
        <v>46300</v>
      </c>
      <c r="C1647" s="2" t="s">
        <v>116</v>
      </c>
      <c r="D1647" s="2" t="s">
        <v>15</v>
      </c>
      <c r="E1647" s="2" t="s">
        <v>34</v>
      </c>
      <c r="F1647" s="2" t="s">
        <v>17</v>
      </c>
      <c r="G1647" s="2" t="s">
        <v>24</v>
      </c>
      <c r="H1647" s="2" t="s">
        <v>35</v>
      </c>
      <c r="I1647" s="2" t="s">
        <v>75</v>
      </c>
      <c r="J1647" s="4">
        <v>2</v>
      </c>
      <c r="K1647" s="5">
        <v>179.02</v>
      </c>
      <c r="L1647" s="6">
        <v>0</v>
      </c>
      <c r="M1647" s="5">
        <v>358.04</v>
      </c>
      <c r="P1647" t="str">
        <f>TEXT(Tableau2[[#This Row],[Date]],"mmmm aaaa")</f>
        <v>octobre 2026</v>
      </c>
    </row>
    <row r="1648" spans="1:16">
      <c r="A1648" s="2" t="s">
        <v>1735</v>
      </c>
      <c r="B1648" s="3">
        <v>46082</v>
      </c>
      <c r="C1648" s="2" t="s">
        <v>86</v>
      </c>
      <c r="D1648" s="2" t="s">
        <v>53</v>
      </c>
      <c r="E1648" s="2" t="s">
        <v>16</v>
      </c>
      <c r="F1648" s="2" t="s">
        <v>28</v>
      </c>
      <c r="G1648" s="2" t="s">
        <v>48</v>
      </c>
      <c r="H1648" s="2" t="s">
        <v>77</v>
      </c>
      <c r="I1648" s="2" t="s">
        <v>36</v>
      </c>
      <c r="J1648" s="4">
        <v>10</v>
      </c>
      <c r="K1648" s="5">
        <v>84.61</v>
      </c>
      <c r="L1648" s="6">
        <v>0</v>
      </c>
      <c r="M1648" s="5">
        <v>846.1</v>
      </c>
      <c r="P1648" t="str">
        <f>TEXT(Tableau2[[#This Row],[Date]],"mmmm aaaa")</f>
        <v>mars 2026</v>
      </c>
    </row>
    <row r="1649" spans="1:16">
      <c r="A1649" s="2" t="s">
        <v>1736</v>
      </c>
      <c r="B1649" s="3">
        <v>46117</v>
      </c>
      <c r="C1649" s="2" t="s">
        <v>52</v>
      </c>
      <c r="D1649" s="2" t="s">
        <v>53</v>
      </c>
      <c r="E1649" s="2" t="s">
        <v>43</v>
      </c>
      <c r="F1649" s="2" t="s">
        <v>28</v>
      </c>
      <c r="G1649" s="2" t="s">
        <v>39</v>
      </c>
      <c r="H1649" s="2" t="s">
        <v>71</v>
      </c>
      <c r="I1649" s="2" t="s">
        <v>45</v>
      </c>
      <c r="J1649" s="4">
        <v>11</v>
      </c>
      <c r="K1649" s="5">
        <v>124.56</v>
      </c>
      <c r="L1649" s="6">
        <v>0.1</v>
      </c>
      <c r="M1649" s="5">
        <v>1233.1400000000001</v>
      </c>
      <c r="P1649" t="str">
        <f>TEXT(Tableau2[[#This Row],[Date]],"mmmm aaaa")</f>
        <v>avril 2026</v>
      </c>
    </row>
    <row r="1650" spans="1:16">
      <c r="A1650" s="2" t="s">
        <v>1737</v>
      </c>
      <c r="B1650" s="3">
        <v>46208</v>
      </c>
      <c r="C1650" s="2" t="s">
        <v>134</v>
      </c>
      <c r="D1650" s="2" t="s">
        <v>15</v>
      </c>
      <c r="E1650" s="2" t="s">
        <v>34</v>
      </c>
      <c r="F1650" s="2" t="s">
        <v>17</v>
      </c>
      <c r="G1650" s="2" t="s">
        <v>18</v>
      </c>
      <c r="H1650" s="2" t="s">
        <v>19</v>
      </c>
      <c r="I1650" s="2" t="s">
        <v>75</v>
      </c>
      <c r="J1650" s="4">
        <v>4</v>
      </c>
      <c r="K1650" s="5">
        <v>50.94</v>
      </c>
      <c r="L1650" s="6">
        <v>0.15</v>
      </c>
      <c r="M1650" s="5">
        <v>173.2</v>
      </c>
      <c r="P1650" t="str">
        <f>TEXT(Tableau2[[#This Row],[Date]],"mmmm aaaa")</f>
        <v>juillet 2026</v>
      </c>
    </row>
    <row r="1651" spans="1:16">
      <c r="A1651" s="2" t="s">
        <v>1738</v>
      </c>
      <c r="B1651" s="3">
        <v>46083</v>
      </c>
      <c r="C1651" s="2" t="s">
        <v>63</v>
      </c>
      <c r="D1651" s="2" t="s">
        <v>33</v>
      </c>
      <c r="E1651" s="2" t="s">
        <v>43</v>
      </c>
      <c r="F1651" s="2" t="s">
        <v>28</v>
      </c>
      <c r="G1651" s="2" t="s">
        <v>18</v>
      </c>
      <c r="H1651" s="2" t="s">
        <v>136</v>
      </c>
      <c r="I1651" s="2" t="s">
        <v>20</v>
      </c>
      <c r="J1651" s="4">
        <v>1</v>
      </c>
      <c r="K1651" s="5">
        <v>33.01</v>
      </c>
      <c r="L1651" s="6">
        <v>0</v>
      </c>
      <c r="M1651" s="5">
        <v>33.01</v>
      </c>
      <c r="P1651" t="str">
        <f>TEXT(Tableau2[[#This Row],[Date]],"mmmm aaaa")</f>
        <v>mars 2026</v>
      </c>
    </row>
    <row r="1652" spans="1:16">
      <c r="A1652" s="2" t="s">
        <v>1739</v>
      </c>
      <c r="B1652" s="3">
        <v>46132</v>
      </c>
      <c r="C1652" s="2" t="s">
        <v>22</v>
      </c>
      <c r="D1652" s="2" t="s">
        <v>23</v>
      </c>
      <c r="E1652" s="2" t="s">
        <v>16</v>
      </c>
      <c r="F1652" s="2" t="s">
        <v>28</v>
      </c>
      <c r="G1652" s="2" t="s">
        <v>54</v>
      </c>
      <c r="H1652" s="2" t="s">
        <v>64</v>
      </c>
      <c r="I1652" s="2" t="s">
        <v>58</v>
      </c>
      <c r="J1652" s="4">
        <v>2</v>
      </c>
      <c r="K1652" s="5">
        <v>91.11</v>
      </c>
      <c r="L1652" s="6">
        <v>0</v>
      </c>
      <c r="M1652" s="5">
        <v>182.22</v>
      </c>
      <c r="P1652" t="str">
        <f>TEXT(Tableau2[[#This Row],[Date]],"mmmm aaaa")</f>
        <v>avril 2026</v>
      </c>
    </row>
    <row r="1653" spans="1:16">
      <c r="A1653" s="2" t="s">
        <v>1740</v>
      </c>
      <c r="B1653" s="3">
        <v>46082</v>
      </c>
      <c r="C1653" s="2" t="s">
        <v>116</v>
      </c>
      <c r="D1653" s="2" t="s">
        <v>15</v>
      </c>
      <c r="E1653" s="2" t="s">
        <v>34</v>
      </c>
      <c r="F1653" s="2" t="s">
        <v>28</v>
      </c>
      <c r="G1653" s="2" t="s">
        <v>24</v>
      </c>
      <c r="H1653" s="2" t="s">
        <v>35</v>
      </c>
      <c r="I1653" s="2" t="s">
        <v>26</v>
      </c>
      <c r="J1653" s="4">
        <v>2</v>
      </c>
      <c r="K1653" s="5">
        <v>177</v>
      </c>
      <c r="L1653" s="6">
        <v>0.1</v>
      </c>
      <c r="M1653" s="5">
        <v>318.60000000000002</v>
      </c>
      <c r="P1653" t="str">
        <f>TEXT(Tableau2[[#This Row],[Date]],"mmmm aaaa")</f>
        <v>mars 2026</v>
      </c>
    </row>
    <row r="1654" spans="1:16">
      <c r="A1654" s="2" t="s">
        <v>1741</v>
      </c>
      <c r="B1654" s="3">
        <v>46100</v>
      </c>
      <c r="C1654" s="2" t="s">
        <v>63</v>
      </c>
      <c r="D1654" s="2" t="s">
        <v>33</v>
      </c>
      <c r="E1654" s="2" t="s">
        <v>16</v>
      </c>
      <c r="F1654" s="2" t="s">
        <v>17</v>
      </c>
      <c r="G1654" s="2" t="s">
        <v>54</v>
      </c>
      <c r="H1654" s="2" t="s">
        <v>102</v>
      </c>
      <c r="I1654" s="2" t="s">
        <v>26</v>
      </c>
      <c r="J1654" s="4">
        <v>1</v>
      </c>
      <c r="K1654" s="5">
        <v>201.17</v>
      </c>
      <c r="L1654" s="6">
        <v>0</v>
      </c>
      <c r="M1654" s="5">
        <v>201.17</v>
      </c>
      <c r="P1654" t="str">
        <f>TEXT(Tableau2[[#This Row],[Date]],"mmmm aaaa")</f>
        <v>mars 2026</v>
      </c>
    </row>
    <row r="1655" spans="1:16">
      <c r="A1655" s="2" t="s">
        <v>1742</v>
      </c>
      <c r="B1655" s="3">
        <v>46084</v>
      </c>
      <c r="C1655" s="2" t="s">
        <v>14</v>
      </c>
      <c r="D1655" s="2" t="s">
        <v>15</v>
      </c>
      <c r="E1655" s="2" t="s">
        <v>34</v>
      </c>
      <c r="F1655" s="2" t="s">
        <v>17</v>
      </c>
      <c r="G1655" s="2" t="s">
        <v>24</v>
      </c>
      <c r="H1655" s="2" t="s">
        <v>25</v>
      </c>
      <c r="I1655" s="2" t="s">
        <v>26</v>
      </c>
      <c r="J1655" s="4">
        <v>2</v>
      </c>
      <c r="K1655" s="5">
        <v>130.41</v>
      </c>
      <c r="L1655" s="6">
        <v>0</v>
      </c>
      <c r="M1655" s="5">
        <v>260.82</v>
      </c>
      <c r="P1655" t="str">
        <f>TEXT(Tableau2[[#This Row],[Date]],"mmmm aaaa")</f>
        <v>mars 2026</v>
      </c>
    </row>
    <row r="1656" spans="1:16">
      <c r="A1656" s="2" t="s">
        <v>1743</v>
      </c>
      <c r="B1656" s="3">
        <v>46170</v>
      </c>
      <c r="C1656" s="2" t="s">
        <v>57</v>
      </c>
      <c r="D1656" s="2" t="s">
        <v>15</v>
      </c>
      <c r="E1656" s="2" t="s">
        <v>43</v>
      </c>
      <c r="F1656" s="2" t="s">
        <v>17</v>
      </c>
      <c r="G1656" s="2" t="s">
        <v>24</v>
      </c>
      <c r="H1656" s="2" t="s">
        <v>61</v>
      </c>
      <c r="I1656" s="2" t="s">
        <v>41</v>
      </c>
      <c r="J1656" s="4">
        <v>8</v>
      </c>
      <c r="K1656" s="5">
        <v>256.13</v>
      </c>
      <c r="L1656" s="6">
        <v>0</v>
      </c>
      <c r="M1656" s="5">
        <v>2049.04</v>
      </c>
      <c r="P1656" t="str">
        <f>TEXT(Tableau2[[#This Row],[Date]],"mmmm aaaa")</f>
        <v>mai 2026</v>
      </c>
    </row>
    <row r="1657" spans="1:16">
      <c r="A1657" s="2" t="s">
        <v>1744</v>
      </c>
      <c r="B1657" s="3">
        <v>46330</v>
      </c>
      <c r="C1657" s="2" t="s">
        <v>14</v>
      </c>
      <c r="D1657" s="2" t="s">
        <v>15</v>
      </c>
      <c r="E1657" s="2" t="s">
        <v>38</v>
      </c>
      <c r="F1657" s="2" t="s">
        <v>17</v>
      </c>
      <c r="G1657" s="2" t="s">
        <v>54</v>
      </c>
      <c r="H1657" s="2" t="s">
        <v>102</v>
      </c>
      <c r="I1657" s="2" t="s">
        <v>50</v>
      </c>
      <c r="J1657" s="4">
        <v>1</v>
      </c>
      <c r="K1657" s="5">
        <v>226.71</v>
      </c>
      <c r="L1657" s="6">
        <v>0</v>
      </c>
      <c r="M1657" s="5">
        <v>226.71</v>
      </c>
      <c r="P1657" t="str">
        <f>TEXT(Tableau2[[#This Row],[Date]],"mmmm aaaa")</f>
        <v>novembre 2026</v>
      </c>
    </row>
    <row r="1658" spans="1:16">
      <c r="A1658" s="2" t="s">
        <v>1745</v>
      </c>
      <c r="B1658" s="3">
        <v>46098</v>
      </c>
      <c r="C1658" s="2" t="s">
        <v>86</v>
      </c>
      <c r="D1658" s="2" t="s">
        <v>53</v>
      </c>
      <c r="E1658" s="2" t="s">
        <v>43</v>
      </c>
      <c r="F1658" s="2" t="s">
        <v>17</v>
      </c>
      <c r="G1658" s="2" t="s">
        <v>24</v>
      </c>
      <c r="H1658" s="2" t="s">
        <v>61</v>
      </c>
      <c r="I1658" s="2" t="s">
        <v>36</v>
      </c>
      <c r="J1658" s="4">
        <v>3</v>
      </c>
      <c r="K1658" s="5">
        <v>255.7</v>
      </c>
      <c r="L1658" s="6">
        <v>0</v>
      </c>
      <c r="M1658" s="5">
        <v>767.1</v>
      </c>
      <c r="P1658" t="str">
        <f>TEXT(Tableau2[[#This Row],[Date]],"mmmm aaaa")</f>
        <v>mars 2026</v>
      </c>
    </row>
    <row r="1659" spans="1:16">
      <c r="A1659" s="2" t="s">
        <v>1746</v>
      </c>
      <c r="B1659" s="3">
        <v>46191</v>
      </c>
      <c r="C1659" s="2" t="s">
        <v>32</v>
      </c>
      <c r="D1659" s="2" t="s">
        <v>33</v>
      </c>
      <c r="E1659" s="2" t="s">
        <v>16</v>
      </c>
      <c r="F1659" s="2" t="s">
        <v>28</v>
      </c>
      <c r="G1659" s="2" t="s">
        <v>54</v>
      </c>
      <c r="H1659" s="2" t="s">
        <v>102</v>
      </c>
      <c r="I1659" s="2" t="s">
        <v>20</v>
      </c>
      <c r="J1659" s="4">
        <v>5</v>
      </c>
      <c r="K1659" s="5">
        <v>230.86</v>
      </c>
      <c r="L1659" s="6">
        <v>0</v>
      </c>
      <c r="M1659" s="5">
        <v>1154.3</v>
      </c>
      <c r="P1659" t="str">
        <f>TEXT(Tableau2[[#This Row],[Date]],"mmmm aaaa")</f>
        <v>juin 2026</v>
      </c>
    </row>
    <row r="1660" spans="1:16">
      <c r="A1660" s="2" t="s">
        <v>1747</v>
      </c>
      <c r="B1660" s="3">
        <v>46268</v>
      </c>
      <c r="C1660" s="2" t="s">
        <v>160</v>
      </c>
      <c r="D1660" s="2" t="s">
        <v>33</v>
      </c>
      <c r="E1660" s="2" t="s">
        <v>43</v>
      </c>
      <c r="F1660" s="2" t="s">
        <v>28</v>
      </c>
      <c r="G1660" s="2" t="s">
        <v>39</v>
      </c>
      <c r="H1660" s="2" t="s">
        <v>71</v>
      </c>
      <c r="I1660" s="2" t="s">
        <v>36</v>
      </c>
      <c r="J1660" s="4">
        <v>1</v>
      </c>
      <c r="K1660" s="5">
        <v>111.14</v>
      </c>
      <c r="L1660" s="6">
        <v>0</v>
      </c>
      <c r="M1660" s="5">
        <v>111.14</v>
      </c>
      <c r="P1660" t="str">
        <f>TEXT(Tableau2[[#This Row],[Date]],"mmmm aaaa")</f>
        <v>septembre 2026</v>
      </c>
    </row>
    <row r="1661" spans="1:16">
      <c r="A1661" s="2" t="s">
        <v>1748</v>
      </c>
      <c r="B1661" s="3">
        <v>46132</v>
      </c>
      <c r="C1661" s="2" t="s">
        <v>63</v>
      </c>
      <c r="D1661" s="2" t="s">
        <v>33</v>
      </c>
      <c r="E1661" s="2" t="s">
        <v>16</v>
      </c>
      <c r="F1661" s="2" t="s">
        <v>28</v>
      </c>
      <c r="G1661" s="2" t="s">
        <v>18</v>
      </c>
      <c r="H1661" s="2" t="s">
        <v>19</v>
      </c>
      <c r="I1661" s="2" t="s">
        <v>50</v>
      </c>
      <c r="J1661" s="4">
        <v>2</v>
      </c>
      <c r="K1661" s="5">
        <v>52.7</v>
      </c>
      <c r="L1661" s="6">
        <v>0</v>
      </c>
      <c r="M1661" s="5">
        <v>105.4</v>
      </c>
      <c r="P1661" t="str">
        <f>TEXT(Tableau2[[#This Row],[Date]],"mmmm aaaa")</f>
        <v>avril 2026</v>
      </c>
    </row>
    <row r="1662" spans="1:16">
      <c r="A1662" s="2" t="s">
        <v>1749</v>
      </c>
      <c r="B1662" s="3">
        <v>46203</v>
      </c>
      <c r="C1662" s="2" t="s">
        <v>94</v>
      </c>
      <c r="D1662" s="2" t="s">
        <v>15</v>
      </c>
      <c r="E1662" s="2" t="s">
        <v>16</v>
      </c>
      <c r="F1662" s="2" t="s">
        <v>17</v>
      </c>
      <c r="G1662" s="2" t="s">
        <v>54</v>
      </c>
      <c r="H1662" s="2" t="s">
        <v>64</v>
      </c>
      <c r="I1662" s="2" t="s">
        <v>20</v>
      </c>
      <c r="J1662" s="4">
        <v>1</v>
      </c>
      <c r="K1662" s="5">
        <v>94.12</v>
      </c>
      <c r="L1662" s="6">
        <v>0.1</v>
      </c>
      <c r="M1662" s="5">
        <v>84.71</v>
      </c>
      <c r="P1662" t="str">
        <f>TEXT(Tableau2[[#This Row],[Date]],"mmmm aaaa")</f>
        <v>juin 2026</v>
      </c>
    </row>
    <row r="1663" spans="1:16">
      <c r="A1663" s="2" t="s">
        <v>1750</v>
      </c>
      <c r="B1663" s="3">
        <v>46153</v>
      </c>
      <c r="C1663" s="2" t="s">
        <v>63</v>
      </c>
      <c r="D1663" s="2" t="s">
        <v>33</v>
      </c>
      <c r="E1663" s="2" t="s">
        <v>16</v>
      </c>
      <c r="F1663" s="2" t="s">
        <v>17</v>
      </c>
      <c r="G1663" s="2" t="s">
        <v>18</v>
      </c>
      <c r="H1663" s="2" t="s">
        <v>158</v>
      </c>
      <c r="I1663" s="2" t="s">
        <v>36</v>
      </c>
      <c r="J1663" s="4">
        <v>1</v>
      </c>
      <c r="K1663" s="5">
        <v>43.58</v>
      </c>
      <c r="L1663" s="6">
        <v>0</v>
      </c>
      <c r="M1663" s="5">
        <v>43.58</v>
      </c>
      <c r="P1663" t="str">
        <f>TEXT(Tableau2[[#This Row],[Date]],"mmmm aaaa")</f>
        <v>mai 2026</v>
      </c>
    </row>
    <row r="1664" spans="1:16">
      <c r="A1664" s="2" t="s">
        <v>1751</v>
      </c>
      <c r="B1664" s="3">
        <v>46248</v>
      </c>
      <c r="C1664" s="2" t="s">
        <v>14</v>
      </c>
      <c r="D1664" s="2" t="s">
        <v>15</v>
      </c>
      <c r="E1664" s="2" t="s">
        <v>43</v>
      </c>
      <c r="F1664" s="2" t="s">
        <v>28</v>
      </c>
      <c r="G1664" s="2" t="s">
        <v>54</v>
      </c>
      <c r="H1664" s="2" t="s">
        <v>55</v>
      </c>
      <c r="I1664" s="2" t="s">
        <v>26</v>
      </c>
      <c r="J1664" s="4">
        <v>2</v>
      </c>
      <c r="K1664" s="5">
        <v>166.63</v>
      </c>
      <c r="L1664" s="6">
        <v>0.2</v>
      </c>
      <c r="M1664" s="5">
        <v>266.61</v>
      </c>
      <c r="P1664" t="str">
        <f>TEXT(Tableau2[[#This Row],[Date]],"mmmm aaaa")</f>
        <v>août 2026</v>
      </c>
    </row>
    <row r="1665" spans="1:16">
      <c r="A1665" s="2" t="s">
        <v>1752</v>
      </c>
      <c r="B1665" s="3">
        <v>46351</v>
      </c>
      <c r="C1665" s="2" t="s">
        <v>134</v>
      </c>
      <c r="D1665" s="2" t="s">
        <v>15</v>
      </c>
      <c r="E1665" s="2" t="s">
        <v>34</v>
      </c>
      <c r="F1665" s="2" t="s">
        <v>28</v>
      </c>
      <c r="G1665" s="2" t="s">
        <v>54</v>
      </c>
      <c r="H1665" s="2" t="s">
        <v>55</v>
      </c>
      <c r="I1665" s="2" t="s">
        <v>41</v>
      </c>
      <c r="J1665" s="4">
        <v>4</v>
      </c>
      <c r="K1665" s="5">
        <v>160.65</v>
      </c>
      <c r="L1665" s="6">
        <v>0.05</v>
      </c>
      <c r="M1665" s="5">
        <v>610.47</v>
      </c>
      <c r="P1665" t="str">
        <f>TEXT(Tableau2[[#This Row],[Date]],"mmmm aaaa")</f>
        <v>novembre 2026</v>
      </c>
    </row>
    <row r="1666" spans="1:16">
      <c r="A1666" s="2" t="s">
        <v>1753</v>
      </c>
      <c r="B1666" s="3">
        <v>46333</v>
      </c>
      <c r="C1666" s="2" t="s">
        <v>57</v>
      </c>
      <c r="D1666" s="2" t="s">
        <v>15</v>
      </c>
      <c r="E1666" s="2" t="s">
        <v>34</v>
      </c>
      <c r="F1666" s="2" t="s">
        <v>17</v>
      </c>
      <c r="G1666" s="2" t="s">
        <v>39</v>
      </c>
      <c r="H1666" s="2" t="s">
        <v>71</v>
      </c>
      <c r="I1666" s="2" t="s">
        <v>50</v>
      </c>
      <c r="J1666" s="4">
        <v>10</v>
      </c>
      <c r="K1666" s="5">
        <v>114.37</v>
      </c>
      <c r="L1666" s="6">
        <v>0.05</v>
      </c>
      <c r="M1666" s="5">
        <v>1086.52</v>
      </c>
      <c r="P1666" t="str">
        <f>TEXT(Tableau2[[#This Row],[Date]],"mmmm aaaa")</f>
        <v>novembre 2026</v>
      </c>
    </row>
    <row r="1667" spans="1:16">
      <c r="A1667" s="2" t="s">
        <v>1754</v>
      </c>
      <c r="B1667" s="3">
        <v>46078</v>
      </c>
      <c r="C1667" s="2" t="s">
        <v>57</v>
      </c>
      <c r="D1667" s="2" t="s">
        <v>15</v>
      </c>
      <c r="E1667" s="2" t="s">
        <v>38</v>
      </c>
      <c r="F1667" s="2" t="s">
        <v>17</v>
      </c>
      <c r="G1667" s="2" t="s">
        <v>48</v>
      </c>
      <c r="H1667" s="2" t="s">
        <v>77</v>
      </c>
      <c r="I1667" s="2" t="s">
        <v>36</v>
      </c>
      <c r="J1667" s="4">
        <v>1</v>
      </c>
      <c r="K1667" s="5">
        <v>80.09</v>
      </c>
      <c r="L1667" s="6">
        <v>0</v>
      </c>
      <c r="M1667" s="5">
        <v>80.09</v>
      </c>
      <c r="P1667" t="str">
        <f>TEXT(Tableau2[[#This Row],[Date]],"mmmm aaaa")</f>
        <v>février 2026</v>
      </c>
    </row>
    <row r="1668" spans="1:16">
      <c r="A1668" s="2" t="s">
        <v>1755</v>
      </c>
      <c r="B1668" s="3">
        <v>46210</v>
      </c>
      <c r="C1668" s="2" t="s">
        <v>130</v>
      </c>
      <c r="D1668" s="2" t="s">
        <v>53</v>
      </c>
      <c r="E1668" s="2" t="s">
        <v>16</v>
      </c>
      <c r="F1668" s="2" t="s">
        <v>17</v>
      </c>
      <c r="G1668" s="2" t="s">
        <v>48</v>
      </c>
      <c r="H1668" s="2" t="s">
        <v>84</v>
      </c>
      <c r="I1668" s="2" t="s">
        <v>20</v>
      </c>
      <c r="J1668" s="4">
        <v>1</v>
      </c>
      <c r="K1668" s="5">
        <v>86.21</v>
      </c>
      <c r="L1668" s="6">
        <v>0</v>
      </c>
      <c r="M1668" s="5">
        <v>86.21</v>
      </c>
      <c r="P1668" t="str">
        <f>TEXT(Tableau2[[#This Row],[Date]],"mmmm aaaa")</f>
        <v>juillet 2026</v>
      </c>
    </row>
    <row r="1669" spans="1:16">
      <c r="A1669" s="2" t="s">
        <v>1756</v>
      </c>
      <c r="B1669" s="3">
        <v>46070</v>
      </c>
      <c r="C1669" s="2" t="s">
        <v>22</v>
      </c>
      <c r="D1669" s="2" t="s">
        <v>23</v>
      </c>
      <c r="E1669" s="2" t="s">
        <v>16</v>
      </c>
      <c r="F1669" s="2" t="s">
        <v>17</v>
      </c>
      <c r="G1669" s="2" t="s">
        <v>54</v>
      </c>
      <c r="H1669" s="2" t="s">
        <v>55</v>
      </c>
      <c r="I1669" s="2" t="s">
        <v>45</v>
      </c>
      <c r="J1669" s="4">
        <v>1</v>
      </c>
      <c r="K1669" s="5">
        <v>153.37</v>
      </c>
      <c r="L1669" s="6">
        <v>0</v>
      </c>
      <c r="M1669" s="5">
        <v>153.37</v>
      </c>
      <c r="P1669" t="str">
        <f>TEXT(Tableau2[[#This Row],[Date]],"mmmm aaaa")</f>
        <v>février 2026</v>
      </c>
    </row>
    <row r="1670" spans="1:16">
      <c r="A1670" s="2" t="s">
        <v>1757</v>
      </c>
      <c r="B1670" s="3">
        <v>46329</v>
      </c>
      <c r="C1670" s="2" t="s">
        <v>106</v>
      </c>
      <c r="D1670" s="2" t="s">
        <v>23</v>
      </c>
      <c r="E1670" s="2" t="s">
        <v>34</v>
      </c>
      <c r="F1670" s="2" t="s">
        <v>17</v>
      </c>
      <c r="G1670" s="2" t="s">
        <v>54</v>
      </c>
      <c r="H1670" s="2" t="s">
        <v>102</v>
      </c>
      <c r="I1670" s="2" t="s">
        <v>20</v>
      </c>
      <c r="J1670" s="4">
        <v>18</v>
      </c>
      <c r="K1670" s="5">
        <v>200.91</v>
      </c>
      <c r="L1670" s="6">
        <v>0.15</v>
      </c>
      <c r="M1670" s="5">
        <v>3073.92</v>
      </c>
      <c r="P1670" t="str">
        <f>TEXT(Tableau2[[#This Row],[Date]],"mmmm aaaa")</f>
        <v>novembre 2026</v>
      </c>
    </row>
    <row r="1671" spans="1:16">
      <c r="A1671" s="2" t="s">
        <v>1758</v>
      </c>
      <c r="B1671" s="3">
        <v>46149</v>
      </c>
      <c r="C1671" s="2" t="s">
        <v>92</v>
      </c>
      <c r="D1671" s="2" t="s">
        <v>53</v>
      </c>
      <c r="E1671" s="2" t="s">
        <v>38</v>
      </c>
      <c r="F1671" s="2" t="s">
        <v>17</v>
      </c>
      <c r="G1671" s="2" t="s">
        <v>39</v>
      </c>
      <c r="H1671" s="2" t="s">
        <v>95</v>
      </c>
      <c r="I1671" s="2" t="s">
        <v>20</v>
      </c>
      <c r="J1671" s="4">
        <v>2</v>
      </c>
      <c r="K1671" s="5">
        <v>98.16</v>
      </c>
      <c r="L1671" s="6">
        <v>0</v>
      </c>
      <c r="M1671" s="5">
        <v>196.32</v>
      </c>
      <c r="P1671" t="str">
        <f>TEXT(Tableau2[[#This Row],[Date]],"mmmm aaaa")</f>
        <v>mai 2026</v>
      </c>
    </row>
    <row r="1672" spans="1:16">
      <c r="A1672" s="2" t="s">
        <v>1759</v>
      </c>
      <c r="B1672" s="3">
        <v>46338</v>
      </c>
      <c r="C1672" s="2" t="s">
        <v>106</v>
      </c>
      <c r="D1672" s="2" t="s">
        <v>23</v>
      </c>
      <c r="E1672" s="2" t="s">
        <v>16</v>
      </c>
      <c r="F1672" s="2" t="s">
        <v>17</v>
      </c>
      <c r="G1672" s="2" t="s">
        <v>48</v>
      </c>
      <c r="H1672" s="2" t="s">
        <v>49</v>
      </c>
      <c r="I1672" s="2" t="s">
        <v>20</v>
      </c>
      <c r="J1672" s="4">
        <v>2</v>
      </c>
      <c r="K1672" s="5">
        <v>60</v>
      </c>
      <c r="L1672" s="6">
        <v>0</v>
      </c>
      <c r="M1672" s="5">
        <v>120</v>
      </c>
      <c r="P1672" t="str">
        <f>TEXT(Tableau2[[#This Row],[Date]],"mmmm aaaa")</f>
        <v>novembre 2026</v>
      </c>
    </row>
    <row r="1673" spans="1:16">
      <c r="A1673" s="2" t="s">
        <v>1760</v>
      </c>
      <c r="B1673" s="3">
        <v>46057</v>
      </c>
      <c r="C1673" s="2" t="s">
        <v>14</v>
      </c>
      <c r="D1673" s="2" t="s">
        <v>15</v>
      </c>
      <c r="E1673" s="2" t="s">
        <v>43</v>
      </c>
      <c r="F1673" s="2" t="s">
        <v>28</v>
      </c>
      <c r="G1673" s="2" t="s">
        <v>24</v>
      </c>
      <c r="H1673" s="2" t="s">
        <v>61</v>
      </c>
      <c r="I1673" s="2" t="s">
        <v>20</v>
      </c>
      <c r="J1673" s="4">
        <v>11</v>
      </c>
      <c r="K1673" s="5">
        <v>258.06</v>
      </c>
      <c r="L1673" s="6">
        <v>0</v>
      </c>
      <c r="M1673" s="5">
        <v>2838.66</v>
      </c>
      <c r="P1673" t="str">
        <f>TEXT(Tableau2[[#This Row],[Date]],"mmmm aaaa")</f>
        <v>février 2026</v>
      </c>
    </row>
    <row r="1674" spans="1:16">
      <c r="A1674" s="2" t="s">
        <v>1761</v>
      </c>
      <c r="B1674" s="3">
        <v>46248</v>
      </c>
      <c r="C1674" s="2" t="s">
        <v>106</v>
      </c>
      <c r="D1674" s="2" t="s">
        <v>23</v>
      </c>
      <c r="E1674" s="2" t="s">
        <v>34</v>
      </c>
      <c r="F1674" s="2" t="s">
        <v>17</v>
      </c>
      <c r="G1674" s="2" t="s">
        <v>54</v>
      </c>
      <c r="H1674" s="2" t="s">
        <v>102</v>
      </c>
      <c r="I1674" s="2" t="s">
        <v>36</v>
      </c>
      <c r="J1674" s="4">
        <v>1</v>
      </c>
      <c r="K1674" s="5">
        <v>207.45</v>
      </c>
      <c r="L1674" s="6">
        <v>0</v>
      </c>
      <c r="M1674" s="5">
        <v>207.45</v>
      </c>
      <c r="P1674" t="str">
        <f>TEXT(Tableau2[[#This Row],[Date]],"mmmm aaaa")</f>
        <v>août 2026</v>
      </c>
    </row>
    <row r="1675" spans="1:16">
      <c r="A1675" s="2" t="s">
        <v>1762</v>
      </c>
      <c r="B1675" s="3">
        <v>46259</v>
      </c>
      <c r="C1675" s="2" t="s">
        <v>106</v>
      </c>
      <c r="D1675" s="2" t="s">
        <v>23</v>
      </c>
      <c r="E1675" s="2" t="s">
        <v>43</v>
      </c>
      <c r="F1675" s="2" t="s">
        <v>28</v>
      </c>
      <c r="G1675" s="2" t="s">
        <v>18</v>
      </c>
      <c r="H1675" s="2" t="s">
        <v>19</v>
      </c>
      <c r="I1675" s="2" t="s">
        <v>41</v>
      </c>
      <c r="J1675" s="4">
        <v>4</v>
      </c>
      <c r="K1675" s="5">
        <v>54.29</v>
      </c>
      <c r="L1675" s="6">
        <v>0</v>
      </c>
      <c r="M1675" s="5">
        <v>217.16</v>
      </c>
      <c r="P1675" t="str">
        <f>TEXT(Tableau2[[#This Row],[Date]],"mmmm aaaa")</f>
        <v>août 2026</v>
      </c>
    </row>
    <row r="1676" spans="1:16">
      <c r="A1676" s="2" t="s">
        <v>1763</v>
      </c>
      <c r="B1676" s="3">
        <v>46292</v>
      </c>
      <c r="C1676" s="2" t="s">
        <v>101</v>
      </c>
      <c r="D1676" s="2" t="s">
        <v>33</v>
      </c>
      <c r="E1676" s="2" t="s">
        <v>16</v>
      </c>
      <c r="F1676" s="2" t="s">
        <v>17</v>
      </c>
      <c r="G1676" s="2" t="s">
        <v>54</v>
      </c>
      <c r="H1676" s="2" t="s">
        <v>102</v>
      </c>
      <c r="I1676" s="2" t="s">
        <v>36</v>
      </c>
      <c r="J1676" s="4">
        <v>11</v>
      </c>
      <c r="K1676" s="5">
        <v>198.2</v>
      </c>
      <c r="L1676" s="6">
        <v>0</v>
      </c>
      <c r="M1676" s="5">
        <v>2180.1999999999998</v>
      </c>
      <c r="P1676" t="str">
        <f>TEXT(Tableau2[[#This Row],[Date]],"mmmm aaaa")</f>
        <v>septembre 2026</v>
      </c>
    </row>
    <row r="1677" spans="1:16">
      <c r="A1677" s="2" t="s">
        <v>1764</v>
      </c>
      <c r="B1677" s="3">
        <v>46194</v>
      </c>
      <c r="C1677" s="2" t="s">
        <v>57</v>
      </c>
      <c r="D1677" s="2" t="s">
        <v>15</v>
      </c>
      <c r="E1677" s="2" t="s">
        <v>34</v>
      </c>
      <c r="F1677" s="2" t="s">
        <v>17</v>
      </c>
      <c r="G1677" s="2" t="s">
        <v>39</v>
      </c>
      <c r="H1677" s="2" t="s">
        <v>95</v>
      </c>
      <c r="I1677" s="2" t="s">
        <v>20</v>
      </c>
      <c r="J1677" s="4">
        <v>1</v>
      </c>
      <c r="K1677" s="5">
        <v>102.52</v>
      </c>
      <c r="L1677" s="6">
        <v>0</v>
      </c>
      <c r="M1677" s="5">
        <v>102.52</v>
      </c>
      <c r="P1677" t="str">
        <f>TEXT(Tableau2[[#This Row],[Date]],"mmmm aaaa")</f>
        <v>juin 2026</v>
      </c>
    </row>
    <row r="1678" spans="1:16">
      <c r="A1678" s="2" t="s">
        <v>1765</v>
      </c>
      <c r="B1678" s="3">
        <v>46246</v>
      </c>
      <c r="C1678" s="2" t="s">
        <v>151</v>
      </c>
      <c r="D1678" s="2" t="s">
        <v>15</v>
      </c>
      <c r="E1678" s="2" t="s">
        <v>34</v>
      </c>
      <c r="F1678" s="2" t="s">
        <v>17</v>
      </c>
      <c r="G1678" s="2" t="s">
        <v>18</v>
      </c>
      <c r="H1678" s="2" t="s">
        <v>19</v>
      </c>
      <c r="I1678" s="2" t="s">
        <v>36</v>
      </c>
      <c r="J1678" s="4">
        <v>1</v>
      </c>
      <c r="K1678" s="5">
        <v>50.47</v>
      </c>
      <c r="L1678" s="6">
        <v>0</v>
      </c>
      <c r="M1678" s="5">
        <v>50.47</v>
      </c>
      <c r="P1678" t="str">
        <f>TEXT(Tableau2[[#This Row],[Date]],"mmmm aaaa")</f>
        <v>août 2026</v>
      </c>
    </row>
    <row r="1679" spans="1:16">
      <c r="A1679" s="2" t="s">
        <v>1766</v>
      </c>
      <c r="B1679" s="3">
        <v>46320</v>
      </c>
      <c r="C1679" s="2" t="s">
        <v>63</v>
      </c>
      <c r="D1679" s="2" t="s">
        <v>33</v>
      </c>
      <c r="E1679" s="2" t="s">
        <v>38</v>
      </c>
      <c r="F1679" s="2" t="s">
        <v>28</v>
      </c>
      <c r="G1679" s="2" t="s">
        <v>24</v>
      </c>
      <c r="H1679" s="2" t="s">
        <v>25</v>
      </c>
      <c r="I1679" s="2" t="s">
        <v>26</v>
      </c>
      <c r="J1679" s="4">
        <v>1</v>
      </c>
      <c r="K1679" s="5">
        <v>129.72</v>
      </c>
      <c r="L1679" s="6">
        <v>0</v>
      </c>
      <c r="M1679" s="5">
        <v>129.72</v>
      </c>
      <c r="P1679" t="str">
        <f>TEXT(Tableau2[[#This Row],[Date]],"mmmm aaaa")</f>
        <v>octobre 2026</v>
      </c>
    </row>
    <row r="1680" spans="1:16">
      <c r="A1680" s="2" t="s">
        <v>1767</v>
      </c>
      <c r="B1680" s="3">
        <v>46076</v>
      </c>
      <c r="C1680" s="2" t="s">
        <v>14</v>
      </c>
      <c r="D1680" s="2" t="s">
        <v>15</v>
      </c>
      <c r="E1680" s="2" t="s">
        <v>43</v>
      </c>
      <c r="F1680" s="2" t="s">
        <v>17</v>
      </c>
      <c r="G1680" s="2" t="s">
        <v>54</v>
      </c>
      <c r="H1680" s="2" t="s">
        <v>64</v>
      </c>
      <c r="I1680" s="2" t="s">
        <v>50</v>
      </c>
      <c r="J1680" s="4">
        <v>1</v>
      </c>
      <c r="K1680" s="5">
        <v>83.12</v>
      </c>
      <c r="L1680" s="6">
        <v>0</v>
      </c>
      <c r="M1680" s="5">
        <v>83.12</v>
      </c>
      <c r="P1680" t="str">
        <f>TEXT(Tableau2[[#This Row],[Date]],"mmmm aaaa")</f>
        <v>février 2026</v>
      </c>
    </row>
    <row r="1681" spans="1:16">
      <c r="A1681" s="2" t="s">
        <v>1768</v>
      </c>
      <c r="B1681" s="3">
        <v>46219</v>
      </c>
      <c r="C1681" s="2" t="s">
        <v>63</v>
      </c>
      <c r="D1681" s="2" t="s">
        <v>33</v>
      </c>
      <c r="E1681" s="2" t="s">
        <v>43</v>
      </c>
      <c r="F1681" s="2" t="s">
        <v>17</v>
      </c>
      <c r="G1681" s="2" t="s">
        <v>29</v>
      </c>
      <c r="H1681" s="2" t="s">
        <v>140</v>
      </c>
      <c r="I1681" s="2" t="s">
        <v>58</v>
      </c>
      <c r="J1681" s="4">
        <v>2</v>
      </c>
      <c r="K1681" s="5">
        <v>46.38</v>
      </c>
      <c r="L1681" s="6">
        <v>0.15</v>
      </c>
      <c r="M1681" s="5">
        <v>78.849999999999994</v>
      </c>
      <c r="P1681" t="str">
        <f>TEXT(Tableau2[[#This Row],[Date]],"mmmm aaaa")</f>
        <v>juillet 2026</v>
      </c>
    </row>
    <row r="1682" spans="1:16">
      <c r="A1682" s="2" t="s">
        <v>1769</v>
      </c>
      <c r="B1682" s="3">
        <v>46281</v>
      </c>
      <c r="C1682" s="2" t="s">
        <v>63</v>
      </c>
      <c r="D1682" s="2" t="s">
        <v>33</v>
      </c>
      <c r="E1682" s="2" t="s">
        <v>34</v>
      </c>
      <c r="F1682" s="2" t="s">
        <v>17</v>
      </c>
      <c r="G1682" s="2" t="s">
        <v>39</v>
      </c>
      <c r="H1682" s="2" t="s">
        <v>71</v>
      </c>
      <c r="I1682" s="2" t="s">
        <v>50</v>
      </c>
      <c r="J1682" s="4">
        <v>2</v>
      </c>
      <c r="K1682" s="5">
        <v>123.6</v>
      </c>
      <c r="L1682" s="6">
        <v>0.05</v>
      </c>
      <c r="M1682" s="5">
        <v>234.84</v>
      </c>
      <c r="P1682" t="str">
        <f>TEXT(Tableau2[[#This Row],[Date]],"mmmm aaaa")</f>
        <v>septembre 2026</v>
      </c>
    </row>
    <row r="1683" spans="1:16">
      <c r="A1683" s="2" t="s">
        <v>1770</v>
      </c>
      <c r="B1683" s="3">
        <v>46216</v>
      </c>
      <c r="C1683" s="2" t="s">
        <v>94</v>
      </c>
      <c r="D1683" s="2" t="s">
        <v>15</v>
      </c>
      <c r="E1683" s="2" t="s">
        <v>34</v>
      </c>
      <c r="F1683" s="2" t="s">
        <v>17</v>
      </c>
      <c r="G1683" s="2" t="s">
        <v>29</v>
      </c>
      <c r="H1683" s="2" t="s">
        <v>140</v>
      </c>
      <c r="I1683" s="2" t="s">
        <v>26</v>
      </c>
      <c r="J1683" s="4">
        <v>1</v>
      </c>
      <c r="K1683" s="5">
        <v>45.87</v>
      </c>
      <c r="L1683" s="6">
        <v>0</v>
      </c>
      <c r="M1683" s="5">
        <v>45.87</v>
      </c>
      <c r="P1683" t="str">
        <f>TEXT(Tableau2[[#This Row],[Date]],"mmmm aaaa")</f>
        <v>juillet 2026</v>
      </c>
    </row>
    <row r="1684" spans="1:16">
      <c r="A1684" s="2" t="s">
        <v>1771</v>
      </c>
      <c r="B1684" s="3">
        <v>46248</v>
      </c>
      <c r="C1684" s="2" t="s">
        <v>116</v>
      </c>
      <c r="D1684" s="2" t="s">
        <v>15</v>
      </c>
      <c r="E1684" s="2" t="s">
        <v>34</v>
      </c>
      <c r="F1684" s="2" t="s">
        <v>28</v>
      </c>
      <c r="G1684" s="2" t="s">
        <v>54</v>
      </c>
      <c r="H1684" s="2" t="s">
        <v>102</v>
      </c>
      <c r="I1684" s="2" t="s">
        <v>45</v>
      </c>
      <c r="J1684" s="4">
        <v>10</v>
      </c>
      <c r="K1684" s="5">
        <v>214.24</v>
      </c>
      <c r="L1684" s="6">
        <v>0</v>
      </c>
      <c r="M1684" s="5">
        <v>2142.4</v>
      </c>
      <c r="P1684" t="str">
        <f>TEXT(Tableau2[[#This Row],[Date]],"mmmm aaaa")</f>
        <v>août 2026</v>
      </c>
    </row>
    <row r="1685" spans="1:16">
      <c r="A1685" s="2" t="s">
        <v>1772</v>
      </c>
      <c r="B1685" s="3">
        <v>46085</v>
      </c>
      <c r="C1685" s="2" t="s">
        <v>116</v>
      </c>
      <c r="D1685" s="2" t="s">
        <v>15</v>
      </c>
      <c r="E1685" s="2" t="s">
        <v>34</v>
      </c>
      <c r="F1685" s="2" t="s">
        <v>17</v>
      </c>
      <c r="G1685" s="2" t="s">
        <v>18</v>
      </c>
      <c r="H1685" s="2" t="s">
        <v>19</v>
      </c>
      <c r="I1685" s="2" t="s">
        <v>36</v>
      </c>
      <c r="J1685" s="4">
        <v>4</v>
      </c>
      <c r="K1685" s="5">
        <v>53.42</v>
      </c>
      <c r="L1685" s="6">
        <v>0</v>
      </c>
      <c r="M1685" s="5">
        <v>213.68</v>
      </c>
      <c r="P1685" t="str">
        <f>TEXT(Tableau2[[#This Row],[Date]],"mmmm aaaa")</f>
        <v>mars 2026</v>
      </c>
    </row>
    <row r="1686" spans="1:16">
      <c r="A1686" s="2" t="s">
        <v>1773</v>
      </c>
      <c r="B1686" s="3">
        <v>46321</v>
      </c>
      <c r="C1686" s="2" t="s">
        <v>123</v>
      </c>
      <c r="D1686" s="2" t="s">
        <v>53</v>
      </c>
      <c r="E1686" s="2" t="s">
        <v>38</v>
      </c>
      <c r="F1686" s="2" t="s">
        <v>17</v>
      </c>
      <c r="G1686" s="2" t="s">
        <v>24</v>
      </c>
      <c r="H1686" s="2" t="s">
        <v>25</v>
      </c>
      <c r="I1686" s="2" t="s">
        <v>45</v>
      </c>
      <c r="J1686" s="4">
        <v>4</v>
      </c>
      <c r="K1686" s="5">
        <v>120.24</v>
      </c>
      <c r="L1686" s="6">
        <v>0</v>
      </c>
      <c r="M1686" s="5">
        <v>480.96</v>
      </c>
      <c r="P1686" t="str">
        <f>TEXT(Tableau2[[#This Row],[Date]],"mmmm aaaa")</f>
        <v>octobre 2026</v>
      </c>
    </row>
    <row r="1687" spans="1:16">
      <c r="A1687" s="2" t="s">
        <v>1774</v>
      </c>
      <c r="B1687" s="3">
        <v>46308</v>
      </c>
      <c r="C1687" s="2" t="s">
        <v>14</v>
      </c>
      <c r="D1687" s="2" t="s">
        <v>15</v>
      </c>
      <c r="E1687" s="2" t="s">
        <v>38</v>
      </c>
      <c r="F1687" s="2" t="s">
        <v>17</v>
      </c>
      <c r="G1687" s="2" t="s">
        <v>48</v>
      </c>
      <c r="H1687" s="2" t="s">
        <v>49</v>
      </c>
      <c r="I1687" s="2" t="s">
        <v>20</v>
      </c>
      <c r="J1687" s="4">
        <v>6</v>
      </c>
      <c r="K1687" s="5">
        <v>56.8</v>
      </c>
      <c r="L1687" s="6">
        <v>0.1</v>
      </c>
      <c r="M1687" s="5">
        <v>306.72000000000003</v>
      </c>
      <c r="P1687" t="str">
        <f>TEXT(Tableau2[[#This Row],[Date]],"mmmm aaaa")</f>
        <v>octobre 2026</v>
      </c>
    </row>
    <row r="1688" spans="1:16">
      <c r="A1688" s="2" t="s">
        <v>1775</v>
      </c>
      <c r="B1688" s="3">
        <v>46121</v>
      </c>
      <c r="C1688" s="2" t="s">
        <v>14</v>
      </c>
      <c r="D1688" s="2" t="s">
        <v>15</v>
      </c>
      <c r="E1688" s="2" t="s">
        <v>34</v>
      </c>
      <c r="F1688" s="2" t="s">
        <v>28</v>
      </c>
      <c r="G1688" s="2" t="s">
        <v>54</v>
      </c>
      <c r="H1688" s="2" t="s">
        <v>64</v>
      </c>
      <c r="I1688" s="2" t="s">
        <v>45</v>
      </c>
      <c r="J1688" s="4">
        <v>2</v>
      </c>
      <c r="K1688" s="5">
        <v>89.45</v>
      </c>
      <c r="L1688" s="6">
        <v>0</v>
      </c>
      <c r="M1688" s="5">
        <v>178.9</v>
      </c>
      <c r="P1688" t="str">
        <f>TEXT(Tableau2[[#This Row],[Date]],"mmmm aaaa")</f>
        <v>avril 2026</v>
      </c>
    </row>
    <row r="1689" spans="1:16">
      <c r="A1689" s="2" t="s">
        <v>1776</v>
      </c>
      <c r="B1689" s="3">
        <v>46042</v>
      </c>
      <c r="C1689" s="2" t="s">
        <v>101</v>
      </c>
      <c r="D1689" s="2" t="s">
        <v>33</v>
      </c>
      <c r="E1689" s="2" t="s">
        <v>16</v>
      </c>
      <c r="F1689" s="2" t="s">
        <v>17</v>
      </c>
      <c r="G1689" s="2" t="s">
        <v>18</v>
      </c>
      <c r="H1689" s="2" t="s">
        <v>136</v>
      </c>
      <c r="I1689" s="2" t="s">
        <v>50</v>
      </c>
      <c r="J1689" s="4">
        <v>1</v>
      </c>
      <c r="K1689" s="5">
        <v>34.549999999999997</v>
      </c>
      <c r="L1689" s="6">
        <v>0</v>
      </c>
      <c r="M1689" s="5">
        <v>34.549999999999997</v>
      </c>
      <c r="P1689" t="str">
        <f>TEXT(Tableau2[[#This Row],[Date]],"mmmm aaaa")</f>
        <v>janvier 2026</v>
      </c>
    </row>
    <row r="1690" spans="1:16">
      <c r="A1690" s="2" t="s">
        <v>1777</v>
      </c>
      <c r="B1690" s="3">
        <v>46330</v>
      </c>
      <c r="C1690" s="2" t="s">
        <v>116</v>
      </c>
      <c r="D1690" s="2" t="s">
        <v>15</v>
      </c>
      <c r="E1690" s="2" t="s">
        <v>43</v>
      </c>
      <c r="F1690" s="2" t="s">
        <v>17</v>
      </c>
      <c r="G1690" s="2" t="s">
        <v>39</v>
      </c>
      <c r="H1690" s="2" t="s">
        <v>40</v>
      </c>
      <c r="I1690" s="2" t="s">
        <v>20</v>
      </c>
      <c r="J1690" s="4">
        <v>2</v>
      </c>
      <c r="K1690" s="5">
        <v>139.77000000000001</v>
      </c>
      <c r="L1690" s="6">
        <v>0</v>
      </c>
      <c r="M1690" s="5">
        <v>279.54000000000002</v>
      </c>
      <c r="P1690" t="str">
        <f>TEXT(Tableau2[[#This Row],[Date]],"mmmm aaaa")</f>
        <v>novembre 2026</v>
      </c>
    </row>
    <row r="1691" spans="1:16">
      <c r="A1691" s="2" t="s">
        <v>1778</v>
      </c>
      <c r="B1691" s="3">
        <v>46097</v>
      </c>
      <c r="C1691" s="2" t="s">
        <v>101</v>
      </c>
      <c r="D1691" s="2" t="s">
        <v>33</v>
      </c>
      <c r="E1691" s="2" t="s">
        <v>43</v>
      </c>
      <c r="F1691" s="2" t="s">
        <v>28</v>
      </c>
      <c r="G1691" s="2" t="s">
        <v>48</v>
      </c>
      <c r="H1691" s="2" t="s">
        <v>84</v>
      </c>
      <c r="I1691" s="2" t="s">
        <v>20</v>
      </c>
      <c r="J1691" s="4">
        <v>1</v>
      </c>
      <c r="K1691" s="5">
        <v>95.23</v>
      </c>
      <c r="L1691" s="6">
        <v>0</v>
      </c>
      <c r="M1691" s="5">
        <v>95.23</v>
      </c>
      <c r="P1691" t="str">
        <f>TEXT(Tableau2[[#This Row],[Date]],"mmmm aaaa")</f>
        <v>mars 2026</v>
      </c>
    </row>
    <row r="1692" spans="1:16">
      <c r="A1692" s="2" t="s">
        <v>1779</v>
      </c>
      <c r="B1692" s="3">
        <v>46059</v>
      </c>
      <c r="C1692" s="2" t="s">
        <v>164</v>
      </c>
      <c r="D1692" s="2" t="s">
        <v>53</v>
      </c>
      <c r="E1692" s="2" t="s">
        <v>34</v>
      </c>
      <c r="F1692" s="2" t="s">
        <v>28</v>
      </c>
      <c r="G1692" s="2" t="s">
        <v>18</v>
      </c>
      <c r="H1692" s="2" t="s">
        <v>143</v>
      </c>
      <c r="I1692" s="2" t="s">
        <v>75</v>
      </c>
      <c r="J1692" s="4">
        <v>1</v>
      </c>
      <c r="K1692" s="5">
        <v>72.88</v>
      </c>
      <c r="L1692" s="6">
        <v>0</v>
      </c>
      <c r="M1692" s="5">
        <v>72.88</v>
      </c>
      <c r="P1692" t="str">
        <f>TEXT(Tableau2[[#This Row],[Date]],"mmmm aaaa")</f>
        <v>février 2026</v>
      </c>
    </row>
    <row r="1693" spans="1:16">
      <c r="A1693" s="2" t="s">
        <v>1780</v>
      </c>
      <c r="B1693" s="3">
        <v>46310</v>
      </c>
      <c r="C1693" s="2" t="s">
        <v>14</v>
      </c>
      <c r="D1693" s="2" t="s">
        <v>15</v>
      </c>
      <c r="E1693" s="2" t="s">
        <v>34</v>
      </c>
      <c r="F1693" s="2" t="s">
        <v>17</v>
      </c>
      <c r="G1693" s="2" t="s">
        <v>39</v>
      </c>
      <c r="H1693" s="2" t="s">
        <v>40</v>
      </c>
      <c r="I1693" s="2" t="s">
        <v>58</v>
      </c>
      <c r="J1693" s="4">
        <v>10</v>
      </c>
      <c r="K1693" s="5">
        <v>139.44</v>
      </c>
      <c r="L1693" s="6">
        <v>0.2</v>
      </c>
      <c r="M1693" s="5">
        <v>1115.52</v>
      </c>
      <c r="P1693" t="str">
        <f>TEXT(Tableau2[[#This Row],[Date]],"mmmm aaaa")</f>
        <v>octobre 2026</v>
      </c>
    </row>
    <row r="1694" spans="1:16">
      <c r="A1694" s="2" t="s">
        <v>1781</v>
      </c>
      <c r="B1694" s="3">
        <v>46183</v>
      </c>
      <c r="C1694" s="2" t="s">
        <v>14</v>
      </c>
      <c r="D1694" s="2" t="s">
        <v>15</v>
      </c>
      <c r="E1694" s="2" t="s">
        <v>43</v>
      </c>
      <c r="F1694" s="2" t="s">
        <v>28</v>
      </c>
      <c r="G1694" s="2" t="s">
        <v>29</v>
      </c>
      <c r="H1694" s="2" t="s">
        <v>30</v>
      </c>
      <c r="I1694" s="2" t="s">
        <v>20</v>
      </c>
      <c r="J1694" s="4">
        <v>7</v>
      </c>
      <c r="K1694" s="5">
        <v>25.38</v>
      </c>
      <c r="L1694" s="6">
        <v>0</v>
      </c>
      <c r="M1694" s="5">
        <v>177.66</v>
      </c>
      <c r="P1694" t="str">
        <f>TEXT(Tableau2[[#This Row],[Date]],"mmmm aaaa")</f>
        <v>juin 2026</v>
      </c>
    </row>
    <row r="1695" spans="1:16">
      <c r="A1695" s="2" t="s">
        <v>1782</v>
      </c>
      <c r="B1695" s="3">
        <v>46089</v>
      </c>
      <c r="C1695" s="2" t="s">
        <v>441</v>
      </c>
      <c r="D1695" s="2" t="s">
        <v>23</v>
      </c>
      <c r="E1695" s="2" t="s">
        <v>43</v>
      </c>
      <c r="F1695" s="2" t="s">
        <v>17</v>
      </c>
      <c r="G1695" s="2" t="s">
        <v>54</v>
      </c>
      <c r="H1695" s="2" t="s">
        <v>64</v>
      </c>
      <c r="I1695" s="2" t="s">
        <v>41</v>
      </c>
      <c r="J1695" s="4">
        <v>3</v>
      </c>
      <c r="K1695" s="5">
        <v>84.16</v>
      </c>
      <c r="L1695" s="6">
        <v>0.05</v>
      </c>
      <c r="M1695" s="5">
        <v>239.86</v>
      </c>
      <c r="P1695" t="str">
        <f>TEXT(Tableau2[[#This Row],[Date]],"mmmm aaaa")</f>
        <v>mars 2026</v>
      </c>
    </row>
    <row r="1696" spans="1:16">
      <c r="A1696" s="2" t="s">
        <v>1783</v>
      </c>
      <c r="B1696" s="3">
        <v>46090</v>
      </c>
      <c r="C1696" s="2" t="s">
        <v>63</v>
      </c>
      <c r="D1696" s="2" t="s">
        <v>33</v>
      </c>
      <c r="E1696" s="2" t="s">
        <v>43</v>
      </c>
      <c r="F1696" s="2" t="s">
        <v>28</v>
      </c>
      <c r="G1696" s="2" t="s">
        <v>54</v>
      </c>
      <c r="H1696" s="2" t="s">
        <v>64</v>
      </c>
      <c r="I1696" s="2" t="s">
        <v>26</v>
      </c>
      <c r="J1696" s="4">
        <v>6</v>
      </c>
      <c r="K1696" s="5">
        <v>92.75</v>
      </c>
      <c r="L1696" s="6">
        <v>0</v>
      </c>
      <c r="M1696" s="5">
        <v>556.5</v>
      </c>
      <c r="P1696" t="str">
        <f>TEXT(Tableau2[[#This Row],[Date]],"mmmm aaaa")</f>
        <v>mars 2026</v>
      </c>
    </row>
    <row r="1697" spans="1:16">
      <c r="A1697" s="2" t="s">
        <v>1784</v>
      </c>
      <c r="B1697" s="3">
        <v>46271</v>
      </c>
      <c r="C1697" s="2" t="s">
        <v>90</v>
      </c>
      <c r="D1697" s="2" t="s">
        <v>53</v>
      </c>
      <c r="E1697" s="2" t="s">
        <v>38</v>
      </c>
      <c r="F1697" s="2" t="s">
        <v>28</v>
      </c>
      <c r="G1697" s="2" t="s">
        <v>54</v>
      </c>
      <c r="H1697" s="2" t="s">
        <v>64</v>
      </c>
      <c r="I1697" s="2" t="s">
        <v>75</v>
      </c>
      <c r="J1697" s="4">
        <v>1</v>
      </c>
      <c r="K1697" s="5">
        <v>82.71</v>
      </c>
      <c r="L1697" s="6">
        <v>0</v>
      </c>
      <c r="M1697" s="5">
        <v>82.71</v>
      </c>
      <c r="P1697" t="str">
        <f>TEXT(Tableau2[[#This Row],[Date]],"mmmm aaaa")</f>
        <v>septembre 2026</v>
      </c>
    </row>
    <row r="1698" spans="1:16">
      <c r="A1698" s="2" t="s">
        <v>1785</v>
      </c>
      <c r="B1698" s="3">
        <v>46293</v>
      </c>
      <c r="C1698" s="2" t="s">
        <v>164</v>
      </c>
      <c r="D1698" s="2" t="s">
        <v>53</v>
      </c>
      <c r="E1698" s="2" t="s">
        <v>38</v>
      </c>
      <c r="F1698" s="2" t="s">
        <v>17</v>
      </c>
      <c r="G1698" s="2" t="s">
        <v>54</v>
      </c>
      <c r="H1698" s="2" t="s">
        <v>64</v>
      </c>
      <c r="I1698" s="2" t="s">
        <v>41</v>
      </c>
      <c r="J1698" s="4">
        <v>11</v>
      </c>
      <c r="K1698" s="5">
        <v>93.41</v>
      </c>
      <c r="L1698" s="6">
        <v>0.05</v>
      </c>
      <c r="M1698" s="5">
        <v>976.13</v>
      </c>
      <c r="P1698" t="str">
        <f>TEXT(Tableau2[[#This Row],[Date]],"mmmm aaaa")</f>
        <v>septembre 2026</v>
      </c>
    </row>
    <row r="1699" spans="1:16">
      <c r="A1699" s="2" t="s">
        <v>1786</v>
      </c>
      <c r="B1699" s="3">
        <v>46280</v>
      </c>
      <c r="C1699" s="2" t="s">
        <v>178</v>
      </c>
      <c r="D1699" s="2" t="s">
        <v>15</v>
      </c>
      <c r="E1699" s="2" t="s">
        <v>16</v>
      </c>
      <c r="F1699" s="2" t="s">
        <v>28</v>
      </c>
      <c r="G1699" s="2" t="s">
        <v>18</v>
      </c>
      <c r="H1699" s="2" t="s">
        <v>19</v>
      </c>
      <c r="I1699" s="2" t="s">
        <v>58</v>
      </c>
      <c r="J1699" s="4">
        <v>4</v>
      </c>
      <c r="K1699" s="5">
        <v>55.05</v>
      </c>
      <c r="L1699" s="6">
        <v>0.2</v>
      </c>
      <c r="M1699" s="5">
        <v>176.16</v>
      </c>
      <c r="P1699" t="str">
        <f>TEXT(Tableau2[[#This Row],[Date]],"mmmm aaaa")</f>
        <v>septembre 2026</v>
      </c>
    </row>
    <row r="1700" spans="1:16">
      <c r="A1700" s="2" t="s">
        <v>1787</v>
      </c>
      <c r="B1700" s="3">
        <v>46154</v>
      </c>
      <c r="C1700" s="2" t="s">
        <v>57</v>
      </c>
      <c r="D1700" s="2" t="s">
        <v>15</v>
      </c>
      <c r="E1700" s="2" t="s">
        <v>34</v>
      </c>
      <c r="F1700" s="2" t="s">
        <v>28</v>
      </c>
      <c r="G1700" s="2" t="s">
        <v>18</v>
      </c>
      <c r="H1700" s="2" t="s">
        <v>19</v>
      </c>
      <c r="I1700" s="2" t="s">
        <v>26</v>
      </c>
      <c r="J1700" s="4">
        <v>2</v>
      </c>
      <c r="K1700" s="5">
        <v>50.92</v>
      </c>
      <c r="L1700" s="6">
        <v>0</v>
      </c>
      <c r="M1700" s="5">
        <v>101.84</v>
      </c>
      <c r="P1700" t="str">
        <f>TEXT(Tableau2[[#This Row],[Date]],"mmmm aaaa")</f>
        <v>mai 2026</v>
      </c>
    </row>
    <row r="1701" spans="1:16">
      <c r="A1701" s="2" t="s">
        <v>1788</v>
      </c>
      <c r="B1701" s="3">
        <v>46363</v>
      </c>
      <c r="C1701" s="2" t="s">
        <v>47</v>
      </c>
      <c r="D1701" s="2" t="s">
        <v>15</v>
      </c>
      <c r="E1701" s="2" t="s">
        <v>16</v>
      </c>
      <c r="F1701" s="2" t="s">
        <v>17</v>
      </c>
      <c r="G1701" s="2" t="s">
        <v>54</v>
      </c>
      <c r="H1701" s="2" t="s">
        <v>64</v>
      </c>
      <c r="I1701" s="2" t="s">
        <v>50</v>
      </c>
      <c r="J1701" s="4">
        <v>10</v>
      </c>
      <c r="K1701" s="5">
        <v>84.94</v>
      </c>
      <c r="L1701" s="6">
        <v>0</v>
      </c>
      <c r="M1701" s="5">
        <v>849.4</v>
      </c>
      <c r="P1701" t="str">
        <f>TEXT(Tableau2[[#This Row],[Date]],"mmmm aaaa")</f>
        <v>décembre 2026</v>
      </c>
    </row>
    <row r="1702" spans="1:16">
      <c r="A1702" s="2" t="s">
        <v>1789</v>
      </c>
      <c r="B1702" s="3">
        <v>46304</v>
      </c>
      <c r="C1702" s="2" t="s">
        <v>116</v>
      </c>
      <c r="D1702" s="2" t="s">
        <v>15</v>
      </c>
      <c r="E1702" s="2" t="s">
        <v>16</v>
      </c>
      <c r="F1702" s="2" t="s">
        <v>17</v>
      </c>
      <c r="G1702" s="2" t="s">
        <v>54</v>
      </c>
      <c r="H1702" s="2" t="s">
        <v>102</v>
      </c>
      <c r="I1702" s="2" t="s">
        <v>58</v>
      </c>
      <c r="J1702" s="4">
        <v>6</v>
      </c>
      <c r="K1702" s="5">
        <v>215.49</v>
      </c>
      <c r="L1702" s="6">
        <v>0</v>
      </c>
      <c r="M1702" s="5">
        <v>1292.94</v>
      </c>
      <c r="P1702" t="str">
        <f>TEXT(Tableau2[[#This Row],[Date]],"mmmm aaaa")</f>
        <v>octobre 2026</v>
      </c>
    </row>
    <row r="1703" spans="1:16">
      <c r="A1703" s="2" t="s">
        <v>1790</v>
      </c>
      <c r="B1703" s="3">
        <v>46336</v>
      </c>
      <c r="C1703" s="2" t="s">
        <v>123</v>
      </c>
      <c r="D1703" s="2" t="s">
        <v>53</v>
      </c>
      <c r="E1703" s="2" t="s">
        <v>16</v>
      </c>
      <c r="F1703" s="2" t="s">
        <v>28</v>
      </c>
      <c r="G1703" s="2" t="s">
        <v>29</v>
      </c>
      <c r="H1703" s="2" t="s">
        <v>30</v>
      </c>
      <c r="I1703" s="2" t="s">
        <v>58</v>
      </c>
      <c r="J1703" s="4">
        <v>2</v>
      </c>
      <c r="K1703" s="5">
        <v>25.51</v>
      </c>
      <c r="L1703" s="6">
        <v>0</v>
      </c>
      <c r="M1703" s="5">
        <v>51.02</v>
      </c>
      <c r="P1703" t="str">
        <f>TEXT(Tableau2[[#This Row],[Date]],"mmmm aaaa")</f>
        <v>novembre 2026</v>
      </c>
    </row>
    <row r="1704" spans="1:16">
      <c r="A1704" s="2" t="s">
        <v>1791</v>
      </c>
      <c r="B1704" s="3">
        <v>46257</v>
      </c>
      <c r="C1704" s="2" t="s">
        <v>79</v>
      </c>
      <c r="D1704" s="2" t="s">
        <v>33</v>
      </c>
      <c r="E1704" s="2" t="s">
        <v>16</v>
      </c>
      <c r="F1704" s="2" t="s">
        <v>17</v>
      </c>
      <c r="G1704" s="2" t="s">
        <v>48</v>
      </c>
      <c r="H1704" s="2" t="s">
        <v>88</v>
      </c>
      <c r="I1704" s="2" t="s">
        <v>36</v>
      </c>
      <c r="J1704" s="4">
        <v>1</v>
      </c>
      <c r="K1704" s="5">
        <v>78.709999999999994</v>
      </c>
      <c r="L1704" s="6">
        <v>0.15</v>
      </c>
      <c r="M1704" s="5">
        <v>66.900000000000006</v>
      </c>
      <c r="P1704" t="str">
        <f>TEXT(Tableau2[[#This Row],[Date]],"mmmm aaaa")</f>
        <v>août 2026</v>
      </c>
    </row>
    <row r="1705" spans="1:16">
      <c r="A1705" s="2" t="s">
        <v>1792</v>
      </c>
      <c r="B1705" s="3">
        <v>46384</v>
      </c>
      <c r="C1705" s="2" t="s">
        <v>47</v>
      </c>
      <c r="D1705" s="2" t="s">
        <v>15</v>
      </c>
      <c r="E1705" s="2" t="s">
        <v>43</v>
      </c>
      <c r="F1705" s="2" t="s">
        <v>17</v>
      </c>
      <c r="G1705" s="2" t="s">
        <v>24</v>
      </c>
      <c r="H1705" s="2" t="s">
        <v>61</v>
      </c>
      <c r="I1705" s="2" t="s">
        <v>45</v>
      </c>
      <c r="J1705" s="4">
        <v>3</v>
      </c>
      <c r="K1705" s="5">
        <v>246.14</v>
      </c>
      <c r="L1705" s="6">
        <v>0.1</v>
      </c>
      <c r="M1705" s="5">
        <v>664.58</v>
      </c>
      <c r="P1705" t="str">
        <f>TEXT(Tableau2[[#This Row],[Date]],"mmmm aaaa")</f>
        <v>décembre 2026</v>
      </c>
    </row>
    <row r="1706" spans="1:16">
      <c r="A1706" s="2" t="s">
        <v>1793</v>
      </c>
      <c r="B1706" s="3">
        <v>46177</v>
      </c>
      <c r="C1706" s="2" t="s">
        <v>151</v>
      </c>
      <c r="D1706" s="2" t="s">
        <v>15</v>
      </c>
      <c r="E1706" s="2" t="s">
        <v>16</v>
      </c>
      <c r="F1706" s="2" t="s">
        <v>28</v>
      </c>
      <c r="G1706" s="2" t="s">
        <v>29</v>
      </c>
      <c r="H1706" s="2" t="s">
        <v>99</v>
      </c>
      <c r="I1706" s="2" t="s">
        <v>36</v>
      </c>
      <c r="J1706" s="4">
        <v>4</v>
      </c>
      <c r="K1706" s="5">
        <v>60.37</v>
      </c>
      <c r="L1706" s="6">
        <v>0</v>
      </c>
      <c r="M1706" s="5">
        <v>241.48</v>
      </c>
      <c r="P1706" t="str">
        <f>TEXT(Tableau2[[#This Row],[Date]],"mmmm aaaa")</f>
        <v>juin 2026</v>
      </c>
    </row>
    <row r="1707" spans="1:16">
      <c r="A1707" s="2" t="s">
        <v>1794</v>
      </c>
      <c r="B1707" s="3">
        <v>46090</v>
      </c>
      <c r="C1707" s="2" t="s">
        <v>116</v>
      </c>
      <c r="D1707" s="2" t="s">
        <v>15</v>
      </c>
      <c r="E1707" s="2" t="s">
        <v>16</v>
      </c>
      <c r="F1707" s="2" t="s">
        <v>17</v>
      </c>
      <c r="G1707" s="2" t="s">
        <v>29</v>
      </c>
      <c r="H1707" s="2" t="s">
        <v>30</v>
      </c>
      <c r="I1707" s="2" t="s">
        <v>20</v>
      </c>
      <c r="J1707" s="4">
        <v>8</v>
      </c>
      <c r="K1707" s="5">
        <v>27.87</v>
      </c>
      <c r="L1707" s="6">
        <v>0</v>
      </c>
      <c r="M1707" s="5">
        <v>222.96</v>
      </c>
      <c r="P1707" t="str">
        <f>TEXT(Tableau2[[#This Row],[Date]],"mmmm aaaa")</f>
        <v>mars 2026</v>
      </c>
    </row>
    <row r="1708" spans="1:16">
      <c r="A1708" s="2" t="s">
        <v>1795</v>
      </c>
      <c r="B1708" s="3">
        <v>46105</v>
      </c>
      <c r="C1708" s="2" t="s">
        <v>130</v>
      </c>
      <c r="D1708" s="2" t="s">
        <v>53</v>
      </c>
      <c r="E1708" s="2" t="s">
        <v>34</v>
      </c>
      <c r="F1708" s="2" t="s">
        <v>28</v>
      </c>
      <c r="G1708" s="2" t="s">
        <v>29</v>
      </c>
      <c r="H1708" s="2" t="s">
        <v>30</v>
      </c>
      <c r="I1708" s="2" t="s">
        <v>58</v>
      </c>
      <c r="J1708" s="4">
        <v>2</v>
      </c>
      <c r="K1708" s="5">
        <v>27.45</v>
      </c>
      <c r="L1708" s="6">
        <v>0.1</v>
      </c>
      <c r="M1708" s="5">
        <v>49.41</v>
      </c>
      <c r="P1708" t="str">
        <f>TEXT(Tableau2[[#This Row],[Date]],"mmmm aaaa")</f>
        <v>mars 2026</v>
      </c>
    </row>
    <row r="1709" spans="1:16">
      <c r="A1709" s="2" t="s">
        <v>1796</v>
      </c>
      <c r="B1709" s="3">
        <v>46250</v>
      </c>
      <c r="C1709" s="2" t="s">
        <v>63</v>
      </c>
      <c r="D1709" s="2" t="s">
        <v>33</v>
      </c>
      <c r="E1709" s="2" t="s">
        <v>16</v>
      </c>
      <c r="F1709" s="2" t="s">
        <v>17</v>
      </c>
      <c r="G1709" s="2" t="s">
        <v>29</v>
      </c>
      <c r="H1709" s="2" t="s">
        <v>99</v>
      </c>
      <c r="I1709" s="2" t="s">
        <v>36</v>
      </c>
      <c r="J1709" s="4">
        <v>2</v>
      </c>
      <c r="K1709" s="5">
        <v>65.59</v>
      </c>
      <c r="L1709" s="6">
        <v>0</v>
      </c>
      <c r="M1709" s="5">
        <v>131.18</v>
      </c>
      <c r="P1709" t="str">
        <f>TEXT(Tableau2[[#This Row],[Date]],"mmmm aaaa")</f>
        <v>août 2026</v>
      </c>
    </row>
    <row r="1710" spans="1:16">
      <c r="A1710" s="2" t="s">
        <v>1797</v>
      </c>
      <c r="B1710" s="3">
        <v>46182</v>
      </c>
      <c r="C1710" s="2" t="s">
        <v>22</v>
      </c>
      <c r="D1710" s="2" t="s">
        <v>23</v>
      </c>
      <c r="E1710" s="2" t="s">
        <v>38</v>
      </c>
      <c r="F1710" s="2" t="s">
        <v>28</v>
      </c>
      <c r="G1710" s="2" t="s">
        <v>39</v>
      </c>
      <c r="H1710" s="2" t="s">
        <v>95</v>
      </c>
      <c r="I1710" s="2" t="s">
        <v>45</v>
      </c>
      <c r="J1710" s="4">
        <v>5</v>
      </c>
      <c r="K1710" s="5">
        <v>97.84</v>
      </c>
      <c r="L1710" s="6">
        <v>0</v>
      </c>
      <c r="M1710" s="5">
        <v>489.2</v>
      </c>
      <c r="P1710" t="str">
        <f>TEXT(Tableau2[[#This Row],[Date]],"mmmm aaaa")</f>
        <v>juin 2026</v>
      </c>
    </row>
    <row r="1711" spans="1:16">
      <c r="A1711" s="2" t="s">
        <v>1798</v>
      </c>
      <c r="B1711" s="3">
        <v>46067</v>
      </c>
      <c r="C1711" s="2" t="s">
        <v>130</v>
      </c>
      <c r="D1711" s="2" t="s">
        <v>53</v>
      </c>
      <c r="E1711" s="2" t="s">
        <v>16</v>
      </c>
      <c r="F1711" s="2" t="s">
        <v>28</v>
      </c>
      <c r="G1711" s="2" t="s">
        <v>18</v>
      </c>
      <c r="H1711" s="2" t="s">
        <v>136</v>
      </c>
      <c r="I1711" s="2" t="s">
        <v>45</v>
      </c>
      <c r="J1711" s="4">
        <v>1</v>
      </c>
      <c r="K1711" s="5">
        <v>33.51</v>
      </c>
      <c r="L1711" s="6">
        <v>0</v>
      </c>
      <c r="M1711" s="5">
        <v>33.51</v>
      </c>
      <c r="P1711" t="str">
        <f>TEXT(Tableau2[[#This Row],[Date]],"mmmm aaaa")</f>
        <v>février 2026</v>
      </c>
    </row>
    <row r="1712" spans="1:16">
      <c r="A1712" s="2" t="s">
        <v>1799</v>
      </c>
      <c r="B1712" s="3">
        <v>46224</v>
      </c>
      <c r="C1712" s="2" t="s">
        <v>164</v>
      </c>
      <c r="D1712" s="2" t="s">
        <v>53</v>
      </c>
      <c r="E1712" s="2" t="s">
        <v>16</v>
      </c>
      <c r="F1712" s="2" t="s">
        <v>28</v>
      </c>
      <c r="G1712" s="2" t="s">
        <v>54</v>
      </c>
      <c r="H1712" s="2" t="s">
        <v>64</v>
      </c>
      <c r="I1712" s="2" t="s">
        <v>20</v>
      </c>
      <c r="J1712" s="4">
        <v>1</v>
      </c>
      <c r="K1712" s="5">
        <v>86.08</v>
      </c>
      <c r="L1712" s="6">
        <v>0.15</v>
      </c>
      <c r="M1712" s="5">
        <v>73.17</v>
      </c>
      <c r="P1712" t="str">
        <f>TEXT(Tableau2[[#This Row],[Date]],"mmmm aaaa")</f>
        <v>juillet 2026</v>
      </c>
    </row>
    <row r="1713" spans="1:16">
      <c r="A1713" s="2" t="s">
        <v>1800</v>
      </c>
      <c r="B1713" s="3">
        <v>46228</v>
      </c>
      <c r="C1713" s="2" t="s">
        <v>57</v>
      </c>
      <c r="D1713" s="2" t="s">
        <v>15</v>
      </c>
      <c r="E1713" s="2" t="s">
        <v>34</v>
      </c>
      <c r="F1713" s="2" t="s">
        <v>28</v>
      </c>
      <c r="G1713" s="2" t="s">
        <v>48</v>
      </c>
      <c r="H1713" s="2" t="s">
        <v>84</v>
      </c>
      <c r="I1713" s="2" t="s">
        <v>41</v>
      </c>
      <c r="J1713" s="4">
        <v>1</v>
      </c>
      <c r="K1713" s="5">
        <v>97.42</v>
      </c>
      <c r="L1713" s="6">
        <v>0</v>
      </c>
      <c r="M1713" s="5">
        <v>97.42</v>
      </c>
      <c r="P1713" t="str">
        <f>TEXT(Tableau2[[#This Row],[Date]],"mmmm aaaa")</f>
        <v>juillet 2026</v>
      </c>
    </row>
    <row r="1714" spans="1:16">
      <c r="A1714" s="2" t="s">
        <v>1801</v>
      </c>
      <c r="B1714" s="3">
        <v>46387</v>
      </c>
      <c r="C1714" s="2" t="s">
        <v>130</v>
      </c>
      <c r="D1714" s="2" t="s">
        <v>53</v>
      </c>
      <c r="E1714" s="2" t="s">
        <v>16</v>
      </c>
      <c r="F1714" s="2" t="s">
        <v>28</v>
      </c>
      <c r="G1714" s="2" t="s">
        <v>39</v>
      </c>
      <c r="H1714" s="2" t="s">
        <v>40</v>
      </c>
      <c r="I1714" s="2" t="s">
        <v>20</v>
      </c>
      <c r="J1714" s="4">
        <v>7</v>
      </c>
      <c r="K1714" s="5">
        <v>141.21</v>
      </c>
      <c r="L1714" s="6">
        <v>0</v>
      </c>
      <c r="M1714" s="5">
        <v>988.47</v>
      </c>
      <c r="P1714" t="str">
        <f>TEXT(Tableau2[[#This Row],[Date]],"mmmm aaaa")</f>
        <v>décembre 2026</v>
      </c>
    </row>
    <row r="1715" spans="1:16">
      <c r="A1715" s="2" t="s">
        <v>1802</v>
      </c>
      <c r="B1715" s="3">
        <v>46245</v>
      </c>
      <c r="C1715" s="2" t="s">
        <v>441</v>
      </c>
      <c r="D1715" s="2" t="s">
        <v>23</v>
      </c>
      <c r="E1715" s="2" t="s">
        <v>16</v>
      </c>
      <c r="F1715" s="2" t="s">
        <v>17</v>
      </c>
      <c r="G1715" s="2" t="s">
        <v>29</v>
      </c>
      <c r="H1715" s="2" t="s">
        <v>99</v>
      </c>
      <c r="I1715" s="2" t="s">
        <v>50</v>
      </c>
      <c r="J1715" s="4">
        <v>3</v>
      </c>
      <c r="K1715" s="5">
        <v>61.49</v>
      </c>
      <c r="L1715" s="6">
        <v>0</v>
      </c>
      <c r="M1715" s="5">
        <v>184.47</v>
      </c>
      <c r="P1715" t="str">
        <f>TEXT(Tableau2[[#This Row],[Date]],"mmmm aaaa")</f>
        <v>août 2026</v>
      </c>
    </row>
    <row r="1716" spans="1:16">
      <c r="A1716" s="2" t="s">
        <v>1803</v>
      </c>
      <c r="B1716" s="3">
        <v>46043</v>
      </c>
      <c r="C1716" s="2" t="s">
        <v>86</v>
      </c>
      <c r="D1716" s="2" t="s">
        <v>53</v>
      </c>
      <c r="E1716" s="2" t="s">
        <v>16</v>
      </c>
      <c r="F1716" s="2" t="s">
        <v>17</v>
      </c>
      <c r="G1716" s="2" t="s">
        <v>48</v>
      </c>
      <c r="H1716" s="2" t="s">
        <v>88</v>
      </c>
      <c r="I1716" s="2" t="s">
        <v>50</v>
      </c>
      <c r="J1716" s="4">
        <v>1</v>
      </c>
      <c r="K1716" s="5">
        <v>80.930000000000007</v>
      </c>
      <c r="L1716" s="6">
        <v>0.1</v>
      </c>
      <c r="M1716" s="5">
        <v>72.84</v>
      </c>
      <c r="P1716" t="str">
        <f>TEXT(Tableau2[[#This Row],[Date]],"mmmm aaaa")</f>
        <v>janvier 2026</v>
      </c>
    </row>
    <row r="1717" spans="1:16">
      <c r="A1717" s="2" t="s">
        <v>1804</v>
      </c>
      <c r="B1717" s="3">
        <v>46248</v>
      </c>
      <c r="C1717" s="2" t="s">
        <v>57</v>
      </c>
      <c r="D1717" s="2" t="s">
        <v>15</v>
      </c>
      <c r="E1717" s="2" t="s">
        <v>16</v>
      </c>
      <c r="F1717" s="2" t="s">
        <v>17</v>
      </c>
      <c r="G1717" s="2" t="s">
        <v>54</v>
      </c>
      <c r="H1717" s="2" t="s">
        <v>102</v>
      </c>
      <c r="I1717" s="2" t="s">
        <v>58</v>
      </c>
      <c r="J1717" s="4">
        <v>1</v>
      </c>
      <c r="K1717" s="5">
        <v>213.43</v>
      </c>
      <c r="L1717" s="6">
        <v>0.2</v>
      </c>
      <c r="M1717" s="5">
        <v>170.74</v>
      </c>
      <c r="P1717" t="str">
        <f>TEXT(Tableau2[[#This Row],[Date]],"mmmm aaaa")</f>
        <v>août 2026</v>
      </c>
    </row>
    <row r="1718" spans="1:16">
      <c r="A1718" s="2" t="s">
        <v>1805</v>
      </c>
      <c r="B1718" s="3">
        <v>46250</v>
      </c>
      <c r="C1718" s="2" t="s">
        <v>52</v>
      </c>
      <c r="D1718" s="2" t="s">
        <v>53</v>
      </c>
      <c r="E1718" s="2" t="s">
        <v>16</v>
      </c>
      <c r="F1718" s="2" t="s">
        <v>17</v>
      </c>
      <c r="G1718" s="2" t="s">
        <v>18</v>
      </c>
      <c r="H1718" s="2" t="s">
        <v>136</v>
      </c>
      <c r="I1718" s="2" t="s">
        <v>45</v>
      </c>
      <c r="J1718" s="4">
        <v>1</v>
      </c>
      <c r="K1718" s="5">
        <v>30.35</v>
      </c>
      <c r="L1718" s="6">
        <v>0.15</v>
      </c>
      <c r="M1718" s="5">
        <v>25.8</v>
      </c>
      <c r="P1718" t="str">
        <f>TEXT(Tableau2[[#This Row],[Date]],"mmmm aaaa")</f>
        <v>août 2026</v>
      </c>
    </row>
    <row r="1719" spans="1:16">
      <c r="A1719" s="2" t="s">
        <v>1806</v>
      </c>
      <c r="B1719" s="3">
        <v>46329</v>
      </c>
      <c r="C1719" s="2" t="s">
        <v>47</v>
      </c>
      <c r="D1719" s="2" t="s">
        <v>15</v>
      </c>
      <c r="E1719" s="2" t="s">
        <v>16</v>
      </c>
      <c r="F1719" s="2" t="s">
        <v>28</v>
      </c>
      <c r="G1719" s="2" t="s">
        <v>54</v>
      </c>
      <c r="H1719" s="2" t="s">
        <v>102</v>
      </c>
      <c r="I1719" s="2" t="s">
        <v>36</v>
      </c>
      <c r="J1719" s="4">
        <v>4</v>
      </c>
      <c r="K1719" s="5">
        <v>213.55</v>
      </c>
      <c r="L1719" s="6">
        <v>0.2</v>
      </c>
      <c r="M1719" s="5">
        <v>683.36</v>
      </c>
      <c r="P1719" t="str">
        <f>TEXT(Tableau2[[#This Row],[Date]],"mmmm aaaa")</f>
        <v>novembre 2026</v>
      </c>
    </row>
    <row r="1720" spans="1:16">
      <c r="A1720" s="2" t="s">
        <v>1807</v>
      </c>
      <c r="B1720" s="3">
        <v>46351</v>
      </c>
      <c r="C1720" s="2" t="s">
        <v>22</v>
      </c>
      <c r="D1720" s="2" t="s">
        <v>23</v>
      </c>
      <c r="E1720" s="2" t="s">
        <v>34</v>
      </c>
      <c r="F1720" s="2" t="s">
        <v>28</v>
      </c>
      <c r="G1720" s="2" t="s">
        <v>24</v>
      </c>
      <c r="H1720" s="2" t="s">
        <v>25</v>
      </c>
      <c r="I1720" s="2" t="s">
        <v>45</v>
      </c>
      <c r="J1720" s="4">
        <v>18</v>
      </c>
      <c r="K1720" s="5">
        <v>120.57</v>
      </c>
      <c r="L1720" s="6">
        <v>0</v>
      </c>
      <c r="M1720" s="5">
        <v>2170.2600000000002</v>
      </c>
      <c r="P1720" t="str">
        <f>TEXT(Tableau2[[#This Row],[Date]],"mmmm aaaa")</f>
        <v>novembre 2026</v>
      </c>
    </row>
    <row r="1721" spans="1:16">
      <c r="A1721" s="2" t="s">
        <v>1808</v>
      </c>
      <c r="B1721" s="3">
        <v>46074</v>
      </c>
      <c r="C1721" s="2" t="s">
        <v>63</v>
      </c>
      <c r="D1721" s="2" t="s">
        <v>33</v>
      </c>
      <c r="E1721" s="2" t="s">
        <v>38</v>
      </c>
      <c r="F1721" s="2" t="s">
        <v>28</v>
      </c>
      <c r="G1721" s="2" t="s">
        <v>54</v>
      </c>
      <c r="H1721" s="2" t="s">
        <v>102</v>
      </c>
      <c r="I1721" s="2" t="s">
        <v>50</v>
      </c>
      <c r="J1721" s="4">
        <v>1</v>
      </c>
      <c r="K1721" s="5">
        <v>220.61</v>
      </c>
      <c r="L1721" s="6">
        <v>0</v>
      </c>
      <c r="M1721" s="5">
        <v>220.61</v>
      </c>
      <c r="P1721" t="str">
        <f>TEXT(Tableau2[[#This Row],[Date]],"mmmm aaaa")</f>
        <v>février 2026</v>
      </c>
    </row>
    <row r="1722" spans="1:16">
      <c r="A1722" s="2" t="s">
        <v>1809</v>
      </c>
      <c r="B1722" s="3">
        <v>46275</v>
      </c>
      <c r="C1722" s="2" t="s">
        <v>106</v>
      </c>
      <c r="D1722" s="2" t="s">
        <v>23</v>
      </c>
      <c r="E1722" s="2" t="s">
        <v>16</v>
      </c>
      <c r="F1722" s="2" t="s">
        <v>17</v>
      </c>
      <c r="G1722" s="2" t="s">
        <v>18</v>
      </c>
      <c r="H1722" s="2" t="s">
        <v>143</v>
      </c>
      <c r="I1722" s="2" t="s">
        <v>41</v>
      </c>
      <c r="J1722" s="4">
        <v>4</v>
      </c>
      <c r="K1722" s="5">
        <v>67.540000000000006</v>
      </c>
      <c r="L1722" s="6">
        <v>0.05</v>
      </c>
      <c r="M1722" s="5">
        <v>256.64999999999998</v>
      </c>
      <c r="P1722" t="str">
        <f>TEXT(Tableau2[[#This Row],[Date]],"mmmm aaaa")</f>
        <v>septembre 2026</v>
      </c>
    </row>
    <row r="1723" spans="1:16">
      <c r="A1723" s="2" t="s">
        <v>1810</v>
      </c>
      <c r="B1723" s="3">
        <v>46145</v>
      </c>
      <c r="C1723" s="2" t="s">
        <v>79</v>
      </c>
      <c r="D1723" s="2" t="s">
        <v>33</v>
      </c>
      <c r="E1723" s="2" t="s">
        <v>43</v>
      </c>
      <c r="F1723" s="2" t="s">
        <v>17</v>
      </c>
      <c r="G1723" s="2" t="s">
        <v>18</v>
      </c>
      <c r="H1723" s="2" t="s">
        <v>136</v>
      </c>
      <c r="I1723" s="2" t="s">
        <v>41</v>
      </c>
      <c r="J1723" s="4">
        <v>1</v>
      </c>
      <c r="K1723" s="5">
        <v>30.67</v>
      </c>
      <c r="L1723" s="6">
        <v>0</v>
      </c>
      <c r="M1723" s="5">
        <v>30.67</v>
      </c>
      <c r="P1723" t="str">
        <f>TEXT(Tableau2[[#This Row],[Date]],"mmmm aaaa")</f>
        <v>mai 2026</v>
      </c>
    </row>
    <row r="1724" spans="1:16">
      <c r="A1724" s="2" t="s">
        <v>1811</v>
      </c>
      <c r="B1724" s="3">
        <v>46272</v>
      </c>
      <c r="C1724" s="2" t="s">
        <v>156</v>
      </c>
      <c r="D1724" s="2" t="s">
        <v>15</v>
      </c>
      <c r="E1724" s="2" t="s">
        <v>16</v>
      </c>
      <c r="F1724" s="2" t="s">
        <v>28</v>
      </c>
      <c r="G1724" s="2" t="s">
        <v>54</v>
      </c>
      <c r="H1724" s="2" t="s">
        <v>55</v>
      </c>
      <c r="I1724" s="2" t="s">
        <v>75</v>
      </c>
      <c r="J1724" s="4">
        <v>4</v>
      </c>
      <c r="K1724" s="5">
        <v>147.24</v>
      </c>
      <c r="L1724" s="6">
        <v>0</v>
      </c>
      <c r="M1724" s="5">
        <v>588.96</v>
      </c>
      <c r="P1724" t="str">
        <f>TEXT(Tableau2[[#This Row],[Date]],"mmmm aaaa")</f>
        <v>septembre 2026</v>
      </c>
    </row>
    <row r="1725" spans="1:16">
      <c r="A1725" s="2" t="s">
        <v>1812</v>
      </c>
      <c r="B1725" s="3">
        <v>46210</v>
      </c>
      <c r="C1725" s="2" t="s">
        <v>106</v>
      </c>
      <c r="D1725" s="2" t="s">
        <v>23</v>
      </c>
      <c r="E1725" s="2" t="s">
        <v>16</v>
      </c>
      <c r="F1725" s="2" t="s">
        <v>17</v>
      </c>
      <c r="G1725" s="2" t="s">
        <v>48</v>
      </c>
      <c r="H1725" s="2" t="s">
        <v>84</v>
      </c>
      <c r="I1725" s="2" t="s">
        <v>36</v>
      </c>
      <c r="J1725" s="4">
        <v>2</v>
      </c>
      <c r="K1725" s="5">
        <v>99.1</v>
      </c>
      <c r="L1725" s="6">
        <v>0</v>
      </c>
      <c r="M1725" s="5">
        <v>198.2</v>
      </c>
      <c r="P1725" t="str">
        <f>TEXT(Tableau2[[#This Row],[Date]],"mmmm aaaa")</f>
        <v>juillet 2026</v>
      </c>
    </row>
    <row r="1726" spans="1:16">
      <c r="A1726" s="2" t="s">
        <v>1813</v>
      </c>
      <c r="B1726" s="3">
        <v>46250</v>
      </c>
      <c r="C1726" s="2" t="s">
        <v>63</v>
      </c>
      <c r="D1726" s="2" t="s">
        <v>33</v>
      </c>
      <c r="E1726" s="2" t="s">
        <v>43</v>
      </c>
      <c r="F1726" s="2" t="s">
        <v>17</v>
      </c>
      <c r="G1726" s="2" t="s">
        <v>18</v>
      </c>
      <c r="H1726" s="2" t="s">
        <v>19</v>
      </c>
      <c r="I1726" s="2" t="s">
        <v>75</v>
      </c>
      <c r="J1726" s="4">
        <v>1</v>
      </c>
      <c r="K1726" s="5">
        <v>52.89</v>
      </c>
      <c r="L1726" s="6">
        <v>0.3</v>
      </c>
      <c r="M1726" s="5">
        <v>37.020000000000003</v>
      </c>
      <c r="P1726" t="str">
        <f>TEXT(Tableau2[[#This Row],[Date]],"mmmm aaaa")</f>
        <v>août 2026</v>
      </c>
    </row>
    <row r="1727" spans="1:16">
      <c r="A1727" s="2" t="s">
        <v>1814</v>
      </c>
      <c r="B1727" s="3">
        <v>46053</v>
      </c>
      <c r="C1727" s="2" t="s">
        <v>57</v>
      </c>
      <c r="D1727" s="2" t="s">
        <v>15</v>
      </c>
      <c r="E1727" s="2" t="s">
        <v>16</v>
      </c>
      <c r="F1727" s="2" t="s">
        <v>17</v>
      </c>
      <c r="G1727" s="2" t="s">
        <v>39</v>
      </c>
      <c r="H1727" s="2" t="s">
        <v>71</v>
      </c>
      <c r="I1727" s="2" t="s">
        <v>45</v>
      </c>
      <c r="J1727" s="4">
        <v>2</v>
      </c>
      <c r="K1727" s="5">
        <v>116.78</v>
      </c>
      <c r="L1727" s="6">
        <v>0.3</v>
      </c>
      <c r="M1727" s="5">
        <v>163.49</v>
      </c>
      <c r="P1727" t="str">
        <f>TEXT(Tableau2[[#This Row],[Date]],"mmmm aaaa")</f>
        <v>janvier 2026</v>
      </c>
    </row>
    <row r="1728" spans="1:16">
      <c r="A1728" s="2" t="s">
        <v>1815</v>
      </c>
      <c r="B1728" s="3">
        <v>46066</v>
      </c>
      <c r="C1728" s="2" t="s">
        <v>63</v>
      </c>
      <c r="D1728" s="2" t="s">
        <v>33</v>
      </c>
      <c r="E1728" s="2" t="s">
        <v>43</v>
      </c>
      <c r="F1728" s="2" t="s">
        <v>17</v>
      </c>
      <c r="G1728" s="2" t="s">
        <v>18</v>
      </c>
      <c r="H1728" s="2" t="s">
        <v>136</v>
      </c>
      <c r="I1728" s="2" t="s">
        <v>75</v>
      </c>
      <c r="J1728" s="4">
        <v>2</v>
      </c>
      <c r="K1728" s="5">
        <v>30.02</v>
      </c>
      <c r="L1728" s="6">
        <v>0</v>
      </c>
      <c r="M1728" s="5">
        <v>60.04</v>
      </c>
      <c r="P1728" t="str">
        <f>TEXT(Tableau2[[#This Row],[Date]],"mmmm aaaa")</f>
        <v>février 2026</v>
      </c>
    </row>
    <row r="1729" spans="1:16">
      <c r="A1729" s="2" t="s">
        <v>1816</v>
      </c>
      <c r="B1729" s="3">
        <v>46243</v>
      </c>
      <c r="C1729" s="2" t="s">
        <v>57</v>
      </c>
      <c r="D1729" s="2" t="s">
        <v>15</v>
      </c>
      <c r="E1729" s="2" t="s">
        <v>16</v>
      </c>
      <c r="F1729" s="2" t="s">
        <v>17</v>
      </c>
      <c r="G1729" s="2" t="s">
        <v>48</v>
      </c>
      <c r="H1729" s="2" t="s">
        <v>88</v>
      </c>
      <c r="I1729" s="2" t="s">
        <v>75</v>
      </c>
      <c r="J1729" s="4">
        <v>5</v>
      </c>
      <c r="K1729" s="5">
        <v>75.569999999999993</v>
      </c>
      <c r="L1729" s="6">
        <v>0</v>
      </c>
      <c r="M1729" s="5">
        <v>377.85</v>
      </c>
      <c r="P1729" t="str">
        <f>TEXT(Tableau2[[#This Row],[Date]],"mmmm aaaa")</f>
        <v>août 2026</v>
      </c>
    </row>
    <row r="1730" spans="1:16">
      <c r="A1730" s="2" t="s">
        <v>1817</v>
      </c>
      <c r="B1730" s="3">
        <v>46308</v>
      </c>
      <c r="C1730" s="2" t="s">
        <v>57</v>
      </c>
      <c r="D1730" s="2" t="s">
        <v>15</v>
      </c>
      <c r="E1730" s="2" t="s">
        <v>16</v>
      </c>
      <c r="F1730" s="2" t="s">
        <v>17</v>
      </c>
      <c r="G1730" s="2" t="s">
        <v>54</v>
      </c>
      <c r="H1730" s="2" t="s">
        <v>64</v>
      </c>
      <c r="I1730" s="2" t="s">
        <v>75</v>
      </c>
      <c r="J1730" s="4">
        <v>1</v>
      </c>
      <c r="K1730" s="5">
        <v>89.03</v>
      </c>
      <c r="L1730" s="6">
        <v>0</v>
      </c>
      <c r="M1730" s="5">
        <v>89.03</v>
      </c>
      <c r="P1730" t="str">
        <f>TEXT(Tableau2[[#This Row],[Date]],"mmmm aaaa")</f>
        <v>octobre 2026</v>
      </c>
    </row>
    <row r="1731" spans="1:16">
      <c r="A1731" s="2" t="s">
        <v>1818</v>
      </c>
      <c r="B1731" s="3">
        <v>46336</v>
      </c>
      <c r="C1731" s="2" t="s">
        <v>22</v>
      </c>
      <c r="D1731" s="2" t="s">
        <v>23</v>
      </c>
      <c r="E1731" s="2" t="s">
        <v>16</v>
      </c>
      <c r="F1731" s="2" t="s">
        <v>17</v>
      </c>
      <c r="G1731" s="2" t="s">
        <v>24</v>
      </c>
      <c r="H1731" s="2" t="s">
        <v>82</v>
      </c>
      <c r="I1731" s="2" t="s">
        <v>75</v>
      </c>
      <c r="J1731" s="4">
        <v>2</v>
      </c>
      <c r="K1731" s="5">
        <v>308.75</v>
      </c>
      <c r="L1731" s="6">
        <v>0</v>
      </c>
      <c r="M1731" s="5">
        <v>617.5</v>
      </c>
      <c r="P1731" t="str">
        <f>TEXT(Tableau2[[#This Row],[Date]],"mmmm aaaa")</f>
        <v>novembre 2026</v>
      </c>
    </row>
    <row r="1732" spans="1:16">
      <c r="A1732" s="2" t="s">
        <v>1819</v>
      </c>
      <c r="B1732" s="3">
        <v>46134</v>
      </c>
      <c r="C1732" s="2" t="s">
        <v>134</v>
      </c>
      <c r="D1732" s="2" t="s">
        <v>15</v>
      </c>
      <c r="E1732" s="2" t="s">
        <v>43</v>
      </c>
      <c r="F1732" s="2" t="s">
        <v>17</v>
      </c>
      <c r="G1732" s="2" t="s">
        <v>24</v>
      </c>
      <c r="H1732" s="2" t="s">
        <v>35</v>
      </c>
      <c r="I1732" s="2" t="s">
        <v>58</v>
      </c>
      <c r="J1732" s="4">
        <v>9</v>
      </c>
      <c r="K1732" s="5">
        <v>168.08</v>
      </c>
      <c r="L1732" s="6">
        <v>0</v>
      </c>
      <c r="M1732" s="5">
        <v>1512.72</v>
      </c>
      <c r="P1732" t="str">
        <f>TEXT(Tableau2[[#This Row],[Date]],"mmmm aaaa")</f>
        <v>avril 2026</v>
      </c>
    </row>
    <row r="1733" spans="1:16">
      <c r="A1733" s="2" t="s">
        <v>1820</v>
      </c>
      <c r="B1733" s="3">
        <v>46173</v>
      </c>
      <c r="C1733" s="2" t="s">
        <v>169</v>
      </c>
      <c r="D1733" s="2" t="s">
        <v>33</v>
      </c>
      <c r="E1733" s="2" t="s">
        <v>38</v>
      </c>
      <c r="F1733" s="2" t="s">
        <v>28</v>
      </c>
      <c r="G1733" s="2" t="s">
        <v>18</v>
      </c>
      <c r="H1733" s="2" t="s">
        <v>143</v>
      </c>
      <c r="I1733" s="2" t="s">
        <v>41</v>
      </c>
      <c r="J1733" s="4">
        <v>1</v>
      </c>
      <c r="K1733" s="5">
        <v>69.3</v>
      </c>
      <c r="L1733" s="6">
        <v>0</v>
      </c>
      <c r="M1733" s="5">
        <v>69.3</v>
      </c>
      <c r="P1733" t="str">
        <f>TEXT(Tableau2[[#This Row],[Date]],"mmmm aaaa")</f>
        <v>mai 2026</v>
      </c>
    </row>
    <row r="1734" spans="1:16">
      <c r="A1734" s="2" t="s">
        <v>1821</v>
      </c>
      <c r="B1734" s="3">
        <v>46104</v>
      </c>
      <c r="C1734" s="2" t="s">
        <v>86</v>
      </c>
      <c r="D1734" s="2" t="s">
        <v>53</v>
      </c>
      <c r="E1734" s="2" t="s">
        <v>34</v>
      </c>
      <c r="F1734" s="2" t="s">
        <v>17</v>
      </c>
      <c r="G1734" s="2" t="s">
        <v>48</v>
      </c>
      <c r="H1734" s="2" t="s">
        <v>88</v>
      </c>
      <c r="I1734" s="2" t="s">
        <v>41</v>
      </c>
      <c r="J1734" s="4">
        <v>1</v>
      </c>
      <c r="K1734" s="5">
        <v>78.91</v>
      </c>
      <c r="L1734" s="6">
        <v>0.2</v>
      </c>
      <c r="M1734" s="5">
        <v>63.13</v>
      </c>
      <c r="P1734" t="str">
        <f>TEXT(Tableau2[[#This Row],[Date]],"mmmm aaaa")</f>
        <v>mars 2026</v>
      </c>
    </row>
    <row r="1735" spans="1:16">
      <c r="A1735" s="2" t="s">
        <v>1822</v>
      </c>
      <c r="B1735" s="3">
        <v>46125</v>
      </c>
      <c r="C1735" s="2" t="s">
        <v>22</v>
      </c>
      <c r="D1735" s="2" t="s">
        <v>23</v>
      </c>
      <c r="E1735" s="2" t="s">
        <v>38</v>
      </c>
      <c r="F1735" s="2" t="s">
        <v>17</v>
      </c>
      <c r="G1735" s="2" t="s">
        <v>54</v>
      </c>
      <c r="H1735" s="2" t="s">
        <v>64</v>
      </c>
      <c r="I1735" s="2" t="s">
        <v>75</v>
      </c>
      <c r="J1735" s="4">
        <v>9</v>
      </c>
      <c r="K1735" s="5">
        <v>89.17</v>
      </c>
      <c r="L1735" s="6">
        <v>0</v>
      </c>
      <c r="M1735" s="5">
        <v>802.53</v>
      </c>
      <c r="P1735" t="str">
        <f>TEXT(Tableau2[[#This Row],[Date]],"mmmm aaaa")</f>
        <v>avril 2026</v>
      </c>
    </row>
    <row r="1736" spans="1:16">
      <c r="A1736" s="2" t="s">
        <v>1823</v>
      </c>
      <c r="B1736" s="3">
        <v>46039</v>
      </c>
      <c r="C1736" s="2" t="s">
        <v>14</v>
      </c>
      <c r="D1736" s="2" t="s">
        <v>15</v>
      </c>
      <c r="E1736" s="2" t="s">
        <v>43</v>
      </c>
      <c r="F1736" s="2" t="s">
        <v>17</v>
      </c>
      <c r="G1736" s="2" t="s">
        <v>48</v>
      </c>
      <c r="H1736" s="2" t="s">
        <v>49</v>
      </c>
      <c r="I1736" s="2" t="s">
        <v>41</v>
      </c>
      <c r="J1736" s="4">
        <v>3</v>
      </c>
      <c r="K1736" s="5">
        <v>54.12</v>
      </c>
      <c r="L1736" s="6">
        <v>0.05</v>
      </c>
      <c r="M1736" s="5">
        <v>154.24</v>
      </c>
      <c r="P1736" t="str">
        <f>TEXT(Tableau2[[#This Row],[Date]],"mmmm aaaa")</f>
        <v>janvier 2026</v>
      </c>
    </row>
    <row r="1737" spans="1:16">
      <c r="A1737" s="2" t="s">
        <v>1824</v>
      </c>
      <c r="B1737" s="3">
        <v>46196</v>
      </c>
      <c r="C1737" s="2" t="s">
        <v>156</v>
      </c>
      <c r="D1737" s="2" t="s">
        <v>15</v>
      </c>
      <c r="E1737" s="2" t="s">
        <v>16</v>
      </c>
      <c r="F1737" s="2" t="s">
        <v>28</v>
      </c>
      <c r="G1737" s="2" t="s">
        <v>54</v>
      </c>
      <c r="H1737" s="2" t="s">
        <v>55</v>
      </c>
      <c r="I1737" s="2" t="s">
        <v>45</v>
      </c>
      <c r="J1737" s="4">
        <v>1</v>
      </c>
      <c r="K1737" s="5">
        <v>147.68</v>
      </c>
      <c r="L1737" s="6">
        <v>0</v>
      </c>
      <c r="M1737" s="5">
        <v>147.68</v>
      </c>
      <c r="P1737" t="str">
        <f>TEXT(Tableau2[[#This Row],[Date]],"mmmm aaaa")</f>
        <v>juin 2026</v>
      </c>
    </row>
    <row r="1738" spans="1:16">
      <c r="A1738" s="2" t="s">
        <v>1825</v>
      </c>
      <c r="B1738" s="3">
        <v>46221</v>
      </c>
      <c r="C1738" s="2" t="s">
        <v>164</v>
      </c>
      <c r="D1738" s="2" t="s">
        <v>53</v>
      </c>
      <c r="E1738" s="2" t="s">
        <v>34</v>
      </c>
      <c r="F1738" s="2" t="s">
        <v>17</v>
      </c>
      <c r="G1738" s="2" t="s">
        <v>18</v>
      </c>
      <c r="H1738" s="2" t="s">
        <v>158</v>
      </c>
      <c r="I1738" s="2" t="s">
        <v>45</v>
      </c>
      <c r="J1738" s="4">
        <v>1</v>
      </c>
      <c r="K1738" s="5">
        <v>43.53</v>
      </c>
      <c r="L1738" s="6">
        <v>0</v>
      </c>
      <c r="M1738" s="5">
        <v>43.53</v>
      </c>
      <c r="P1738" t="str">
        <f>TEXT(Tableau2[[#This Row],[Date]],"mmmm aaaa")</f>
        <v>juillet 2026</v>
      </c>
    </row>
    <row r="1739" spans="1:16">
      <c r="A1739" s="2" t="s">
        <v>1826</v>
      </c>
      <c r="B1739" s="3">
        <v>46222</v>
      </c>
      <c r="C1739" s="2" t="s">
        <v>63</v>
      </c>
      <c r="D1739" s="2" t="s">
        <v>33</v>
      </c>
      <c r="E1739" s="2" t="s">
        <v>16</v>
      </c>
      <c r="F1739" s="2" t="s">
        <v>28</v>
      </c>
      <c r="G1739" s="2" t="s">
        <v>54</v>
      </c>
      <c r="H1739" s="2" t="s">
        <v>55</v>
      </c>
      <c r="I1739" s="2" t="s">
        <v>58</v>
      </c>
      <c r="J1739" s="4">
        <v>1</v>
      </c>
      <c r="K1739" s="5">
        <v>164.07</v>
      </c>
      <c r="L1739" s="6">
        <v>0</v>
      </c>
      <c r="M1739" s="5">
        <v>164.07</v>
      </c>
      <c r="P1739" t="str">
        <f>TEXT(Tableau2[[#This Row],[Date]],"mmmm aaaa")</f>
        <v>juillet 2026</v>
      </c>
    </row>
    <row r="1740" spans="1:16">
      <c r="A1740" s="2" t="s">
        <v>1827</v>
      </c>
      <c r="B1740" s="3">
        <v>46358</v>
      </c>
      <c r="C1740" s="2" t="s">
        <v>57</v>
      </c>
      <c r="D1740" s="2" t="s">
        <v>15</v>
      </c>
      <c r="E1740" s="2" t="s">
        <v>34</v>
      </c>
      <c r="F1740" s="2" t="s">
        <v>17</v>
      </c>
      <c r="G1740" s="2" t="s">
        <v>18</v>
      </c>
      <c r="H1740" s="2" t="s">
        <v>136</v>
      </c>
      <c r="I1740" s="2" t="s">
        <v>36</v>
      </c>
      <c r="J1740" s="4">
        <v>3</v>
      </c>
      <c r="K1740" s="5">
        <v>33.06</v>
      </c>
      <c r="L1740" s="6">
        <v>0</v>
      </c>
      <c r="M1740" s="5">
        <v>99.18</v>
      </c>
      <c r="P1740" t="str">
        <f>TEXT(Tableau2[[#This Row],[Date]],"mmmm aaaa")</f>
        <v>décembre 2026</v>
      </c>
    </row>
    <row r="1741" spans="1:16">
      <c r="A1741" s="2" t="s">
        <v>1828</v>
      </c>
      <c r="B1741" s="3">
        <v>46051</v>
      </c>
      <c r="C1741" s="2" t="s">
        <v>164</v>
      </c>
      <c r="D1741" s="2" t="s">
        <v>53</v>
      </c>
      <c r="E1741" s="2" t="s">
        <v>34</v>
      </c>
      <c r="F1741" s="2" t="s">
        <v>17</v>
      </c>
      <c r="G1741" s="2" t="s">
        <v>24</v>
      </c>
      <c r="H1741" s="2" t="s">
        <v>35</v>
      </c>
      <c r="I1741" s="2" t="s">
        <v>41</v>
      </c>
      <c r="J1741" s="4">
        <v>3</v>
      </c>
      <c r="K1741" s="5">
        <v>172.8</v>
      </c>
      <c r="L1741" s="6">
        <v>0</v>
      </c>
      <c r="M1741" s="5">
        <v>518.4</v>
      </c>
      <c r="P1741" t="str">
        <f>TEXT(Tableau2[[#This Row],[Date]],"mmmm aaaa")</f>
        <v>janvier 2026</v>
      </c>
    </row>
    <row r="1742" spans="1:16">
      <c r="A1742" s="2" t="s">
        <v>1829</v>
      </c>
      <c r="B1742" s="3">
        <v>46139</v>
      </c>
      <c r="C1742" s="2" t="s">
        <v>47</v>
      </c>
      <c r="D1742" s="2" t="s">
        <v>15</v>
      </c>
      <c r="E1742" s="2" t="s">
        <v>16</v>
      </c>
      <c r="F1742" s="2" t="s">
        <v>28</v>
      </c>
      <c r="G1742" s="2" t="s">
        <v>29</v>
      </c>
      <c r="H1742" s="2" t="s">
        <v>99</v>
      </c>
      <c r="I1742" s="2" t="s">
        <v>36</v>
      </c>
      <c r="J1742" s="4">
        <v>3</v>
      </c>
      <c r="K1742" s="5">
        <v>63.18</v>
      </c>
      <c r="L1742" s="6">
        <v>0</v>
      </c>
      <c r="M1742" s="5">
        <v>189.54</v>
      </c>
      <c r="P1742" t="str">
        <f>TEXT(Tableau2[[#This Row],[Date]],"mmmm aaaa")</f>
        <v>avril 2026</v>
      </c>
    </row>
    <row r="1743" spans="1:16">
      <c r="A1743" s="2" t="s">
        <v>1830</v>
      </c>
      <c r="B1743" s="3">
        <v>46147</v>
      </c>
      <c r="C1743" s="2" t="s">
        <v>14</v>
      </c>
      <c r="D1743" s="2" t="s">
        <v>15</v>
      </c>
      <c r="E1743" s="2" t="s">
        <v>34</v>
      </c>
      <c r="F1743" s="2" t="s">
        <v>28</v>
      </c>
      <c r="G1743" s="2" t="s">
        <v>18</v>
      </c>
      <c r="H1743" s="2" t="s">
        <v>19</v>
      </c>
      <c r="I1743" s="2" t="s">
        <v>26</v>
      </c>
      <c r="J1743" s="4">
        <v>1</v>
      </c>
      <c r="K1743" s="5">
        <v>56.34</v>
      </c>
      <c r="L1743" s="6">
        <v>0</v>
      </c>
      <c r="M1743" s="5">
        <v>56.34</v>
      </c>
      <c r="P1743" t="str">
        <f>TEXT(Tableau2[[#This Row],[Date]],"mmmm aaaa")</f>
        <v>mai 2026</v>
      </c>
    </row>
    <row r="1744" spans="1:16">
      <c r="A1744" s="2" t="s">
        <v>1831</v>
      </c>
      <c r="B1744" s="3">
        <v>46353</v>
      </c>
      <c r="C1744" s="2" t="s">
        <v>130</v>
      </c>
      <c r="D1744" s="2" t="s">
        <v>53</v>
      </c>
      <c r="E1744" s="2" t="s">
        <v>43</v>
      </c>
      <c r="F1744" s="2" t="s">
        <v>17</v>
      </c>
      <c r="G1744" s="2" t="s">
        <v>39</v>
      </c>
      <c r="H1744" s="2" t="s">
        <v>71</v>
      </c>
      <c r="I1744" s="2" t="s">
        <v>58</v>
      </c>
      <c r="J1744" s="4">
        <v>2</v>
      </c>
      <c r="K1744" s="5">
        <v>113.86</v>
      </c>
      <c r="L1744" s="6">
        <v>0.05</v>
      </c>
      <c r="M1744" s="5">
        <v>216.33</v>
      </c>
      <c r="P1744" t="str">
        <f>TEXT(Tableau2[[#This Row],[Date]],"mmmm aaaa")</f>
        <v>novembre 2026</v>
      </c>
    </row>
    <row r="1745" spans="1:16">
      <c r="A1745" s="2" t="s">
        <v>1832</v>
      </c>
      <c r="B1745" s="3">
        <v>46339</v>
      </c>
      <c r="C1745" s="2" t="s">
        <v>47</v>
      </c>
      <c r="D1745" s="2" t="s">
        <v>15</v>
      </c>
      <c r="E1745" s="2" t="s">
        <v>16</v>
      </c>
      <c r="F1745" s="2" t="s">
        <v>17</v>
      </c>
      <c r="G1745" s="2" t="s">
        <v>48</v>
      </c>
      <c r="H1745" s="2" t="s">
        <v>77</v>
      </c>
      <c r="I1745" s="2" t="s">
        <v>26</v>
      </c>
      <c r="J1745" s="4">
        <v>1</v>
      </c>
      <c r="K1745" s="5">
        <v>82.73</v>
      </c>
      <c r="L1745" s="6">
        <v>0.05</v>
      </c>
      <c r="M1745" s="5">
        <v>78.59</v>
      </c>
      <c r="P1745" t="str">
        <f>TEXT(Tableau2[[#This Row],[Date]],"mmmm aaaa")</f>
        <v>novembre 2026</v>
      </c>
    </row>
    <row r="1746" spans="1:16">
      <c r="A1746" s="2" t="s">
        <v>1833</v>
      </c>
      <c r="B1746" s="3">
        <v>46187</v>
      </c>
      <c r="C1746" s="2" t="s">
        <v>94</v>
      </c>
      <c r="D1746" s="2" t="s">
        <v>15</v>
      </c>
      <c r="E1746" s="2" t="s">
        <v>16</v>
      </c>
      <c r="F1746" s="2" t="s">
        <v>17</v>
      </c>
      <c r="G1746" s="2" t="s">
        <v>48</v>
      </c>
      <c r="H1746" s="2" t="s">
        <v>84</v>
      </c>
      <c r="I1746" s="2" t="s">
        <v>20</v>
      </c>
      <c r="J1746" s="4">
        <v>1</v>
      </c>
      <c r="K1746" s="5">
        <v>91.11</v>
      </c>
      <c r="L1746" s="6">
        <v>0</v>
      </c>
      <c r="M1746" s="5">
        <v>91.11</v>
      </c>
      <c r="P1746" t="str">
        <f>TEXT(Tableau2[[#This Row],[Date]],"mmmm aaaa")</f>
        <v>juin 2026</v>
      </c>
    </row>
    <row r="1747" spans="1:16">
      <c r="A1747" s="2" t="s">
        <v>1834</v>
      </c>
      <c r="B1747" s="3">
        <v>46032</v>
      </c>
      <c r="C1747" s="2" t="s">
        <v>94</v>
      </c>
      <c r="D1747" s="2" t="s">
        <v>15</v>
      </c>
      <c r="E1747" s="2" t="s">
        <v>16</v>
      </c>
      <c r="F1747" s="2" t="s">
        <v>28</v>
      </c>
      <c r="G1747" s="2" t="s">
        <v>18</v>
      </c>
      <c r="H1747" s="2" t="s">
        <v>143</v>
      </c>
      <c r="I1747" s="2" t="s">
        <v>26</v>
      </c>
      <c r="J1747" s="4">
        <v>2</v>
      </c>
      <c r="K1747" s="5">
        <v>66.23</v>
      </c>
      <c r="L1747" s="6">
        <v>0</v>
      </c>
      <c r="M1747" s="5">
        <v>132.46</v>
      </c>
      <c r="P1747" t="str">
        <f>TEXT(Tableau2[[#This Row],[Date]],"mmmm aaaa")</f>
        <v>janvier 2026</v>
      </c>
    </row>
    <row r="1748" spans="1:16">
      <c r="A1748" s="2" t="s">
        <v>1835</v>
      </c>
      <c r="B1748" s="3">
        <v>46378</v>
      </c>
      <c r="C1748" s="2" t="s">
        <v>86</v>
      </c>
      <c r="D1748" s="2" t="s">
        <v>53</v>
      </c>
      <c r="E1748" s="2" t="s">
        <v>43</v>
      </c>
      <c r="F1748" s="2" t="s">
        <v>28</v>
      </c>
      <c r="G1748" s="2" t="s">
        <v>39</v>
      </c>
      <c r="H1748" s="2" t="s">
        <v>95</v>
      </c>
      <c r="I1748" s="2" t="s">
        <v>58</v>
      </c>
      <c r="J1748" s="4">
        <v>3</v>
      </c>
      <c r="K1748" s="5">
        <v>99.1</v>
      </c>
      <c r="L1748" s="6">
        <v>0</v>
      </c>
      <c r="M1748" s="5">
        <v>297.3</v>
      </c>
      <c r="P1748" t="str">
        <f>TEXT(Tableau2[[#This Row],[Date]],"mmmm aaaa")</f>
        <v>décembre 2026</v>
      </c>
    </row>
    <row r="1749" spans="1:16">
      <c r="A1749" s="2" t="s">
        <v>1836</v>
      </c>
      <c r="B1749" s="3">
        <v>46316</v>
      </c>
      <c r="C1749" s="2" t="s">
        <v>79</v>
      </c>
      <c r="D1749" s="2" t="s">
        <v>33</v>
      </c>
      <c r="E1749" s="2" t="s">
        <v>16</v>
      </c>
      <c r="F1749" s="2" t="s">
        <v>28</v>
      </c>
      <c r="G1749" s="2" t="s">
        <v>48</v>
      </c>
      <c r="H1749" s="2" t="s">
        <v>77</v>
      </c>
      <c r="I1749" s="2" t="s">
        <v>50</v>
      </c>
      <c r="J1749" s="4">
        <v>3</v>
      </c>
      <c r="K1749" s="5">
        <v>79.25</v>
      </c>
      <c r="L1749" s="6">
        <v>0</v>
      </c>
      <c r="M1749" s="5">
        <v>237.75</v>
      </c>
      <c r="P1749" t="str">
        <f>TEXT(Tableau2[[#This Row],[Date]],"mmmm aaaa")</f>
        <v>octobre 2026</v>
      </c>
    </row>
    <row r="1750" spans="1:16">
      <c r="A1750" s="2" t="s">
        <v>1837</v>
      </c>
      <c r="B1750" s="3">
        <v>46025</v>
      </c>
      <c r="C1750" s="2" t="s">
        <v>22</v>
      </c>
      <c r="D1750" s="2" t="s">
        <v>23</v>
      </c>
      <c r="E1750" s="2" t="s">
        <v>34</v>
      </c>
      <c r="F1750" s="2" t="s">
        <v>17</v>
      </c>
      <c r="G1750" s="2" t="s">
        <v>24</v>
      </c>
      <c r="H1750" s="2" t="s">
        <v>35</v>
      </c>
      <c r="I1750" s="2" t="s">
        <v>26</v>
      </c>
      <c r="J1750" s="4">
        <v>8</v>
      </c>
      <c r="K1750" s="5">
        <v>166.25</v>
      </c>
      <c r="L1750" s="6">
        <v>0</v>
      </c>
      <c r="M1750" s="5">
        <v>1330</v>
      </c>
      <c r="P1750" t="str">
        <f>TEXT(Tableau2[[#This Row],[Date]],"mmmm aaaa")</f>
        <v>janvier 2026</v>
      </c>
    </row>
    <row r="1751" spans="1:16">
      <c r="A1751" s="2" t="s">
        <v>1838</v>
      </c>
      <c r="B1751" s="3">
        <v>46307</v>
      </c>
      <c r="C1751" s="2" t="s">
        <v>94</v>
      </c>
      <c r="D1751" s="2" t="s">
        <v>15</v>
      </c>
      <c r="E1751" s="2" t="s">
        <v>34</v>
      </c>
      <c r="F1751" s="2" t="s">
        <v>17</v>
      </c>
      <c r="G1751" s="2" t="s">
        <v>18</v>
      </c>
      <c r="H1751" s="2" t="s">
        <v>136</v>
      </c>
      <c r="I1751" s="2" t="s">
        <v>41</v>
      </c>
      <c r="J1751" s="4">
        <v>2</v>
      </c>
      <c r="K1751" s="5">
        <v>29.83</v>
      </c>
      <c r="L1751" s="6">
        <v>0</v>
      </c>
      <c r="M1751" s="5">
        <v>59.66</v>
      </c>
      <c r="P1751" t="str">
        <f>TEXT(Tableau2[[#This Row],[Date]],"mmmm aaaa")</f>
        <v>octobre 2026</v>
      </c>
    </row>
    <row r="1752" spans="1:16">
      <c r="A1752" s="2" t="s">
        <v>1839</v>
      </c>
      <c r="B1752" s="3">
        <v>46120</v>
      </c>
      <c r="C1752" s="2" t="s">
        <v>22</v>
      </c>
      <c r="D1752" s="2" t="s">
        <v>23</v>
      </c>
      <c r="E1752" s="2" t="s">
        <v>34</v>
      </c>
      <c r="F1752" s="2" t="s">
        <v>17</v>
      </c>
      <c r="G1752" s="2" t="s">
        <v>29</v>
      </c>
      <c r="H1752" s="2" t="s">
        <v>30</v>
      </c>
      <c r="I1752" s="2" t="s">
        <v>75</v>
      </c>
      <c r="J1752" s="4">
        <v>3</v>
      </c>
      <c r="K1752" s="5">
        <v>25.14</v>
      </c>
      <c r="L1752" s="6">
        <v>0.05</v>
      </c>
      <c r="M1752" s="5">
        <v>71.650000000000006</v>
      </c>
      <c r="P1752" t="str">
        <f>TEXT(Tableau2[[#This Row],[Date]],"mmmm aaaa")</f>
        <v>avril 2026</v>
      </c>
    </row>
    <row r="1753" spans="1:16">
      <c r="A1753" s="2" t="s">
        <v>1840</v>
      </c>
      <c r="B1753" s="3">
        <v>46216</v>
      </c>
      <c r="C1753" s="2" t="s">
        <v>156</v>
      </c>
      <c r="D1753" s="2" t="s">
        <v>15</v>
      </c>
      <c r="E1753" s="2" t="s">
        <v>16</v>
      </c>
      <c r="F1753" s="2" t="s">
        <v>17</v>
      </c>
      <c r="G1753" s="2" t="s">
        <v>48</v>
      </c>
      <c r="H1753" s="2" t="s">
        <v>77</v>
      </c>
      <c r="I1753" s="2" t="s">
        <v>75</v>
      </c>
      <c r="J1753" s="4">
        <v>1</v>
      </c>
      <c r="K1753" s="5">
        <v>86.85</v>
      </c>
      <c r="L1753" s="6">
        <v>0.3</v>
      </c>
      <c r="M1753" s="5">
        <v>60.79</v>
      </c>
      <c r="P1753" t="str">
        <f>TEXT(Tableau2[[#This Row],[Date]],"mmmm aaaa")</f>
        <v>juillet 2026</v>
      </c>
    </row>
    <row r="1754" spans="1:16">
      <c r="A1754" s="2" t="s">
        <v>1841</v>
      </c>
      <c r="B1754" s="3">
        <v>46386</v>
      </c>
      <c r="C1754" s="2" t="s">
        <v>14</v>
      </c>
      <c r="D1754" s="2" t="s">
        <v>15</v>
      </c>
      <c r="E1754" s="2" t="s">
        <v>16</v>
      </c>
      <c r="F1754" s="2" t="s">
        <v>17</v>
      </c>
      <c r="G1754" s="2" t="s">
        <v>24</v>
      </c>
      <c r="H1754" s="2" t="s">
        <v>35</v>
      </c>
      <c r="I1754" s="2" t="s">
        <v>50</v>
      </c>
      <c r="J1754" s="4">
        <v>2</v>
      </c>
      <c r="K1754" s="5">
        <v>157.13</v>
      </c>
      <c r="L1754" s="6">
        <v>0</v>
      </c>
      <c r="M1754" s="5">
        <v>314.26</v>
      </c>
      <c r="P1754" t="str">
        <f>TEXT(Tableau2[[#This Row],[Date]],"mmmm aaaa")</f>
        <v>décembre 2026</v>
      </c>
    </row>
    <row r="1755" spans="1:16">
      <c r="A1755" s="2" t="s">
        <v>1842</v>
      </c>
      <c r="B1755" s="3">
        <v>46287</v>
      </c>
      <c r="C1755" s="2" t="s">
        <v>106</v>
      </c>
      <c r="D1755" s="2" t="s">
        <v>23</v>
      </c>
      <c r="E1755" s="2" t="s">
        <v>16</v>
      </c>
      <c r="F1755" s="2" t="s">
        <v>28</v>
      </c>
      <c r="G1755" s="2" t="s">
        <v>18</v>
      </c>
      <c r="H1755" s="2" t="s">
        <v>143</v>
      </c>
      <c r="I1755" s="2" t="s">
        <v>50</v>
      </c>
      <c r="J1755" s="4">
        <v>3</v>
      </c>
      <c r="K1755" s="5">
        <v>69.680000000000007</v>
      </c>
      <c r="L1755" s="6">
        <v>0</v>
      </c>
      <c r="M1755" s="5">
        <v>209.04</v>
      </c>
      <c r="P1755" t="str">
        <f>TEXT(Tableau2[[#This Row],[Date]],"mmmm aaaa")</f>
        <v>septembre 2026</v>
      </c>
    </row>
    <row r="1756" spans="1:16">
      <c r="A1756" s="2" t="s">
        <v>1843</v>
      </c>
      <c r="B1756" s="3">
        <v>46110</v>
      </c>
      <c r="C1756" s="2" t="s">
        <v>57</v>
      </c>
      <c r="D1756" s="2" t="s">
        <v>15</v>
      </c>
      <c r="E1756" s="2" t="s">
        <v>34</v>
      </c>
      <c r="F1756" s="2" t="s">
        <v>28</v>
      </c>
      <c r="G1756" s="2" t="s">
        <v>18</v>
      </c>
      <c r="H1756" s="2" t="s">
        <v>158</v>
      </c>
      <c r="I1756" s="2" t="s">
        <v>26</v>
      </c>
      <c r="J1756" s="4">
        <v>5</v>
      </c>
      <c r="K1756" s="5">
        <v>42.87</v>
      </c>
      <c r="L1756" s="6">
        <v>0</v>
      </c>
      <c r="M1756" s="5">
        <v>214.35</v>
      </c>
      <c r="P1756" t="str">
        <f>TEXT(Tableau2[[#This Row],[Date]],"mmmm aaaa")</f>
        <v>mars 2026</v>
      </c>
    </row>
    <row r="1757" spans="1:16">
      <c r="A1757" s="2" t="s">
        <v>1844</v>
      </c>
      <c r="B1757" s="3">
        <v>46276</v>
      </c>
      <c r="C1757" s="2" t="s">
        <v>106</v>
      </c>
      <c r="D1757" s="2" t="s">
        <v>23</v>
      </c>
      <c r="E1757" s="2" t="s">
        <v>34</v>
      </c>
      <c r="F1757" s="2" t="s">
        <v>28</v>
      </c>
      <c r="G1757" s="2" t="s">
        <v>24</v>
      </c>
      <c r="H1757" s="2" t="s">
        <v>61</v>
      </c>
      <c r="I1757" s="2" t="s">
        <v>36</v>
      </c>
      <c r="J1757" s="4">
        <v>3</v>
      </c>
      <c r="K1757" s="5">
        <v>245.6</v>
      </c>
      <c r="L1757" s="6">
        <v>0.1</v>
      </c>
      <c r="M1757" s="5">
        <v>663.12</v>
      </c>
      <c r="P1757" t="str">
        <f>TEXT(Tableau2[[#This Row],[Date]],"mmmm aaaa")</f>
        <v>septembre 2026</v>
      </c>
    </row>
    <row r="1758" spans="1:16">
      <c r="A1758" s="2" t="s">
        <v>1845</v>
      </c>
      <c r="B1758" s="3">
        <v>46099</v>
      </c>
      <c r="C1758" s="2" t="s">
        <v>116</v>
      </c>
      <c r="D1758" s="2" t="s">
        <v>15</v>
      </c>
      <c r="E1758" s="2" t="s">
        <v>34</v>
      </c>
      <c r="F1758" s="2" t="s">
        <v>17</v>
      </c>
      <c r="G1758" s="2" t="s">
        <v>29</v>
      </c>
      <c r="H1758" s="2" t="s">
        <v>44</v>
      </c>
      <c r="I1758" s="2" t="s">
        <v>50</v>
      </c>
      <c r="J1758" s="4">
        <v>1</v>
      </c>
      <c r="K1758" s="5">
        <v>39.69</v>
      </c>
      <c r="L1758" s="6">
        <v>0</v>
      </c>
      <c r="M1758" s="5">
        <v>39.69</v>
      </c>
      <c r="P1758" t="str">
        <f>TEXT(Tableau2[[#This Row],[Date]],"mmmm aaaa")</f>
        <v>mars 2026</v>
      </c>
    </row>
    <row r="1759" spans="1:16">
      <c r="A1759" s="2" t="s">
        <v>1846</v>
      </c>
      <c r="B1759" s="3">
        <v>46093</v>
      </c>
      <c r="C1759" s="2" t="s">
        <v>130</v>
      </c>
      <c r="D1759" s="2" t="s">
        <v>53</v>
      </c>
      <c r="E1759" s="2" t="s">
        <v>16</v>
      </c>
      <c r="F1759" s="2" t="s">
        <v>17</v>
      </c>
      <c r="G1759" s="2" t="s">
        <v>24</v>
      </c>
      <c r="H1759" s="2" t="s">
        <v>35</v>
      </c>
      <c r="I1759" s="2" t="s">
        <v>26</v>
      </c>
      <c r="J1759" s="4">
        <v>6</v>
      </c>
      <c r="K1759" s="5">
        <v>168.54</v>
      </c>
      <c r="L1759" s="6">
        <v>0.05</v>
      </c>
      <c r="M1759" s="5">
        <v>960.68</v>
      </c>
      <c r="P1759" t="str">
        <f>TEXT(Tableau2[[#This Row],[Date]],"mmmm aaaa")</f>
        <v>mars 2026</v>
      </c>
    </row>
    <row r="1760" spans="1:16">
      <c r="A1760" s="2" t="s">
        <v>1847</v>
      </c>
      <c r="B1760" s="3">
        <v>46340</v>
      </c>
      <c r="C1760" s="2" t="s">
        <v>22</v>
      </c>
      <c r="D1760" s="2" t="s">
        <v>23</v>
      </c>
      <c r="E1760" s="2" t="s">
        <v>38</v>
      </c>
      <c r="F1760" s="2" t="s">
        <v>17</v>
      </c>
      <c r="G1760" s="2" t="s">
        <v>48</v>
      </c>
      <c r="H1760" s="2" t="s">
        <v>88</v>
      </c>
      <c r="I1760" s="2" t="s">
        <v>75</v>
      </c>
      <c r="J1760" s="4">
        <v>2</v>
      </c>
      <c r="K1760" s="5">
        <v>81.88</v>
      </c>
      <c r="L1760" s="6">
        <v>0</v>
      </c>
      <c r="M1760" s="5">
        <v>163.76</v>
      </c>
      <c r="P1760" t="str">
        <f>TEXT(Tableau2[[#This Row],[Date]],"mmmm aaaa")</f>
        <v>novembre 2026</v>
      </c>
    </row>
    <row r="1761" spans="1:16">
      <c r="A1761" s="2" t="s">
        <v>1848</v>
      </c>
      <c r="B1761" s="3">
        <v>46127</v>
      </c>
      <c r="C1761" s="2" t="s">
        <v>57</v>
      </c>
      <c r="D1761" s="2" t="s">
        <v>15</v>
      </c>
      <c r="E1761" s="2" t="s">
        <v>16</v>
      </c>
      <c r="F1761" s="2" t="s">
        <v>17</v>
      </c>
      <c r="G1761" s="2" t="s">
        <v>29</v>
      </c>
      <c r="H1761" s="2" t="s">
        <v>99</v>
      </c>
      <c r="I1761" s="2" t="s">
        <v>36</v>
      </c>
      <c r="J1761" s="4">
        <v>2</v>
      </c>
      <c r="K1761" s="5">
        <v>62.82</v>
      </c>
      <c r="L1761" s="6">
        <v>0</v>
      </c>
      <c r="M1761" s="5">
        <v>125.64</v>
      </c>
      <c r="P1761" t="str">
        <f>TEXT(Tableau2[[#This Row],[Date]],"mmmm aaaa")</f>
        <v>avril 2026</v>
      </c>
    </row>
    <row r="1762" spans="1:16">
      <c r="A1762" s="2" t="s">
        <v>1849</v>
      </c>
      <c r="B1762" s="3">
        <v>46216</v>
      </c>
      <c r="C1762" s="2" t="s">
        <v>79</v>
      </c>
      <c r="D1762" s="2" t="s">
        <v>33</v>
      </c>
      <c r="E1762" s="2" t="s">
        <v>34</v>
      </c>
      <c r="F1762" s="2" t="s">
        <v>17</v>
      </c>
      <c r="G1762" s="2" t="s">
        <v>24</v>
      </c>
      <c r="H1762" s="2" t="s">
        <v>25</v>
      </c>
      <c r="I1762" s="2" t="s">
        <v>58</v>
      </c>
      <c r="J1762" s="4">
        <v>1</v>
      </c>
      <c r="K1762" s="5">
        <v>128.11000000000001</v>
      </c>
      <c r="L1762" s="6">
        <v>0</v>
      </c>
      <c r="M1762" s="5">
        <v>128.11000000000001</v>
      </c>
      <c r="P1762" t="str">
        <f>TEXT(Tableau2[[#This Row],[Date]],"mmmm aaaa")</f>
        <v>juillet 2026</v>
      </c>
    </row>
    <row r="1763" spans="1:16">
      <c r="A1763" s="2" t="s">
        <v>1850</v>
      </c>
      <c r="B1763" s="3">
        <v>46082</v>
      </c>
      <c r="C1763" s="2" t="s">
        <v>92</v>
      </c>
      <c r="D1763" s="2" t="s">
        <v>53</v>
      </c>
      <c r="E1763" s="2" t="s">
        <v>43</v>
      </c>
      <c r="F1763" s="2" t="s">
        <v>17</v>
      </c>
      <c r="G1763" s="2" t="s">
        <v>54</v>
      </c>
      <c r="H1763" s="2" t="s">
        <v>64</v>
      </c>
      <c r="I1763" s="2" t="s">
        <v>75</v>
      </c>
      <c r="J1763" s="4">
        <v>2</v>
      </c>
      <c r="K1763" s="5">
        <v>85.12</v>
      </c>
      <c r="L1763" s="6">
        <v>0</v>
      </c>
      <c r="M1763" s="5">
        <v>170.24</v>
      </c>
      <c r="P1763" t="str">
        <f>TEXT(Tableau2[[#This Row],[Date]],"mmmm aaaa")</f>
        <v>mars 2026</v>
      </c>
    </row>
    <row r="1764" spans="1:16">
      <c r="A1764" s="2" t="s">
        <v>1851</v>
      </c>
      <c r="B1764" s="3">
        <v>46221</v>
      </c>
      <c r="C1764" s="2" t="s">
        <v>86</v>
      </c>
      <c r="D1764" s="2" t="s">
        <v>53</v>
      </c>
      <c r="E1764" s="2" t="s">
        <v>38</v>
      </c>
      <c r="F1764" s="2" t="s">
        <v>28</v>
      </c>
      <c r="G1764" s="2" t="s">
        <v>39</v>
      </c>
      <c r="H1764" s="2" t="s">
        <v>40</v>
      </c>
      <c r="I1764" s="2" t="s">
        <v>58</v>
      </c>
      <c r="J1764" s="4">
        <v>5</v>
      </c>
      <c r="K1764" s="5">
        <v>143.47</v>
      </c>
      <c r="L1764" s="6">
        <v>0</v>
      </c>
      <c r="M1764" s="5">
        <v>717.35</v>
      </c>
      <c r="P1764" t="str">
        <f>TEXT(Tableau2[[#This Row],[Date]],"mmmm aaaa")</f>
        <v>juillet 2026</v>
      </c>
    </row>
    <row r="1765" spans="1:16">
      <c r="A1765" s="2" t="s">
        <v>1852</v>
      </c>
      <c r="B1765" s="3">
        <v>46196</v>
      </c>
      <c r="C1765" s="2" t="s">
        <v>90</v>
      </c>
      <c r="D1765" s="2" t="s">
        <v>53</v>
      </c>
      <c r="E1765" s="2" t="s">
        <v>16</v>
      </c>
      <c r="F1765" s="2" t="s">
        <v>17</v>
      </c>
      <c r="G1765" s="2" t="s">
        <v>18</v>
      </c>
      <c r="H1765" s="2" t="s">
        <v>19</v>
      </c>
      <c r="I1765" s="2" t="s">
        <v>26</v>
      </c>
      <c r="J1765" s="4">
        <v>2</v>
      </c>
      <c r="K1765" s="5">
        <v>52.6</v>
      </c>
      <c r="L1765" s="6">
        <v>0</v>
      </c>
      <c r="M1765" s="5">
        <v>105.2</v>
      </c>
      <c r="P1765" t="str">
        <f>TEXT(Tableau2[[#This Row],[Date]],"mmmm aaaa")</f>
        <v>juin 2026</v>
      </c>
    </row>
    <row r="1766" spans="1:16">
      <c r="A1766" s="2" t="s">
        <v>1853</v>
      </c>
      <c r="B1766" s="3">
        <v>46302</v>
      </c>
      <c r="C1766" s="2" t="s">
        <v>22</v>
      </c>
      <c r="D1766" s="2" t="s">
        <v>23</v>
      </c>
      <c r="E1766" s="2" t="s">
        <v>38</v>
      </c>
      <c r="F1766" s="2" t="s">
        <v>17</v>
      </c>
      <c r="G1766" s="2" t="s">
        <v>18</v>
      </c>
      <c r="H1766" s="2" t="s">
        <v>136</v>
      </c>
      <c r="I1766" s="2" t="s">
        <v>50</v>
      </c>
      <c r="J1766" s="4">
        <v>5</v>
      </c>
      <c r="K1766" s="5">
        <v>29.98</v>
      </c>
      <c r="L1766" s="6">
        <v>0</v>
      </c>
      <c r="M1766" s="5">
        <v>149.9</v>
      </c>
      <c r="P1766" t="str">
        <f>TEXT(Tableau2[[#This Row],[Date]],"mmmm aaaa")</f>
        <v>octobre 2026</v>
      </c>
    </row>
    <row r="1767" spans="1:16">
      <c r="A1767" s="2" t="s">
        <v>1854</v>
      </c>
      <c r="B1767" s="3">
        <v>46050</v>
      </c>
      <c r="C1767" s="2" t="s">
        <v>94</v>
      </c>
      <c r="D1767" s="2" t="s">
        <v>15</v>
      </c>
      <c r="E1767" s="2" t="s">
        <v>16</v>
      </c>
      <c r="F1767" s="2" t="s">
        <v>28</v>
      </c>
      <c r="G1767" s="2" t="s">
        <v>48</v>
      </c>
      <c r="H1767" s="2" t="s">
        <v>88</v>
      </c>
      <c r="I1767" s="2" t="s">
        <v>45</v>
      </c>
      <c r="J1767" s="4">
        <v>1</v>
      </c>
      <c r="K1767" s="5">
        <v>78.180000000000007</v>
      </c>
      <c r="L1767" s="6">
        <v>0</v>
      </c>
      <c r="M1767" s="5">
        <v>78.180000000000007</v>
      </c>
      <c r="P1767" t="str">
        <f>TEXT(Tableau2[[#This Row],[Date]],"mmmm aaaa")</f>
        <v>janvier 2026</v>
      </c>
    </row>
    <row r="1768" spans="1:16">
      <c r="A1768" s="2" t="s">
        <v>1855</v>
      </c>
      <c r="B1768" s="3">
        <v>46085</v>
      </c>
      <c r="C1768" s="2" t="s">
        <v>63</v>
      </c>
      <c r="D1768" s="2" t="s">
        <v>33</v>
      </c>
      <c r="E1768" s="2" t="s">
        <v>34</v>
      </c>
      <c r="F1768" s="2" t="s">
        <v>17</v>
      </c>
      <c r="G1768" s="2" t="s">
        <v>18</v>
      </c>
      <c r="H1768" s="2" t="s">
        <v>158</v>
      </c>
      <c r="I1768" s="2" t="s">
        <v>26</v>
      </c>
      <c r="J1768" s="4">
        <v>1</v>
      </c>
      <c r="K1768" s="5">
        <v>46.87</v>
      </c>
      <c r="L1768" s="6">
        <v>0.15</v>
      </c>
      <c r="M1768" s="5">
        <v>39.840000000000003</v>
      </c>
      <c r="P1768" t="str">
        <f>TEXT(Tableau2[[#This Row],[Date]],"mmmm aaaa")</f>
        <v>mars 2026</v>
      </c>
    </row>
    <row r="1769" spans="1:16">
      <c r="A1769" s="2" t="s">
        <v>1856</v>
      </c>
      <c r="B1769" s="3">
        <v>46182</v>
      </c>
      <c r="C1769" s="2" t="s">
        <v>164</v>
      </c>
      <c r="D1769" s="2" t="s">
        <v>53</v>
      </c>
      <c r="E1769" s="2" t="s">
        <v>38</v>
      </c>
      <c r="F1769" s="2" t="s">
        <v>17</v>
      </c>
      <c r="G1769" s="2" t="s">
        <v>54</v>
      </c>
      <c r="H1769" s="2" t="s">
        <v>55</v>
      </c>
      <c r="I1769" s="2" t="s">
        <v>50</v>
      </c>
      <c r="J1769" s="4">
        <v>1</v>
      </c>
      <c r="K1769" s="5">
        <v>167.72</v>
      </c>
      <c r="L1769" s="6">
        <v>0</v>
      </c>
      <c r="M1769" s="5">
        <v>167.72</v>
      </c>
      <c r="P1769" t="str">
        <f>TEXT(Tableau2[[#This Row],[Date]],"mmmm aaaa")</f>
        <v>juin 2026</v>
      </c>
    </row>
    <row r="1770" spans="1:16">
      <c r="A1770" s="2" t="s">
        <v>1857</v>
      </c>
      <c r="B1770" s="3">
        <v>46111</v>
      </c>
      <c r="C1770" s="2" t="s">
        <v>52</v>
      </c>
      <c r="D1770" s="2" t="s">
        <v>53</v>
      </c>
      <c r="E1770" s="2" t="s">
        <v>43</v>
      </c>
      <c r="F1770" s="2" t="s">
        <v>17</v>
      </c>
      <c r="G1770" s="2" t="s">
        <v>48</v>
      </c>
      <c r="H1770" s="2" t="s">
        <v>77</v>
      </c>
      <c r="I1770" s="2" t="s">
        <v>75</v>
      </c>
      <c r="J1770" s="4">
        <v>4</v>
      </c>
      <c r="K1770" s="5">
        <v>82.39</v>
      </c>
      <c r="L1770" s="6">
        <v>0</v>
      </c>
      <c r="M1770" s="5">
        <v>329.56</v>
      </c>
      <c r="P1770" t="str">
        <f>TEXT(Tableau2[[#This Row],[Date]],"mmmm aaaa")</f>
        <v>mars 2026</v>
      </c>
    </row>
    <row r="1771" spans="1:16">
      <c r="A1771" s="2" t="s">
        <v>1858</v>
      </c>
      <c r="B1771" s="3">
        <v>46365</v>
      </c>
      <c r="C1771" s="2" t="s">
        <v>90</v>
      </c>
      <c r="D1771" s="2" t="s">
        <v>53</v>
      </c>
      <c r="E1771" s="2" t="s">
        <v>43</v>
      </c>
      <c r="F1771" s="2" t="s">
        <v>17</v>
      </c>
      <c r="G1771" s="2" t="s">
        <v>48</v>
      </c>
      <c r="H1771" s="2" t="s">
        <v>88</v>
      </c>
      <c r="I1771" s="2" t="s">
        <v>50</v>
      </c>
      <c r="J1771" s="4">
        <v>7</v>
      </c>
      <c r="K1771" s="5">
        <v>77.62</v>
      </c>
      <c r="L1771" s="6">
        <v>0.15</v>
      </c>
      <c r="M1771" s="5">
        <v>461.84</v>
      </c>
      <c r="P1771" t="str">
        <f>TEXT(Tableau2[[#This Row],[Date]],"mmmm aaaa")</f>
        <v>décembre 2026</v>
      </c>
    </row>
    <row r="1772" spans="1:16">
      <c r="A1772" s="2" t="s">
        <v>1859</v>
      </c>
      <c r="B1772" s="3">
        <v>46062</v>
      </c>
      <c r="C1772" s="2" t="s">
        <v>14</v>
      </c>
      <c r="D1772" s="2" t="s">
        <v>15</v>
      </c>
      <c r="E1772" s="2" t="s">
        <v>16</v>
      </c>
      <c r="F1772" s="2" t="s">
        <v>28</v>
      </c>
      <c r="G1772" s="2" t="s">
        <v>54</v>
      </c>
      <c r="H1772" s="2" t="s">
        <v>102</v>
      </c>
      <c r="I1772" s="2" t="s">
        <v>36</v>
      </c>
      <c r="J1772" s="4">
        <v>1</v>
      </c>
      <c r="K1772" s="5">
        <v>208.42</v>
      </c>
      <c r="L1772" s="6">
        <v>0.2</v>
      </c>
      <c r="M1772" s="5">
        <v>166.74</v>
      </c>
      <c r="P1772" t="str">
        <f>TEXT(Tableau2[[#This Row],[Date]],"mmmm aaaa")</f>
        <v>février 2026</v>
      </c>
    </row>
    <row r="1773" spans="1:16">
      <c r="A1773" s="2" t="s">
        <v>1860</v>
      </c>
      <c r="B1773" s="3">
        <v>46350</v>
      </c>
      <c r="C1773" s="2" t="s">
        <v>101</v>
      </c>
      <c r="D1773" s="2" t="s">
        <v>33</v>
      </c>
      <c r="E1773" s="2" t="s">
        <v>16</v>
      </c>
      <c r="F1773" s="2" t="s">
        <v>28</v>
      </c>
      <c r="G1773" s="2" t="s">
        <v>39</v>
      </c>
      <c r="H1773" s="2" t="s">
        <v>71</v>
      </c>
      <c r="I1773" s="2" t="s">
        <v>26</v>
      </c>
      <c r="J1773" s="4">
        <v>1</v>
      </c>
      <c r="K1773" s="5">
        <v>120.62</v>
      </c>
      <c r="L1773" s="6">
        <v>0</v>
      </c>
      <c r="M1773" s="5">
        <v>120.62</v>
      </c>
      <c r="P1773" t="str">
        <f>TEXT(Tableau2[[#This Row],[Date]],"mmmm aaaa")</f>
        <v>novembre 2026</v>
      </c>
    </row>
    <row r="1774" spans="1:16">
      <c r="A1774" s="2" t="s">
        <v>1861</v>
      </c>
      <c r="B1774" s="3">
        <v>46241</v>
      </c>
      <c r="C1774" s="2" t="s">
        <v>441</v>
      </c>
      <c r="D1774" s="2" t="s">
        <v>23</v>
      </c>
      <c r="E1774" s="2" t="s">
        <v>16</v>
      </c>
      <c r="F1774" s="2" t="s">
        <v>28</v>
      </c>
      <c r="G1774" s="2" t="s">
        <v>18</v>
      </c>
      <c r="H1774" s="2" t="s">
        <v>158</v>
      </c>
      <c r="I1774" s="2" t="s">
        <v>20</v>
      </c>
      <c r="J1774" s="4">
        <v>10</v>
      </c>
      <c r="K1774" s="5">
        <v>44.54</v>
      </c>
      <c r="L1774" s="6">
        <v>0</v>
      </c>
      <c r="M1774" s="5">
        <v>445.4</v>
      </c>
      <c r="P1774" t="str">
        <f>TEXT(Tableau2[[#This Row],[Date]],"mmmm aaaa")</f>
        <v>août 2026</v>
      </c>
    </row>
    <row r="1775" spans="1:16">
      <c r="A1775" s="2" t="s">
        <v>1862</v>
      </c>
      <c r="B1775" s="3">
        <v>46315</v>
      </c>
      <c r="C1775" s="2" t="s">
        <v>101</v>
      </c>
      <c r="D1775" s="2" t="s">
        <v>33</v>
      </c>
      <c r="E1775" s="2" t="s">
        <v>16</v>
      </c>
      <c r="F1775" s="2" t="s">
        <v>17</v>
      </c>
      <c r="G1775" s="2" t="s">
        <v>18</v>
      </c>
      <c r="H1775" s="2" t="s">
        <v>136</v>
      </c>
      <c r="I1775" s="2" t="s">
        <v>26</v>
      </c>
      <c r="J1775" s="4">
        <v>5</v>
      </c>
      <c r="K1775" s="5">
        <v>33.22</v>
      </c>
      <c r="L1775" s="6">
        <v>0.05</v>
      </c>
      <c r="M1775" s="5">
        <v>157.79</v>
      </c>
      <c r="P1775" t="str">
        <f>TEXT(Tableau2[[#This Row],[Date]],"mmmm aaaa")</f>
        <v>octobre 2026</v>
      </c>
    </row>
    <row r="1776" spans="1:16">
      <c r="A1776" s="2" t="s">
        <v>1863</v>
      </c>
      <c r="B1776" s="3">
        <v>46320</v>
      </c>
      <c r="C1776" s="2" t="s">
        <v>92</v>
      </c>
      <c r="D1776" s="2" t="s">
        <v>53</v>
      </c>
      <c r="E1776" s="2" t="s">
        <v>16</v>
      </c>
      <c r="F1776" s="2" t="s">
        <v>28</v>
      </c>
      <c r="G1776" s="2" t="s">
        <v>18</v>
      </c>
      <c r="H1776" s="2" t="s">
        <v>19</v>
      </c>
      <c r="I1776" s="2" t="s">
        <v>36</v>
      </c>
      <c r="J1776" s="4">
        <v>1</v>
      </c>
      <c r="K1776" s="5">
        <v>58.15</v>
      </c>
      <c r="L1776" s="6">
        <v>0</v>
      </c>
      <c r="M1776" s="5">
        <v>58.15</v>
      </c>
      <c r="P1776" t="str">
        <f>TEXT(Tableau2[[#This Row],[Date]],"mmmm aaaa")</f>
        <v>octobre 2026</v>
      </c>
    </row>
    <row r="1777" spans="1:16">
      <c r="A1777" s="2" t="s">
        <v>1864</v>
      </c>
      <c r="B1777" s="3">
        <v>46197</v>
      </c>
      <c r="C1777" s="2" t="s">
        <v>22</v>
      </c>
      <c r="D1777" s="2" t="s">
        <v>23</v>
      </c>
      <c r="E1777" s="2" t="s">
        <v>38</v>
      </c>
      <c r="F1777" s="2" t="s">
        <v>28</v>
      </c>
      <c r="G1777" s="2" t="s">
        <v>29</v>
      </c>
      <c r="H1777" s="2" t="s">
        <v>44</v>
      </c>
      <c r="I1777" s="2" t="s">
        <v>20</v>
      </c>
      <c r="J1777" s="4">
        <v>9</v>
      </c>
      <c r="K1777" s="5">
        <v>36.32</v>
      </c>
      <c r="L1777" s="6">
        <v>0.2</v>
      </c>
      <c r="M1777" s="5">
        <v>261.5</v>
      </c>
      <c r="P1777" t="str">
        <f>TEXT(Tableau2[[#This Row],[Date]],"mmmm aaaa")</f>
        <v>juin 2026</v>
      </c>
    </row>
    <row r="1778" spans="1:16">
      <c r="A1778" s="2" t="s">
        <v>1865</v>
      </c>
      <c r="B1778" s="3">
        <v>46152</v>
      </c>
      <c r="C1778" s="2" t="s">
        <v>52</v>
      </c>
      <c r="D1778" s="2" t="s">
        <v>53</v>
      </c>
      <c r="E1778" s="2" t="s">
        <v>43</v>
      </c>
      <c r="F1778" s="2" t="s">
        <v>28</v>
      </c>
      <c r="G1778" s="2" t="s">
        <v>18</v>
      </c>
      <c r="H1778" s="2" t="s">
        <v>143</v>
      </c>
      <c r="I1778" s="2" t="s">
        <v>20</v>
      </c>
      <c r="J1778" s="4">
        <v>2</v>
      </c>
      <c r="K1778" s="5">
        <v>70.08</v>
      </c>
      <c r="L1778" s="6">
        <v>0</v>
      </c>
      <c r="M1778" s="5">
        <v>140.16</v>
      </c>
      <c r="P1778" t="str">
        <f>TEXT(Tableau2[[#This Row],[Date]],"mmmm aaaa")</f>
        <v>mai 2026</v>
      </c>
    </row>
    <row r="1779" spans="1:16">
      <c r="A1779" s="2" t="s">
        <v>1866</v>
      </c>
      <c r="B1779" s="3">
        <v>46352</v>
      </c>
      <c r="C1779" s="2" t="s">
        <v>66</v>
      </c>
      <c r="D1779" s="2" t="s">
        <v>23</v>
      </c>
      <c r="E1779" s="2" t="s">
        <v>34</v>
      </c>
      <c r="F1779" s="2" t="s">
        <v>17</v>
      </c>
      <c r="G1779" s="2" t="s">
        <v>24</v>
      </c>
      <c r="H1779" s="2" t="s">
        <v>82</v>
      </c>
      <c r="I1779" s="2" t="s">
        <v>20</v>
      </c>
      <c r="J1779" s="4">
        <v>2</v>
      </c>
      <c r="K1779" s="5">
        <v>297.39999999999998</v>
      </c>
      <c r="L1779" s="6">
        <v>0</v>
      </c>
      <c r="M1779" s="5">
        <v>594.79999999999995</v>
      </c>
      <c r="P1779" t="str">
        <f>TEXT(Tableau2[[#This Row],[Date]],"mmmm aaaa")</f>
        <v>novembre 2026</v>
      </c>
    </row>
    <row r="1780" spans="1:16">
      <c r="A1780" s="2" t="s">
        <v>1867</v>
      </c>
      <c r="B1780" s="3">
        <v>46224</v>
      </c>
      <c r="C1780" s="2" t="s">
        <v>14</v>
      </c>
      <c r="D1780" s="2" t="s">
        <v>15</v>
      </c>
      <c r="E1780" s="2" t="s">
        <v>38</v>
      </c>
      <c r="F1780" s="2" t="s">
        <v>17</v>
      </c>
      <c r="G1780" s="2" t="s">
        <v>54</v>
      </c>
      <c r="H1780" s="2" t="s">
        <v>102</v>
      </c>
      <c r="I1780" s="2" t="s">
        <v>58</v>
      </c>
      <c r="J1780" s="4">
        <v>2</v>
      </c>
      <c r="K1780" s="5">
        <v>215.33</v>
      </c>
      <c r="L1780" s="6">
        <v>0</v>
      </c>
      <c r="M1780" s="5">
        <v>430.66</v>
      </c>
      <c r="P1780" t="str">
        <f>TEXT(Tableau2[[#This Row],[Date]],"mmmm aaaa")</f>
        <v>juillet 2026</v>
      </c>
    </row>
    <row r="1781" spans="1:16">
      <c r="A1781" s="2" t="s">
        <v>1868</v>
      </c>
      <c r="B1781" s="3">
        <v>46144</v>
      </c>
      <c r="C1781" s="2" t="s">
        <v>79</v>
      </c>
      <c r="D1781" s="2" t="s">
        <v>33</v>
      </c>
      <c r="E1781" s="2" t="s">
        <v>38</v>
      </c>
      <c r="F1781" s="2" t="s">
        <v>17</v>
      </c>
      <c r="G1781" s="2" t="s">
        <v>24</v>
      </c>
      <c r="H1781" s="2" t="s">
        <v>35</v>
      </c>
      <c r="I1781" s="2" t="s">
        <v>41</v>
      </c>
      <c r="J1781" s="4">
        <v>5</v>
      </c>
      <c r="K1781" s="5">
        <v>170.72</v>
      </c>
      <c r="L1781" s="6">
        <v>0</v>
      </c>
      <c r="M1781" s="5">
        <v>853.6</v>
      </c>
      <c r="P1781" t="str">
        <f>TEXT(Tableau2[[#This Row],[Date]],"mmmm aaaa")</f>
        <v>mai 2026</v>
      </c>
    </row>
    <row r="1782" spans="1:16">
      <c r="A1782" s="2" t="s">
        <v>1869</v>
      </c>
      <c r="B1782" s="3">
        <v>46313</v>
      </c>
      <c r="C1782" s="2" t="s">
        <v>79</v>
      </c>
      <c r="D1782" s="2" t="s">
        <v>33</v>
      </c>
      <c r="E1782" s="2" t="s">
        <v>34</v>
      </c>
      <c r="F1782" s="2" t="s">
        <v>17</v>
      </c>
      <c r="G1782" s="2" t="s">
        <v>48</v>
      </c>
      <c r="H1782" s="2" t="s">
        <v>49</v>
      </c>
      <c r="I1782" s="2" t="s">
        <v>20</v>
      </c>
      <c r="J1782" s="4">
        <v>8</v>
      </c>
      <c r="K1782" s="5">
        <v>57.76</v>
      </c>
      <c r="L1782" s="6">
        <v>0.1</v>
      </c>
      <c r="M1782" s="5">
        <v>415.87</v>
      </c>
      <c r="P1782" t="str">
        <f>TEXT(Tableau2[[#This Row],[Date]],"mmmm aaaa")</f>
        <v>octobre 2026</v>
      </c>
    </row>
    <row r="1783" spans="1:16">
      <c r="A1783" s="2" t="s">
        <v>1870</v>
      </c>
      <c r="B1783" s="3">
        <v>46151</v>
      </c>
      <c r="C1783" s="2" t="s">
        <v>116</v>
      </c>
      <c r="D1783" s="2" t="s">
        <v>15</v>
      </c>
      <c r="E1783" s="2" t="s">
        <v>43</v>
      </c>
      <c r="F1783" s="2" t="s">
        <v>17</v>
      </c>
      <c r="G1783" s="2" t="s">
        <v>29</v>
      </c>
      <c r="H1783" s="2" t="s">
        <v>140</v>
      </c>
      <c r="I1783" s="2" t="s">
        <v>58</v>
      </c>
      <c r="J1783" s="4">
        <v>4</v>
      </c>
      <c r="K1783" s="5">
        <v>45.71</v>
      </c>
      <c r="L1783" s="6">
        <v>0</v>
      </c>
      <c r="M1783" s="5">
        <v>182.84</v>
      </c>
      <c r="P1783" t="str">
        <f>TEXT(Tableau2[[#This Row],[Date]],"mmmm aaaa")</f>
        <v>mai 2026</v>
      </c>
    </row>
    <row r="1784" spans="1:16">
      <c r="A1784" s="2" t="s">
        <v>1871</v>
      </c>
      <c r="B1784" s="3">
        <v>46079</v>
      </c>
      <c r="C1784" s="2" t="s">
        <v>151</v>
      </c>
      <c r="D1784" s="2" t="s">
        <v>15</v>
      </c>
      <c r="E1784" s="2" t="s">
        <v>34</v>
      </c>
      <c r="F1784" s="2" t="s">
        <v>28</v>
      </c>
      <c r="G1784" s="2" t="s">
        <v>18</v>
      </c>
      <c r="H1784" s="2" t="s">
        <v>158</v>
      </c>
      <c r="I1784" s="2" t="s">
        <v>26</v>
      </c>
      <c r="J1784" s="4">
        <v>1</v>
      </c>
      <c r="K1784" s="5">
        <v>49.42</v>
      </c>
      <c r="L1784" s="6">
        <v>0.05</v>
      </c>
      <c r="M1784" s="5">
        <v>46.95</v>
      </c>
      <c r="P1784" t="str">
        <f>TEXT(Tableau2[[#This Row],[Date]],"mmmm aaaa")</f>
        <v>février 2026</v>
      </c>
    </row>
    <row r="1785" spans="1:16">
      <c r="A1785" s="2" t="s">
        <v>1872</v>
      </c>
      <c r="B1785" s="3">
        <v>46106</v>
      </c>
      <c r="C1785" s="2" t="s">
        <v>14</v>
      </c>
      <c r="D1785" s="2" t="s">
        <v>15</v>
      </c>
      <c r="E1785" s="2" t="s">
        <v>34</v>
      </c>
      <c r="F1785" s="2" t="s">
        <v>28</v>
      </c>
      <c r="G1785" s="2" t="s">
        <v>18</v>
      </c>
      <c r="H1785" s="2" t="s">
        <v>158</v>
      </c>
      <c r="I1785" s="2" t="s">
        <v>26</v>
      </c>
      <c r="J1785" s="4">
        <v>4</v>
      </c>
      <c r="K1785" s="5">
        <v>45.35</v>
      </c>
      <c r="L1785" s="6">
        <v>0.15</v>
      </c>
      <c r="M1785" s="5">
        <v>154.19</v>
      </c>
      <c r="P1785" t="str">
        <f>TEXT(Tableau2[[#This Row],[Date]],"mmmm aaaa")</f>
        <v>mars 2026</v>
      </c>
    </row>
    <row r="1786" spans="1:16">
      <c r="A1786" s="2" t="s">
        <v>1873</v>
      </c>
      <c r="B1786" s="3">
        <v>46167</v>
      </c>
      <c r="C1786" s="2" t="s">
        <v>130</v>
      </c>
      <c r="D1786" s="2" t="s">
        <v>53</v>
      </c>
      <c r="E1786" s="2" t="s">
        <v>16</v>
      </c>
      <c r="F1786" s="2" t="s">
        <v>17</v>
      </c>
      <c r="G1786" s="2" t="s">
        <v>39</v>
      </c>
      <c r="H1786" s="2" t="s">
        <v>40</v>
      </c>
      <c r="I1786" s="2" t="s">
        <v>50</v>
      </c>
      <c r="J1786" s="4">
        <v>3</v>
      </c>
      <c r="K1786" s="5">
        <v>142.29</v>
      </c>
      <c r="L1786" s="6">
        <v>0</v>
      </c>
      <c r="M1786" s="5">
        <v>426.87</v>
      </c>
      <c r="P1786" t="str">
        <f>TEXT(Tableau2[[#This Row],[Date]],"mmmm aaaa")</f>
        <v>mai 2026</v>
      </c>
    </row>
    <row r="1787" spans="1:16">
      <c r="A1787" s="2" t="s">
        <v>1874</v>
      </c>
      <c r="B1787" s="3">
        <v>46097</v>
      </c>
      <c r="C1787" s="2" t="s">
        <v>63</v>
      </c>
      <c r="D1787" s="2" t="s">
        <v>33</v>
      </c>
      <c r="E1787" s="2" t="s">
        <v>16</v>
      </c>
      <c r="F1787" s="2" t="s">
        <v>28</v>
      </c>
      <c r="G1787" s="2" t="s">
        <v>24</v>
      </c>
      <c r="H1787" s="2" t="s">
        <v>61</v>
      </c>
      <c r="I1787" s="2" t="s">
        <v>75</v>
      </c>
      <c r="J1787" s="4">
        <v>1</v>
      </c>
      <c r="K1787" s="5">
        <v>227.12</v>
      </c>
      <c r="L1787" s="6">
        <v>0.05</v>
      </c>
      <c r="M1787" s="5">
        <v>215.76</v>
      </c>
      <c r="P1787" t="str">
        <f>TEXT(Tableau2[[#This Row],[Date]],"mmmm aaaa")</f>
        <v>mars 2026</v>
      </c>
    </row>
    <row r="1788" spans="1:16">
      <c r="A1788" s="2" t="s">
        <v>1875</v>
      </c>
      <c r="B1788" s="3">
        <v>46140</v>
      </c>
      <c r="C1788" s="2" t="s">
        <v>164</v>
      </c>
      <c r="D1788" s="2" t="s">
        <v>53</v>
      </c>
      <c r="E1788" s="2" t="s">
        <v>16</v>
      </c>
      <c r="F1788" s="2" t="s">
        <v>17</v>
      </c>
      <c r="G1788" s="2" t="s">
        <v>29</v>
      </c>
      <c r="H1788" s="2" t="s">
        <v>140</v>
      </c>
      <c r="I1788" s="2" t="s">
        <v>26</v>
      </c>
      <c r="J1788" s="4">
        <v>1</v>
      </c>
      <c r="K1788" s="5">
        <v>50.08</v>
      </c>
      <c r="L1788" s="6">
        <v>0.05</v>
      </c>
      <c r="M1788" s="5">
        <v>47.58</v>
      </c>
      <c r="P1788" t="str">
        <f>TEXT(Tableau2[[#This Row],[Date]],"mmmm aaaa")</f>
        <v>avril 2026</v>
      </c>
    </row>
    <row r="1789" spans="1:16">
      <c r="A1789" s="2" t="s">
        <v>1876</v>
      </c>
      <c r="B1789" s="3">
        <v>46081</v>
      </c>
      <c r="C1789" s="2" t="s">
        <v>14</v>
      </c>
      <c r="D1789" s="2" t="s">
        <v>15</v>
      </c>
      <c r="E1789" s="2" t="s">
        <v>34</v>
      </c>
      <c r="F1789" s="2" t="s">
        <v>17</v>
      </c>
      <c r="G1789" s="2" t="s">
        <v>29</v>
      </c>
      <c r="H1789" s="2" t="s">
        <v>30</v>
      </c>
      <c r="I1789" s="2" t="s">
        <v>75</v>
      </c>
      <c r="J1789" s="4">
        <v>8</v>
      </c>
      <c r="K1789" s="5">
        <v>23.94</v>
      </c>
      <c r="L1789" s="6">
        <v>0</v>
      </c>
      <c r="M1789" s="5">
        <v>191.52</v>
      </c>
      <c r="P1789" t="str">
        <f>TEXT(Tableau2[[#This Row],[Date]],"mmmm aaaa")</f>
        <v>février 2026</v>
      </c>
    </row>
    <row r="1790" spans="1:16">
      <c r="A1790" s="2" t="s">
        <v>1877</v>
      </c>
      <c r="B1790" s="3">
        <v>46127</v>
      </c>
      <c r="C1790" s="2" t="s">
        <v>47</v>
      </c>
      <c r="D1790" s="2" t="s">
        <v>15</v>
      </c>
      <c r="E1790" s="2" t="s">
        <v>34</v>
      </c>
      <c r="F1790" s="2" t="s">
        <v>28</v>
      </c>
      <c r="G1790" s="2" t="s">
        <v>54</v>
      </c>
      <c r="H1790" s="2" t="s">
        <v>102</v>
      </c>
      <c r="I1790" s="2" t="s">
        <v>58</v>
      </c>
      <c r="J1790" s="4">
        <v>2</v>
      </c>
      <c r="K1790" s="5">
        <v>215.22</v>
      </c>
      <c r="L1790" s="6">
        <v>0</v>
      </c>
      <c r="M1790" s="5">
        <v>430.44</v>
      </c>
      <c r="P1790" t="str">
        <f>TEXT(Tableau2[[#This Row],[Date]],"mmmm aaaa")</f>
        <v>avril 2026</v>
      </c>
    </row>
    <row r="1791" spans="1:16">
      <c r="A1791" s="2" t="s">
        <v>1878</v>
      </c>
      <c r="B1791" s="3">
        <v>46190</v>
      </c>
      <c r="C1791" s="2" t="s">
        <v>14</v>
      </c>
      <c r="D1791" s="2" t="s">
        <v>15</v>
      </c>
      <c r="E1791" s="2" t="s">
        <v>16</v>
      </c>
      <c r="F1791" s="2" t="s">
        <v>17</v>
      </c>
      <c r="G1791" s="2" t="s">
        <v>18</v>
      </c>
      <c r="H1791" s="2" t="s">
        <v>19</v>
      </c>
      <c r="I1791" s="2" t="s">
        <v>41</v>
      </c>
      <c r="J1791" s="4">
        <v>9</v>
      </c>
      <c r="K1791" s="5">
        <v>55.62</v>
      </c>
      <c r="L1791" s="6">
        <v>0</v>
      </c>
      <c r="M1791" s="5">
        <v>500.58</v>
      </c>
      <c r="P1791" t="str">
        <f>TEXT(Tableau2[[#This Row],[Date]],"mmmm aaaa")</f>
        <v>juin 2026</v>
      </c>
    </row>
    <row r="1792" spans="1:16">
      <c r="A1792" s="2" t="s">
        <v>1879</v>
      </c>
      <c r="B1792" s="3">
        <v>46125</v>
      </c>
      <c r="C1792" s="2" t="s">
        <v>63</v>
      </c>
      <c r="D1792" s="2" t="s">
        <v>33</v>
      </c>
      <c r="E1792" s="2" t="s">
        <v>16</v>
      </c>
      <c r="F1792" s="2" t="s">
        <v>17</v>
      </c>
      <c r="G1792" s="2" t="s">
        <v>48</v>
      </c>
      <c r="H1792" s="2" t="s">
        <v>88</v>
      </c>
      <c r="I1792" s="2" t="s">
        <v>45</v>
      </c>
      <c r="J1792" s="4">
        <v>5</v>
      </c>
      <c r="K1792" s="5">
        <v>81.91</v>
      </c>
      <c r="L1792" s="6">
        <v>0.05</v>
      </c>
      <c r="M1792" s="5">
        <v>389.07</v>
      </c>
      <c r="P1792" t="str">
        <f>TEXT(Tableau2[[#This Row],[Date]],"mmmm aaaa")</f>
        <v>avril 2026</v>
      </c>
    </row>
    <row r="1793" spans="1:16">
      <c r="A1793" s="2" t="s">
        <v>1880</v>
      </c>
      <c r="B1793" s="3">
        <v>46199</v>
      </c>
      <c r="C1793" s="2" t="s">
        <v>14</v>
      </c>
      <c r="D1793" s="2" t="s">
        <v>15</v>
      </c>
      <c r="E1793" s="2" t="s">
        <v>34</v>
      </c>
      <c r="F1793" s="2" t="s">
        <v>17</v>
      </c>
      <c r="G1793" s="2" t="s">
        <v>24</v>
      </c>
      <c r="H1793" s="2" t="s">
        <v>82</v>
      </c>
      <c r="I1793" s="2" t="s">
        <v>75</v>
      </c>
      <c r="J1793" s="4">
        <v>1</v>
      </c>
      <c r="K1793" s="5">
        <v>311.35000000000002</v>
      </c>
      <c r="L1793" s="6">
        <v>0</v>
      </c>
      <c r="M1793" s="5">
        <v>311.35000000000002</v>
      </c>
      <c r="P1793" t="str">
        <f>TEXT(Tableau2[[#This Row],[Date]],"mmmm aaaa")</f>
        <v>juin 2026</v>
      </c>
    </row>
    <row r="1794" spans="1:16">
      <c r="A1794" s="2" t="s">
        <v>1881</v>
      </c>
      <c r="B1794" s="3">
        <v>46214</v>
      </c>
      <c r="C1794" s="2" t="s">
        <v>63</v>
      </c>
      <c r="D1794" s="2" t="s">
        <v>33</v>
      </c>
      <c r="E1794" s="2" t="s">
        <v>16</v>
      </c>
      <c r="F1794" s="2" t="s">
        <v>17</v>
      </c>
      <c r="G1794" s="2" t="s">
        <v>39</v>
      </c>
      <c r="H1794" s="2" t="s">
        <v>71</v>
      </c>
      <c r="I1794" s="2" t="s">
        <v>20</v>
      </c>
      <c r="J1794" s="4">
        <v>2</v>
      </c>
      <c r="K1794" s="5">
        <v>112.94</v>
      </c>
      <c r="L1794" s="6">
        <v>0.1</v>
      </c>
      <c r="M1794" s="5">
        <v>203.29</v>
      </c>
      <c r="P1794" t="str">
        <f>TEXT(Tableau2[[#This Row],[Date]],"mmmm aaaa")</f>
        <v>juillet 2026</v>
      </c>
    </row>
    <row r="1795" spans="1:16">
      <c r="A1795" s="2" t="s">
        <v>1882</v>
      </c>
      <c r="B1795" s="3">
        <v>46047</v>
      </c>
      <c r="C1795" s="2" t="s">
        <v>130</v>
      </c>
      <c r="D1795" s="2" t="s">
        <v>53</v>
      </c>
      <c r="E1795" s="2" t="s">
        <v>34</v>
      </c>
      <c r="F1795" s="2" t="s">
        <v>17</v>
      </c>
      <c r="G1795" s="2" t="s">
        <v>24</v>
      </c>
      <c r="H1795" s="2" t="s">
        <v>61</v>
      </c>
      <c r="I1795" s="2" t="s">
        <v>20</v>
      </c>
      <c r="J1795" s="4">
        <v>1</v>
      </c>
      <c r="K1795" s="5">
        <v>227.47</v>
      </c>
      <c r="L1795" s="6">
        <v>0.1</v>
      </c>
      <c r="M1795" s="5">
        <v>204.72</v>
      </c>
      <c r="P1795" t="str">
        <f>TEXT(Tableau2[[#This Row],[Date]],"mmmm aaaa")</f>
        <v>janvier 2026</v>
      </c>
    </row>
    <row r="1796" spans="1:16">
      <c r="A1796" s="2" t="s">
        <v>1883</v>
      </c>
      <c r="B1796" s="3">
        <v>46141</v>
      </c>
      <c r="C1796" s="2" t="s">
        <v>106</v>
      </c>
      <c r="D1796" s="2" t="s">
        <v>23</v>
      </c>
      <c r="E1796" s="2" t="s">
        <v>16</v>
      </c>
      <c r="F1796" s="2" t="s">
        <v>17</v>
      </c>
      <c r="G1796" s="2" t="s">
        <v>29</v>
      </c>
      <c r="H1796" s="2" t="s">
        <v>99</v>
      </c>
      <c r="I1796" s="2" t="s">
        <v>75</v>
      </c>
      <c r="J1796" s="4">
        <v>2</v>
      </c>
      <c r="K1796" s="5">
        <v>65.19</v>
      </c>
      <c r="L1796" s="6">
        <v>0.15</v>
      </c>
      <c r="M1796" s="5">
        <v>110.82</v>
      </c>
      <c r="P1796" t="str">
        <f>TEXT(Tableau2[[#This Row],[Date]],"mmmm aaaa")</f>
        <v>avril 2026</v>
      </c>
    </row>
    <row r="1797" spans="1:16">
      <c r="A1797" s="2" t="s">
        <v>1884</v>
      </c>
      <c r="B1797" s="3">
        <v>46042</v>
      </c>
      <c r="C1797" s="2" t="s">
        <v>79</v>
      </c>
      <c r="D1797" s="2" t="s">
        <v>33</v>
      </c>
      <c r="E1797" s="2" t="s">
        <v>43</v>
      </c>
      <c r="F1797" s="2" t="s">
        <v>17</v>
      </c>
      <c r="G1797" s="2" t="s">
        <v>54</v>
      </c>
      <c r="H1797" s="2" t="s">
        <v>102</v>
      </c>
      <c r="I1797" s="2" t="s">
        <v>41</v>
      </c>
      <c r="J1797" s="4">
        <v>1</v>
      </c>
      <c r="K1797" s="5">
        <v>200.6</v>
      </c>
      <c r="L1797" s="6">
        <v>0</v>
      </c>
      <c r="M1797" s="5">
        <v>200.6</v>
      </c>
      <c r="P1797" t="str">
        <f>TEXT(Tableau2[[#This Row],[Date]],"mmmm aaaa")</f>
        <v>janvier 2026</v>
      </c>
    </row>
    <row r="1798" spans="1:16">
      <c r="A1798" s="2" t="s">
        <v>1885</v>
      </c>
      <c r="B1798" s="3">
        <v>46093</v>
      </c>
      <c r="C1798" s="2" t="s">
        <v>66</v>
      </c>
      <c r="D1798" s="2" t="s">
        <v>23</v>
      </c>
      <c r="E1798" s="2" t="s">
        <v>16</v>
      </c>
      <c r="F1798" s="2" t="s">
        <v>28</v>
      </c>
      <c r="G1798" s="2" t="s">
        <v>54</v>
      </c>
      <c r="H1798" s="2" t="s">
        <v>64</v>
      </c>
      <c r="I1798" s="2" t="s">
        <v>41</v>
      </c>
      <c r="J1798" s="4">
        <v>8</v>
      </c>
      <c r="K1798" s="5">
        <v>83.54</v>
      </c>
      <c r="L1798" s="6">
        <v>0.3</v>
      </c>
      <c r="M1798" s="5">
        <v>467.82</v>
      </c>
      <c r="P1798" t="str">
        <f>TEXT(Tableau2[[#This Row],[Date]],"mmmm aaaa")</f>
        <v>mars 2026</v>
      </c>
    </row>
    <row r="1799" spans="1:16">
      <c r="A1799" s="2" t="s">
        <v>1886</v>
      </c>
      <c r="B1799" s="3">
        <v>46209</v>
      </c>
      <c r="C1799" s="2" t="s">
        <v>22</v>
      </c>
      <c r="D1799" s="2" t="s">
        <v>23</v>
      </c>
      <c r="E1799" s="2" t="s">
        <v>34</v>
      </c>
      <c r="F1799" s="2" t="s">
        <v>28</v>
      </c>
      <c r="G1799" s="2" t="s">
        <v>48</v>
      </c>
      <c r="H1799" s="2" t="s">
        <v>77</v>
      </c>
      <c r="I1799" s="2" t="s">
        <v>20</v>
      </c>
      <c r="J1799" s="4">
        <v>1</v>
      </c>
      <c r="K1799" s="5">
        <v>85.1</v>
      </c>
      <c r="L1799" s="6">
        <v>0.05</v>
      </c>
      <c r="M1799" s="5">
        <v>80.84</v>
      </c>
      <c r="P1799" t="str">
        <f>TEXT(Tableau2[[#This Row],[Date]],"mmmm aaaa")</f>
        <v>juillet 2026</v>
      </c>
    </row>
    <row r="1800" spans="1:16">
      <c r="A1800" s="2" t="s">
        <v>1887</v>
      </c>
      <c r="B1800" s="3">
        <v>46265</v>
      </c>
      <c r="C1800" s="2" t="s">
        <v>63</v>
      </c>
      <c r="D1800" s="2" t="s">
        <v>33</v>
      </c>
      <c r="E1800" s="2" t="s">
        <v>38</v>
      </c>
      <c r="F1800" s="2" t="s">
        <v>17</v>
      </c>
      <c r="G1800" s="2" t="s">
        <v>39</v>
      </c>
      <c r="H1800" s="2" t="s">
        <v>71</v>
      </c>
      <c r="I1800" s="2" t="s">
        <v>26</v>
      </c>
      <c r="J1800" s="4">
        <v>1</v>
      </c>
      <c r="K1800" s="5">
        <v>110.72</v>
      </c>
      <c r="L1800" s="6">
        <v>0</v>
      </c>
      <c r="M1800" s="5">
        <v>110.72</v>
      </c>
      <c r="P1800" t="str">
        <f>TEXT(Tableau2[[#This Row],[Date]],"mmmm aaaa")</f>
        <v>août 2026</v>
      </c>
    </row>
    <row r="1801" spans="1:16">
      <c r="A1801" s="2" t="s">
        <v>1888</v>
      </c>
      <c r="B1801" s="3">
        <v>46283</v>
      </c>
      <c r="C1801" s="2" t="s">
        <v>57</v>
      </c>
      <c r="D1801" s="2" t="s">
        <v>15</v>
      </c>
      <c r="E1801" s="2" t="s">
        <v>38</v>
      </c>
      <c r="F1801" s="2" t="s">
        <v>17</v>
      </c>
      <c r="G1801" s="2" t="s">
        <v>54</v>
      </c>
      <c r="H1801" s="2" t="s">
        <v>55</v>
      </c>
      <c r="I1801" s="2" t="s">
        <v>50</v>
      </c>
      <c r="J1801" s="4">
        <v>15</v>
      </c>
      <c r="K1801" s="5">
        <v>146.88999999999999</v>
      </c>
      <c r="L1801" s="6">
        <v>0</v>
      </c>
      <c r="M1801" s="5">
        <v>2203.35</v>
      </c>
      <c r="P1801" t="str">
        <f>TEXT(Tableau2[[#This Row],[Date]],"mmmm aaaa")</f>
        <v>septembre 2026</v>
      </c>
    </row>
    <row r="1802" spans="1:16">
      <c r="A1802" s="2" t="s">
        <v>1889</v>
      </c>
      <c r="B1802" s="3">
        <v>46313</v>
      </c>
      <c r="C1802" s="2" t="s">
        <v>22</v>
      </c>
      <c r="D1802" s="2" t="s">
        <v>23</v>
      </c>
      <c r="E1802" s="2" t="s">
        <v>34</v>
      </c>
      <c r="F1802" s="2" t="s">
        <v>17</v>
      </c>
      <c r="G1802" s="2" t="s">
        <v>18</v>
      </c>
      <c r="H1802" s="2" t="s">
        <v>158</v>
      </c>
      <c r="I1802" s="2" t="s">
        <v>58</v>
      </c>
      <c r="J1802" s="4">
        <v>1</v>
      </c>
      <c r="K1802" s="5">
        <v>48.23</v>
      </c>
      <c r="L1802" s="6">
        <v>0</v>
      </c>
      <c r="M1802" s="5">
        <v>48.23</v>
      </c>
      <c r="P1802" t="str">
        <f>TEXT(Tableau2[[#This Row],[Date]],"mmmm aaaa")</f>
        <v>octobre 2026</v>
      </c>
    </row>
    <row r="1803" spans="1:16">
      <c r="A1803" s="2" t="s">
        <v>1890</v>
      </c>
      <c r="B1803" s="3">
        <v>46348</v>
      </c>
      <c r="C1803" s="2" t="s">
        <v>119</v>
      </c>
      <c r="D1803" s="2" t="s">
        <v>15</v>
      </c>
      <c r="E1803" s="2" t="s">
        <v>38</v>
      </c>
      <c r="F1803" s="2" t="s">
        <v>28</v>
      </c>
      <c r="G1803" s="2" t="s">
        <v>48</v>
      </c>
      <c r="H1803" s="2" t="s">
        <v>84</v>
      </c>
      <c r="I1803" s="2" t="s">
        <v>41</v>
      </c>
      <c r="J1803" s="4">
        <v>4</v>
      </c>
      <c r="K1803" s="5">
        <v>97.65</v>
      </c>
      <c r="L1803" s="6">
        <v>0</v>
      </c>
      <c r="M1803" s="5">
        <v>390.6</v>
      </c>
      <c r="P1803" t="str">
        <f>TEXT(Tableau2[[#This Row],[Date]],"mmmm aaaa")</f>
        <v>novembre 2026</v>
      </c>
    </row>
    <row r="1804" spans="1:16">
      <c r="A1804" s="2" t="s">
        <v>1891</v>
      </c>
      <c r="B1804" s="3">
        <v>46324</v>
      </c>
      <c r="C1804" s="2" t="s">
        <v>106</v>
      </c>
      <c r="D1804" s="2" t="s">
        <v>23</v>
      </c>
      <c r="E1804" s="2" t="s">
        <v>16</v>
      </c>
      <c r="F1804" s="2" t="s">
        <v>28</v>
      </c>
      <c r="G1804" s="2" t="s">
        <v>54</v>
      </c>
      <c r="H1804" s="2" t="s">
        <v>102</v>
      </c>
      <c r="I1804" s="2" t="s">
        <v>45</v>
      </c>
      <c r="J1804" s="4">
        <v>2</v>
      </c>
      <c r="K1804" s="5">
        <v>207.47</v>
      </c>
      <c r="L1804" s="6">
        <v>0</v>
      </c>
      <c r="M1804" s="5">
        <v>414.94</v>
      </c>
      <c r="P1804" t="str">
        <f>TEXT(Tableau2[[#This Row],[Date]],"mmmm aaaa")</f>
        <v>octobre 2026</v>
      </c>
    </row>
    <row r="1805" spans="1:16">
      <c r="A1805" s="2" t="s">
        <v>1892</v>
      </c>
      <c r="B1805" s="3">
        <v>46260</v>
      </c>
      <c r="C1805" s="2" t="s">
        <v>14</v>
      </c>
      <c r="D1805" s="2" t="s">
        <v>15</v>
      </c>
      <c r="E1805" s="2" t="s">
        <v>34</v>
      </c>
      <c r="F1805" s="2" t="s">
        <v>28</v>
      </c>
      <c r="G1805" s="2" t="s">
        <v>54</v>
      </c>
      <c r="H1805" s="2" t="s">
        <v>102</v>
      </c>
      <c r="I1805" s="2" t="s">
        <v>50</v>
      </c>
      <c r="J1805" s="4">
        <v>4</v>
      </c>
      <c r="K1805" s="5">
        <v>228.74</v>
      </c>
      <c r="L1805" s="6">
        <v>0</v>
      </c>
      <c r="M1805" s="5">
        <v>914.96</v>
      </c>
      <c r="P1805" t="str">
        <f>TEXT(Tableau2[[#This Row],[Date]],"mmmm aaaa")</f>
        <v>août 2026</v>
      </c>
    </row>
    <row r="1806" spans="1:16">
      <c r="A1806" s="2" t="s">
        <v>1893</v>
      </c>
      <c r="B1806" s="3">
        <v>46365</v>
      </c>
      <c r="C1806" s="2" t="s">
        <v>63</v>
      </c>
      <c r="D1806" s="2" t="s">
        <v>33</v>
      </c>
      <c r="E1806" s="2" t="s">
        <v>16</v>
      </c>
      <c r="F1806" s="2" t="s">
        <v>17</v>
      </c>
      <c r="G1806" s="2" t="s">
        <v>54</v>
      </c>
      <c r="H1806" s="2" t="s">
        <v>64</v>
      </c>
      <c r="I1806" s="2" t="s">
        <v>26</v>
      </c>
      <c r="J1806" s="4">
        <v>3</v>
      </c>
      <c r="K1806" s="5">
        <v>84.35</v>
      </c>
      <c r="L1806" s="6">
        <v>0</v>
      </c>
      <c r="M1806" s="5">
        <v>253.05</v>
      </c>
      <c r="P1806" t="str">
        <f>TEXT(Tableau2[[#This Row],[Date]],"mmmm aaaa")</f>
        <v>décembre 2026</v>
      </c>
    </row>
    <row r="1807" spans="1:16">
      <c r="A1807" s="2" t="s">
        <v>1894</v>
      </c>
      <c r="B1807" s="3">
        <v>46135</v>
      </c>
      <c r="C1807" s="2" t="s">
        <v>63</v>
      </c>
      <c r="D1807" s="2" t="s">
        <v>33</v>
      </c>
      <c r="E1807" s="2" t="s">
        <v>34</v>
      </c>
      <c r="F1807" s="2" t="s">
        <v>17</v>
      </c>
      <c r="G1807" s="2" t="s">
        <v>18</v>
      </c>
      <c r="H1807" s="2" t="s">
        <v>158</v>
      </c>
      <c r="I1807" s="2" t="s">
        <v>26</v>
      </c>
      <c r="J1807" s="4">
        <v>1</v>
      </c>
      <c r="K1807" s="5">
        <v>48.22</v>
      </c>
      <c r="L1807" s="6">
        <v>0</v>
      </c>
      <c r="M1807" s="5">
        <v>48.22</v>
      </c>
      <c r="P1807" t="str">
        <f>TEXT(Tableau2[[#This Row],[Date]],"mmmm aaaa")</f>
        <v>avril 2026</v>
      </c>
    </row>
    <row r="1808" spans="1:16">
      <c r="A1808" s="2" t="s">
        <v>1895</v>
      </c>
      <c r="B1808" s="3">
        <v>46156</v>
      </c>
      <c r="C1808" s="2" t="s">
        <v>14</v>
      </c>
      <c r="D1808" s="2" t="s">
        <v>15</v>
      </c>
      <c r="E1808" s="2" t="s">
        <v>16</v>
      </c>
      <c r="F1808" s="2" t="s">
        <v>28</v>
      </c>
      <c r="G1808" s="2" t="s">
        <v>29</v>
      </c>
      <c r="H1808" s="2" t="s">
        <v>30</v>
      </c>
      <c r="I1808" s="2" t="s">
        <v>75</v>
      </c>
      <c r="J1808" s="4">
        <v>3</v>
      </c>
      <c r="K1808" s="5">
        <v>25.09</v>
      </c>
      <c r="L1808" s="6">
        <v>0</v>
      </c>
      <c r="M1808" s="5">
        <v>75.27</v>
      </c>
      <c r="P1808" t="str">
        <f>TEXT(Tableau2[[#This Row],[Date]],"mmmm aaaa")</f>
        <v>mai 2026</v>
      </c>
    </row>
    <row r="1809" spans="1:16">
      <c r="A1809" s="2" t="s">
        <v>1896</v>
      </c>
      <c r="B1809" s="3">
        <v>46117</v>
      </c>
      <c r="C1809" s="2" t="s">
        <v>92</v>
      </c>
      <c r="D1809" s="2" t="s">
        <v>53</v>
      </c>
      <c r="E1809" s="2" t="s">
        <v>16</v>
      </c>
      <c r="F1809" s="2" t="s">
        <v>17</v>
      </c>
      <c r="G1809" s="2" t="s">
        <v>54</v>
      </c>
      <c r="H1809" s="2" t="s">
        <v>55</v>
      </c>
      <c r="I1809" s="2" t="s">
        <v>41</v>
      </c>
      <c r="J1809" s="4">
        <v>5</v>
      </c>
      <c r="K1809" s="5">
        <v>160.13</v>
      </c>
      <c r="L1809" s="6">
        <v>0</v>
      </c>
      <c r="M1809" s="5">
        <v>800.65</v>
      </c>
      <c r="P1809" t="str">
        <f>TEXT(Tableau2[[#This Row],[Date]],"mmmm aaaa")</f>
        <v>avril 2026</v>
      </c>
    </row>
    <row r="1810" spans="1:16">
      <c r="A1810" s="2" t="s">
        <v>1897</v>
      </c>
      <c r="B1810" s="3">
        <v>46130</v>
      </c>
      <c r="C1810" s="2" t="s">
        <v>94</v>
      </c>
      <c r="D1810" s="2" t="s">
        <v>15</v>
      </c>
      <c r="E1810" s="2" t="s">
        <v>34</v>
      </c>
      <c r="F1810" s="2" t="s">
        <v>28</v>
      </c>
      <c r="G1810" s="2" t="s">
        <v>48</v>
      </c>
      <c r="H1810" s="2" t="s">
        <v>88</v>
      </c>
      <c r="I1810" s="2" t="s">
        <v>75</v>
      </c>
      <c r="J1810" s="4">
        <v>4</v>
      </c>
      <c r="K1810" s="5">
        <v>81.97</v>
      </c>
      <c r="L1810" s="6">
        <v>0.1</v>
      </c>
      <c r="M1810" s="5">
        <v>295.08999999999997</v>
      </c>
      <c r="P1810" t="str">
        <f>TEXT(Tableau2[[#This Row],[Date]],"mmmm aaaa")</f>
        <v>avril 2026</v>
      </c>
    </row>
    <row r="1811" spans="1:16">
      <c r="A1811" s="2" t="s">
        <v>1898</v>
      </c>
      <c r="B1811" s="3">
        <v>46308</v>
      </c>
      <c r="C1811" s="2" t="s">
        <v>63</v>
      </c>
      <c r="D1811" s="2" t="s">
        <v>33</v>
      </c>
      <c r="E1811" s="2" t="s">
        <v>38</v>
      </c>
      <c r="F1811" s="2" t="s">
        <v>17</v>
      </c>
      <c r="G1811" s="2" t="s">
        <v>18</v>
      </c>
      <c r="H1811" s="2" t="s">
        <v>158</v>
      </c>
      <c r="I1811" s="2" t="s">
        <v>50</v>
      </c>
      <c r="J1811" s="4">
        <v>2</v>
      </c>
      <c r="K1811" s="5">
        <v>43.28</v>
      </c>
      <c r="L1811" s="6">
        <v>0</v>
      </c>
      <c r="M1811" s="5">
        <v>86.56</v>
      </c>
      <c r="P1811" t="str">
        <f>TEXT(Tableau2[[#This Row],[Date]],"mmmm aaaa")</f>
        <v>octobre 2026</v>
      </c>
    </row>
    <row r="1812" spans="1:16">
      <c r="A1812" s="2" t="s">
        <v>1899</v>
      </c>
      <c r="B1812" s="3">
        <v>46354</v>
      </c>
      <c r="C1812" s="2" t="s">
        <v>47</v>
      </c>
      <c r="D1812" s="2" t="s">
        <v>15</v>
      </c>
      <c r="E1812" s="2" t="s">
        <v>16</v>
      </c>
      <c r="F1812" s="2" t="s">
        <v>17</v>
      </c>
      <c r="G1812" s="2" t="s">
        <v>18</v>
      </c>
      <c r="H1812" s="2" t="s">
        <v>19</v>
      </c>
      <c r="I1812" s="2" t="s">
        <v>45</v>
      </c>
      <c r="J1812" s="4">
        <v>1</v>
      </c>
      <c r="K1812" s="5">
        <v>56.03</v>
      </c>
      <c r="L1812" s="6">
        <v>0.05</v>
      </c>
      <c r="M1812" s="5">
        <v>53.23</v>
      </c>
      <c r="P1812" t="str">
        <f>TEXT(Tableau2[[#This Row],[Date]],"mmmm aaaa")</f>
        <v>novembre 2026</v>
      </c>
    </row>
    <row r="1813" spans="1:16">
      <c r="A1813" s="2" t="s">
        <v>1900</v>
      </c>
      <c r="B1813" s="3">
        <v>46189</v>
      </c>
      <c r="C1813" s="2" t="s">
        <v>63</v>
      </c>
      <c r="D1813" s="2" t="s">
        <v>33</v>
      </c>
      <c r="E1813" s="2" t="s">
        <v>16</v>
      </c>
      <c r="F1813" s="2" t="s">
        <v>17</v>
      </c>
      <c r="G1813" s="2" t="s">
        <v>29</v>
      </c>
      <c r="H1813" s="2" t="s">
        <v>140</v>
      </c>
      <c r="I1813" s="2" t="s">
        <v>26</v>
      </c>
      <c r="J1813" s="4">
        <v>2</v>
      </c>
      <c r="K1813" s="5">
        <v>46.57</v>
      </c>
      <c r="L1813" s="6">
        <v>0.15</v>
      </c>
      <c r="M1813" s="5">
        <v>79.17</v>
      </c>
      <c r="P1813" t="str">
        <f>TEXT(Tableau2[[#This Row],[Date]],"mmmm aaaa")</f>
        <v>juin 2026</v>
      </c>
    </row>
    <row r="1814" spans="1:16">
      <c r="A1814" s="2" t="s">
        <v>1901</v>
      </c>
      <c r="B1814" s="3">
        <v>46359</v>
      </c>
      <c r="C1814" s="2" t="s">
        <v>116</v>
      </c>
      <c r="D1814" s="2" t="s">
        <v>15</v>
      </c>
      <c r="E1814" s="2" t="s">
        <v>34</v>
      </c>
      <c r="F1814" s="2" t="s">
        <v>28</v>
      </c>
      <c r="G1814" s="2" t="s">
        <v>54</v>
      </c>
      <c r="H1814" s="2" t="s">
        <v>64</v>
      </c>
      <c r="I1814" s="2" t="s">
        <v>20</v>
      </c>
      <c r="J1814" s="4">
        <v>6</v>
      </c>
      <c r="K1814" s="5">
        <v>82.05</v>
      </c>
      <c r="L1814" s="6">
        <v>0.05</v>
      </c>
      <c r="M1814" s="5">
        <v>467.68</v>
      </c>
      <c r="P1814" t="str">
        <f>TEXT(Tableau2[[#This Row],[Date]],"mmmm aaaa")</f>
        <v>décembre 2026</v>
      </c>
    </row>
    <row r="1815" spans="1:16">
      <c r="A1815" s="2" t="s">
        <v>1902</v>
      </c>
      <c r="B1815" s="3">
        <v>46069</v>
      </c>
      <c r="C1815" s="2" t="s">
        <v>63</v>
      </c>
      <c r="D1815" s="2" t="s">
        <v>33</v>
      </c>
      <c r="E1815" s="2" t="s">
        <v>16</v>
      </c>
      <c r="F1815" s="2" t="s">
        <v>28</v>
      </c>
      <c r="G1815" s="2" t="s">
        <v>48</v>
      </c>
      <c r="H1815" s="2" t="s">
        <v>77</v>
      </c>
      <c r="I1815" s="2" t="s">
        <v>58</v>
      </c>
      <c r="J1815" s="4">
        <v>2</v>
      </c>
      <c r="K1815" s="5">
        <v>79.09</v>
      </c>
      <c r="L1815" s="6">
        <v>0.3</v>
      </c>
      <c r="M1815" s="5">
        <v>110.73</v>
      </c>
      <c r="P1815" t="str">
        <f>TEXT(Tableau2[[#This Row],[Date]],"mmmm aaaa")</f>
        <v>février 2026</v>
      </c>
    </row>
    <row r="1816" spans="1:16">
      <c r="A1816" s="2" t="s">
        <v>1903</v>
      </c>
      <c r="B1816" s="3">
        <v>46050</v>
      </c>
      <c r="C1816" s="2" t="s">
        <v>66</v>
      </c>
      <c r="D1816" s="2" t="s">
        <v>23</v>
      </c>
      <c r="E1816" s="2" t="s">
        <v>34</v>
      </c>
      <c r="F1816" s="2" t="s">
        <v>28</v>
      </c>
      <c r="G1816" s="2" t="s">
        <v>54</v>
      </c>
      <c r="H1816" s="2" t="s">
        <v>64</v>
      </c>
      <c r="I1816" s="2" t="s">
        <v>45</v>
      </c>
      <c r="J1816" s="4">
        <v>3</v>
      </c>
      <c r="K1816" s="5">
        <v>82.02</v>
      </c>
      <c r="L1816" s="6">
        <v>0.1</v>
      </c>
      <c r="M1816" s="5">
        <v>221.45</v>
      </c>
      <c r="P1816" t="str">
        <f>TEXT(Tableau2[[#This Row],[Date]],"mmmm aaaa")</f>
        <v>janvier 2026</v>
      </c>
    </row>
    <row r="1817" spans="1:16">
      <c r="A1817" s="2" t="s">
        <v>1904</v>
      </c>
      <c r="B1817" s="3">
        <v>46147</v>
      </c>
      <c r="C1817" s="2" t="s">
        <v>14</v>
      </c>
      <c r="D1817" s="2" t="s">
        <v>15</v>
      </c>
      <c r="E1817" s="2" t="s">
        <v>16</v>
      </c>
      <c r="F1817" s="2" t="s">
        <v>17</v>
      </c>
      <c r="G1817" s="2" t="s">
        <v>48</v>
      </c>
      <c r="H1817" s="2" t="s">
        <v>88</v>
      </c>
      <c r="I1817" s="2" t="s">
        <v>41</v>
      </c>
      <c r="J1817" s="4">
        <v>3</v>
      </c>
      <c r="K1817" s="5">
        <v>74.900000000000006</v>
      </c>
      <c r="L1817" s="6">
        <v>0</v>
      </c>
      <c r="M1817" s="5">
        <v>224.7</v>
      </c>
      <c r="P1817" t="str">
        <f>TEXT(Tableau2[[#This Row],[Date]],"mmmm aaaa")</f>
        <v>mai 2026</v>
      </c>
    </row>
    <row r="1818" spans="1:16">
      <c r="A1818" s="2" t="s">
        <v>1905</v>
      </c>
      <c r="B1818" s="3">
        <v>46342</v>
      </c>
      <c r="C1818" s="2" t="s">
        <v>125</v>
      </c>
      <c r="D1818" s="2" t="s">
        <v>23</v>
      </c>
      <c r="E1818" s="2" t="s">
        <v>16</v>
      </c>
      <c r="F1818" s="2" t="s">
        <v>17</v>
      </c>
      <c r="G1818" s="2" t="s">
        <v>29</v>
      </c>
      <c r="H1818" s="2" t="s">
        <v>99</v>
      </c>
      <c r="I1818" s="2" t="s">
        <v>50</v>
      </c>
      <c r="J1818" s="4">
        <v>1</v>
      </c>
      <c r="K1818" s="5">
        <v>58.27</v>
      </c>
      <c r="L1818" s="6">
        <v>0.1</v>
      </c>
      <c r="M1818" s="5">
        <v>52.44</v>
      </c>
      <c r="P1818" t="str">
        <f>TEXT(Tableau2[[#This Row],[Date]],"mmmm aaaa")</f>
        <v>novembre 2026</v>
      </c>
    </row>
    <row r="1819" spans="1:16">
      <c r="A1819" s="2" t="s">
        <v>1906</v>
      </c>
      <c r="B1819" s="3">
        <v>46250</v>
      </c>
      <c r="C1819" s="2" t="s">
        <v>125</v>
      </c>
      <c r="D1819" s="2" t="s">
        <v>23</v>
      </c>
      <c r="E1819" s="2" t="s">
        <v>34</v>
      </c>
      <c r="F1819" s="2" t="s">
        <v>28</v>
      </c>
      <c r="G1819" s="2" t="s">
        <v>48</v>
      </c>
      <c r="H1819" s="2" t="s">
        <v>84</v>
      </c>
      <c r="I1819" s="2" t="s">
        <v>26</v>
      </c>
      <c r="J1819" s="4">
        <v>4</v>
      </c>
      <c r="K1819" s="5">
        <v>94.08</v>
      </c>
      <c r="L1819" s="6">
        <v>0.05</v>
      </c>
      <c r="M1819" s="5">
        <v>357.5</v>
      </c>
      <c r="P1819" t="str">
        <f>TEXT(Tableau2[[#This Row],[Date]],"mmmm aaaa")</f>
        <v>août 2026</v>
      </c>
    </row>
    <row r="1820" spans="1:16">
      <c r="A1820" s="2" t="s">
        <v>1907</v>
      </c>
      <c r="B1820" s="3">
        <v>46376</v>
      </c>
      <c r="C1820" s="2" t="s">
        <v>47</v>
      </c>
      <c r="D1820" s="2" t="s">
        <v>15</v>
      </c>
      <c r="E1820" s="2" t="s">
        <v>34</v>
      </c>
      <c r="F1820" s="2" t="s">
        <v>17</v>
      </c>
      <c r="G1820" s="2" t="s">
        <v>29</v>
      </c>
      <c r="H1820" s="2" t="s">
        <v>30</v>
      </c>
      <c r="I1820" s="2" t="s">
        <v>26</v>
      </c>
      <c r="J1820" s="4">
        <v>7</v>
      </c>
      <c r="K1820" s="5">
        <v>27.16</v>
      </c>
      <c r="L1820" s="6">
        <v>0</v>
      </c>
      <c r="M1820" s="5">
        <v>190.12</v>
      </c>
      <c r="P1820" t="str">
        <f>TEXT(Tableau2[[#This Row],[Date]],"mmmm aaaa")</f>
        <v>décembre 2026</v>
      </c>
    </row>
    <row r="1821" spans="1:16">
      <c r="A1821" s="2" t="s">
        <v>1908</v>
      </c>
      <c r="B1821" s="3">
        <v>46119</v>
      </c>
      <c r="C1821" s="2" t="s">
        <v>79</v>
      </c>
      <c r="D1821" s="2" t="s">
        <v>33</v>
      </c>
      <c r="E1821" s="2" t="s">
        <v>16</v>
      </c>
      <c r="F1821" s="2" t="s">
        <v>28</v>
      </c>
      <c r="G1821" s="2" t="s">
        <v>48</v>
      </c>
      <c r="H1821" s="2" t="s">
        <v>84</v>
      </c>
      <c r="I1821" s="2" t="s">
        <v>58</v>
      </c>
      <c r="J1821" s="4">
        <v>6</v>
      </c>
      <c r="K1821" s="5">
        <v>90.34</v>
      </c>
      <c r="L1821" s="6">
        <v>0</v>
      </c>
      <c r="M1821" s="5">
        <v>542.04</v>
      </c>
      <c r="P1821" t="str">
        <f>TEXT(Tableau2[[#This Row],[Date]],"mmmm aaaa")</f>
        <v>avril 2026</v>
      </c>
    </row>
    <row r="1822" spans="1:16">
      <c r="A1822" s="2" t="s">
        <v>1909</v>
      </c>
      <c r="B1822" s="3">
        <v>46096</v>
      </c>
      <c r="C1822" s="2" t="s">
        <v>57</v>
      </c>
      <c r="D1822" s="2" t="s">
        <v>15</v>
      </c>
      <c r="E1822" s="2" t="s">
        <v>43</v>
      </c>
      <c r="F1822" s="2" t="s">
        <v>28</v>
      </c>
      <c r="G1822" s="2" t="s">
        <v>48</v>
      </c>
      <c r="H1822" s="2" t="s">
        <v>88</v>
      </c>
      <c r="I1822" s="2" t="s">
        <v>20</v>
      </c>
      <c r="J1822" s="4">
        <v>5</v>
      </c>
      <c r="K1822" s="5">
        <v>80.69</v>
      </c>
      <c r="L1822" s="6">
        <v>0.1</v>
      </c>
      <c r="M1822" s="5">
        <v>363.11</v>
      </c>
      <c r="P1822" t="str">
        <f>TEXT(Tableau2[[#This Row],[Date]],"mmmm aaaa")</f>
        <v>mars 2026</v>
      </c>
    </row>
    <row r="1823" spans="1:16">
      <c r="A1823" s="2" t="s">
        <v>1910</v>
      </c>
      <c r="B1823" s="3">
        <v>46153</v>
      </c>
      <c r="C1823" s="2" t="s">
        <v>79</v>
      </c>
      <c r="D1823" s="2" t="s">
        <v>33</v>
      </c>
      <c r="E1823" s="2" t="s">
        <v>16</v>
      </c>
      <c r="F1823" s="2" t="s">
        <v>17</v>
      </c>
      <c r="G1823" s="2" t="s">
        <v>29</v>
      </c>
      <c r="H1823" s="2" t="s">
        <v>140</v>
      </c>
      <c r="I1823" s="2" t="s">
        <v>50</v>
      </c>
      <c r="J1823" s="4">
        <v>1</v>
      </c>
      <c r="K1823" s="5">
        <v>46.35</v>
      </c>
      <c r="L1823" s="6">
        <v>0</v>
      </c>
      <c r="M1823" s="5">
        <v>46.35</v>
      </c>
      <c r="P1823" t="str">
        <f>TEXT(Tableau2[[#This Row],[Date]],"mmmm aaaa")</f>
        <v>mai 2026</v>
      </c>
    </row>
    <row r="1824" spans="1:16">
      <c r="A1824" s="2" t="s">
        <v>1911</v>
      </c>
      <c r="B1824" s="3">
        <v>46333</v>
      </c>
      <c r="C1824" s="2" t="s">
        <v>57</v>
      </c>
      <c r="D1824" s="2" t="s">
        <v>15</v>
      </c>
      <c r="E1824" s="2" t="s">
        <v>38</v>
      </c>
      <c r="F1824" s="2" t="s">
        <v>17</v>
      </c>
      <c r="G1824" s="2" t="s">
        <v>18</v>
      </c>
      <c r="H1824" s="2" t="s">
        <v>136</v>
      </c>
      <c r="I1824" s="2" t="s">
        <v>20</v>
      </c>
      <c r="J1824" s="4">
        <v>5</v>
      </c>
      <c r="K1824" s="5">
        <v>33</v>
      </c>
      <c r="L1824" s="6">
        <v>0</v>
      </c>
      <c r="M1824" s="5">
        <v>165</v>
      </c>
      <c r="P1824" t="str">
        <f>TEXT(Tableau2[[#This Row],[Date]],"mmmm aaaa")</f>
        <v>novembre 2026</v>
      </c>
    </row>
    <row r="1825" spans="1:16">
      <c r="A1825" s="2" t="s">
        <v>1912</v>
      </c>
      <c r="B1825" s="3">
        <v>46179</v>
      </c>
      <c r="C1825" s="2" t="s">
        <v>151</v>
      </c>
      <c r="D1825" s="2" t="s">
        <v>15</v>
      </c>
      <c r="E1825" s="2" t="s">
        <v>34</v>
      </c>
      <c r="F1825" s="2" t="s">
        <v>28</v>
      </c>
      <c r="G1825" s="2" t="s">
        <v>48</v>
      </c>
      <c r="H1825" s="2" t="s">
        <v>49</v>
      </c>
      <c r="I1825" s="2" t="s">
        <v>45</v>
      </c>
      <c r="J1825" s="4">
        <v>2</v>
      </c>
      <c r="K1825" s="5">
        <v>59.7</v>
      </c>
      <c r="L1825" s="6">
        <v>0.05</v>
      </c>
      <c r="M1825" s="5">
        <v>113.43</v>
      </c>
      <c r="P1825" t="str">
        <f>TEXT(Tableau2[[#This Row],[Date]],"mmmm aaaa")</f>
        <v>juin 2026</v>
      </c>
    </row>
    <row r="1826" spans="1:16">
      <c r="A1826" s="2" t="s">
        <v>1913</v>
      </c>
      <c r="B1826" s="3">
        <v>46279</v>
      </c>
      <c r="C1826" s="2" t="s">
        <v>22</v>
      </c>
      <c r="D1826" s="2" t="s">
        <v>23</v>
      </c>
      <c r="E1826" s="2" t="s">
        <v>43</v>
      </c>
      <c r="F1826" s="2" t="s">
        <v>17</v>
      </c>
      <c r="G1826" s="2" t="s">
        <v>54</v>
      </c>
      <c r="H1826" s="2" t="s">
        <v>102</v>
      </c>
      <c r="I1826" s="2" t="s">
        <v>50</v>
      </c>
      <c r="J1826" s="4">
        <v>4</v>
      </c>
      <c r="K1826" s="5">
        <v>210.55</v>
      </c>
      <c r="L1826" s="6">
        <v>0</v>
      </c>
      <c r="M1826" s="5">
        <v>842.2</v>
      </c>
      <c r="P1826" t="str">
        <f>TEXT(Tableau2[[#This Row],[Date]],"mmmm aaaa")</f>
        <v>septembre 2026</v>
      </c>
    </row>
    <row r="1827" spans="1:16">
      <c r="A1827" s="2" t="s">
        <v>1914</v>
      </c>
      <c r="B1827" s="3">
        <v>46152</v>
      </c>
      <c r="C1827" s="2" t="s">
        <v>63</v>
      </c>
      <c r="D1827" s="2" t="s">
        <v>33</v>
      </c>
      <c r="E1827" s="2" t="s">
        <v>38</v>
      </c>
      <c r="F1827" s="2" t="s">
        <v>17</v>
      </c>
      <c r="G1827" s="2" t="s">
        <v>48</v>
      </c>
      <c r="H1827" s="2" t="s">
        <v>49</v>
      </c>
      <c r="I1827" s="2" t="s">
        <v>36</v>
      </c>
      <c r="J1827" s="4">
        <v>2</v>
      </c>
      <c r="K1827" s="5">
        <v>60.22</v>
      </c>
      <c r="L1827" s="6">
        <v>0</v>
      </c>
      <c r="M1827" s="5">
        <v>120.44</v>
      </c>
      <c r="P1827" t="str">
        <f>TEXT(Tableau2[[#This Row],[Date]],"mmmm aaaa")</f>
        <v>mai 2026</v>
      </c>
    </row>
    <row r="1828" spans="1:16">
      <c r="A1828" s="2" t="s">
        <v>1915</v>
      </c>
      <c r="B1828" s="3">
        <v>46080</v>
      </c>
      <c r="C1828" s="2" t="s">
        <v>156</v>
      </c>
      <c r="D1828" s="2" t="s">
        <v>15</v>
      </c>
      <c r="E1828" s="2" t="s">
        <v>34</v>
      </c>
      <c r="F1828" s="2" t="s">
        <v>17</v>
      </c>
      <c r="G1828" s="2" t="s">
        <v>48</v>
      </c>
      <c r="H1828" s="2" t="s">
        <v>88</v>
      </c>
      <c r="I1828" s="2" t="s">
        <v>58</v>
      </c>
      <c r="J1828" s="4">
        <v>1</v>
      </c>
      <c r="K1828" s="5">
        <v>80.28</v>
      </c>
      <c r="L1828" s="6">
        <v>0.1</v>
      </c>
      <c r="M1828" s="5">
        <v>72.25</v>
      </c>
      <c r="P1828" t="str">
        <f>TEXT(Tableau2[[#This Row],[Date]],"mmmm aaaa")</f>
        <v>février 2026</v>
      </c>
    </row>
    <row r="1829" spans="1:16">
      <c r="A1829" s="2" t="s">
        <v>1916</v>
      </c>
      <c r="B1829" s="3">
        <v>46361</v>
      </c>
      <c r="C1829" s="2" t="s">
        <v>63</v>
      </c>
      <c r="D1829" s="2" t="s">
        <v>33</v>
      </c>
      <c r="E1829" s="2" t="s">
        <v>34</v>
      </c>
      <c r="F1829" s="2" t="s">
        <v>17</v>
      </c>
      <c r="G1829" s="2" t="s">
        <v>39</v>
      </c>
      <c r="H1829" s="2" t="s">
        <v>40</v>
      </c>
      <c r="I1829" s="2" t="s">
        <v>58</v>
      </c>
      <c r="J1829" s="4">
        <v>5</v>
      </c>
      <c r="K1829" s="5">
        <v>131.01</v>
      </c>
      <c r="L1829" s="6">
        <v>0</v>
      </c>
      <c r="M1829" s="5">
        <v>655.04999999999995</v>
      </c>
      <c r="P1829" t="str">
        <f>TEXT(Tableau2[[#This Row],[Date]],"mmmm aaaa")</f>
        <v>décembre 2026</v>
      </c>
    </row>
    <row r="1830" spans="1:16">
      <c r="A1830" s="2" t="s">
        <v>1917</v>
      </c>
      <c r="B1830" s="3">
        <v>46313</v>
      </c>
      <c r="C1830" s="2" t="s">
        <v>22</v>
      </c>
      <c r="D1830" s="2" t="s">
        <v>23</v>
      </c>
      <c r="E1830" s="2" t="s">
        <v>34</v>
      </c>
      <c r="F1830" s="2" t="s">
        <v>17</v>
      </c>
      <c r="G1830" s="2" t="s">
        <v>18</v>
      </c>
      <c r="H1830" s="2" t="s">
        <v>143</v>
      </c>
      <c r="I1830" s="2" t="s">
        <v>50</v>
      </c>
      <c r="J1830" s="4">
        <v>1</v>
      </c>
      <c r="K1830" s="5">
        <v>72.22</v>
      </c>
      <c r="L1830" s="6">
        <v>0</v>
      </c>
      <c r="M1830" s="5">
        <v>72.22</v>
      </c>
      <c r="P1830" t="str">
        <f>TEXT(Tableau2[[#This Row],[Date]],"mmmm aaaa")</f>
        <v>octobre 2026</v>
      </c>
    </row>
    <row r="1831" spans="1:16">
      <c r="A1831" s="2" t="s">
        <v>1918</v>
      </c>
      <c r="B1831" s="3">
        <v>46272</v>
      </c>
      <c r="C1831" s="2" t="s">
        <v>63</v>
      </c>
      <c r="D1831" s="2" t="s">
        <v>33</v>
      </c>
      <c r="E1831" s="2" t="s">
        <v>16</v>
      </c>
      <c r="F1831" s="2" t="s">
        <v>17</v>
      </c>
      <c r="G1831" s="2" t="s">
        <v>29</v>
      </c>
      <c r="H1831" s="2" t="s">
        <v>30</v>
      </c>
      <c r="I1831" s="2" t="s">
        <v>20</v>
      </c>
      <c r="J1831" s="4">
        <v>2</v>
      </c>
      <c r="K1831" s="5">
        <v>24.15</v>
      </c>
      <c r="L1831" s="6">
        <v>0</v>
      </c>
      <c r="M1831" s="5">
        <v>48.3</v>
      </c>
      <c r="P1831" t="str">
        <f>TEXT(Tableau2[[#This Row],[Date]],"mmmm aaaa")</f>
        <v>septembre 2026</v>
      </c>
    </row>
    <row r="1832" spans="1:16">
      <c r="A1832" s="2" t="s">
        <v>1919</v>
      </c>
      <c r="B1832" s="3">
        <v>46074</v>
      </c>
      <c r="C1832" s="2" t="s">
        <v>92</v>
      </c>
      <c r="D1832" s="2" t="s">
        <v>53</v>
      </c>
      <c r="E1832" s="2" t="s">
        <v>16</v>
      </c>
      <c r="F1832" s="2" t="s">
        <v>17</v>
      </c>
      <c r="G1832" s="2" t="s">
        <v>39</v>
      </c>
      <c r="H1832" s="2" t="s">
        <v>95</v>
      </c>
      <c r="I1832" s="2" t="s">
        <v>20</v>
      </c>
      <c r="J1832" s="4">
        <v>1</v>
      </c>
      <c r="K1832" s="5">
        <v>98.52</v>
      </c>
      <c r="L1832" s="6">
        <v>0</v>
      </c>
      <c r="M1832" s="5">
        <v>98.52</v>
      </c>
      <c r="P1832" t="str">
        <f>TEXT(Tableau2[[#This Row],[Date]],"mmmm aaaa")</f>
        <v>février 2026</v>
      </c>
    </row>
    <row r="1833" spans="1:16">
      <c r="A1833" s="2" t="s">
        <v>1920</v>
      </c>
      <c r="B1833" s="3">
        <v>46056</v>
      </c>
      <c r="C1833" s="2" t="s">
        <v>156</v>
      </c>
      <c r="D1833" s="2" t="s">
        <v>15</v>
      </c>
      <c r="E1833" s="2" t="s">
        <v>38</v>
      </c>
      <c r="F1833" s="2" t="s">
        <v>17</v>
      </c>
      <c r="G1833" s="2" t="s">
        <v>24</v>
      </c>
      <c r="H1833" s="2" t="s">
        <v>82</v>
      </c>
      <c r="I1833" s="2" t="s">
        <v>41</v>
      </c>
      <c r="J1833" s="4">
        <v>1</v>
      </c>
      <c r="K1833" s="5">
        <v>301.64999999999998</v>
      </c>
      <c r="L1833" s="6">
        <v>0</v>
      </c>
      <c r="M1833" s="5">
        <v>301.64999999999998</v>
      </c>
      <c r="P1833" t="str">
        <f>TEXT(Tableau2[[#This Row],[Date]],"mmmm aaaa")</f>
        <v>février 2026</v>
      </c>
    </row>
    <row r="1834" spans="1:16">
      <c r="A1834" s="2" t="s">
        <v>1921</v>
      </c>
      <c r="B1834" s="3">
        <v>46257</v>
      </c>
      <c r="C1834" s="2" t="s">
        <v>66</v>
      </c>
      <c r="D1834" s="2" t="s">
        <v>23</v>
      </c>
      <c r="E1834" s="2" t="s">
        <v>34</v>
      </c>
      <c r="F1834" s="2" t="s">
        <v>17</v>
      </c>
      <c r="G1834" s="2" t="s">
        <v>29</v>
      </c>
      <c r="H1834" s="2" t="s">
        <v>140</v>
      </c>
      <c r="I1834" s="2" t="s">
        <v>26</v>
      </c>
      <c r="J1834" s="4">
        <v>2</v>
      </c>
      <c r="K1834" s="5">
        <v>46.48</v>
      </c>
      <c r="L1834" s="6">
        <v>0.15</v>
      </c>
      <c r="M1834" s="5">
        <v>79.02</v>
      </c>
      <c r="P1834" t="str">
        <f>TEXT(Tableau2[[#This Row],[Date]],"mmmm aaaa")</f>
        <v>août 2026</v>
      </c>
    </row>
    <row r="1835" spans="1:16">
      <c r="A1835" s="2" t="s">
        <v>1922</v>
      </c>
      <c r="B1835" s="3">
        <v>46351</v>
      </c>
      <c r="C1835" s="2" t="s">
        <v>94</v>
      </c>
      <c r="D1835" s="2" t="s">
        <v>15</v>
      </c>
      <c r="E1835" s="2" t="s">
        <v>16</v>
      </c>
      <c r="F1835" s="2" t="s">
        <v>17</v>
      </c>
      <c r="G1835" s="2" t="s">
        <v>18</v>
      </c>
      <c r="H1835" s="2" t="s">
        <v>143</v>
      </c>
      <c r="I1835" s="2" t="s">
        <v>58</v>
      </c>
      <c r="J1835" s="4">
        <v>2</v>
      </c>
      <c r="K1835" s="5">
        <v>66.62</v>
      </c>
      <c r="L1835" s="6">
        <v>0.05</v>
      </c>
      <c r="M1835" s="5">
        <v>126.58</v>
      </c>
      <c r="P1835" t="str">
        <f>TEXT(Tableau2[[#This Row],[Date]],"mmmm aaaa")</f>
        <v>novembre 2026</v>
      </c>
    </row>
    <row r="1836" spans="1:16">
      <c r="A1836" s="2" t="s">
        <v>1923</v>
      </c>
      <c r="B1836" s="3">
        <v>46109</v>
      </c>
      <c r="C1836" s="2" t="s">
        <v>22</v>
      </c>
      <c r="D1836" s="2" t="s">
        <v>23</v>
      </c>
      <c r="E1836" s="2" t="s">
        <v>43</v>
      </c>
      <c r="F1836" s="2" t="s">
        <v>17</v>
      </c>
      <c r="G1836" s="2" t="s">
        <v>18</v>
      </c>
      <c r="H1836" s="2" t="s">
        <v>143</v>
      </c>
      <c r="I1836" s="2" t="s">
        <v>58</v>
      </c>
      <c r="J1836" s="4">
        <v>1</v>
      </c>
      <c r="K1836" s="5">
        <v>72.930000000000007</v>
      </c>
      <c r="L1836" s="6">
        <v>0</v>
      </c>
      <c r="M1836" s="5">
        <v>72.930000000000007</v>
      </c>
      <c r="P1836" t="str">
        <f>TEXT(Tableau2[[#This Row],[Date]],"mmmm aaaa")</f>
        <v>mars 2026</v>
      </c>
    </row>
    <row r="1837" spans="1:16">
      <c r="A1837" s="2" t="s">
        <v>1924</v>
      </c>
      <c r="B1837" s="3">
        <v>46310</v>
      </c>
      <c r="C1837" s="2" t="s">
        <v>63</v>
      </c>
      <c r="D1837" s="2" t="s">
        <v>33</v>
      </c>
      <c r="E1837" s="2" t="s">
        <v>43</v>
      </c>
      <c r="F1837" s="2" t="s">
        <v>17</v>
      </c>
      <c r="G1837" s="2" t="s">
        <v>18</v>
      </c>
      <c r="H1837" s="2" t="s">
        <v>158</v>
      </c>
      <c r="I1837" s="2" t="s">
        <v>58</v>
      </c>
      <c r="J1837" s="4">
        <v>4</v>
      </c>
      <c r="K1837" s="5">
        <v>42.51</v>
      </c>
      <c r="L1837" s="6">
        <v>0.15</v>
      </c>
      <c r="M1837" s="5">
        <v>144.53</v>
      </c>
      <c r="P1837" t="str">
        <f>TEXT(Tableau2[[#This Row],[Date]],"mmmm aaaa")</f>
        <v>octobre 2026</v>
      </c>
    </row>
    <row r="1838" spans="1:16">
      <c r="A1838" s="2" t="s">
        <v>1925</v>
      </c>
      <c r="B1838" s="3">
        <v>46128</v>
      </c>
      <c r="C1838" s="2" t="s">
        <v>60</v>
      </c>
      <c r="D1838" s="2" t="s">
        <v>33</v>
      </c>
      <c r="E1838" s="2" t="s">
        <v>38</v>
      </c>
      <c r="F1838" s="2" t="s">
        <v>28</v>
      </c>
      <c r="G1838" s="2" t="s">
        <v>24</v>
      </c>
      <c r="H1838" s="2" t="s">
        <v>35</v>
      </c>
      <c r="I1838" s="2" t="s">
        <v>20</v>
      </c>
      <c r="J1838" s="4">
        <v>1</v>
      </c>
      <c r="K1838" s="5">
        <v>164.68</v>
      </c>
      <c r="L1838" s="6">
        <v>0</v>
      </c>
      <c r="M1838" s="5">
        <v>164.68</v>
      </c>
      <c r="P1838" t="str">
        <f>TEXT(Tableau2[[#This Row],[Date]],"mmmm aaaa")</f>
        <v>avril 2026</v>
      </c>
    </row>
    <row r="1839" spans="1:16">
      <c r="A1839" s="2" t="s">
        <v>1926</v>
      </c>
      <c r="B1839" s="3">
        <v>46175</v>
      </c>
      <c r="C1839" s="2" t="s">
        <v>86</v>
      </c>
      <c r="D1839" s="2" t="s">
        <v>53</v>
      </c>
      <c r="E1839" s="2" t="s">
        <v>16</v>
      </c>
      <c r="F1839" s="2" t="s">
        <v>28</v>
      </c>
      <c r="G1839" s="2" t="s">
        <v>54</v>
      </c>
      <c r="H1839" s="2" t="s">
        <v>102</v>
      </c>
      <c r="I1839" s="2" t="s">
        <v>75</v>
      </c>
      <c r="J1839" s="4">
        <v>1</v>
      </c>
      <c r="K1839" s="5">
        <v>226.51</v>
      </c>
      <c r="L1839" s="6">
        <v>0</v>
      </c>
      <c r="M1839" s="5">
        <v>226.51</v>
      </c>
      <c r="P1839" t="str">
        <f>TEXT(Tableau2[[#This Row],[Date]],"mmmm aaaa")</f>
        <v>juin 2026</v>
      </c>
    </row>
    <row r="1840" spans="1:16">
      <c r="A1840" s="2" t="s">
        <v>1927</v>
      </c>
      <c r="B1840" s="3">
        <v>46124</v>
      </c>
      <c r="C1840" s="2" t="s">
        <v>94</v>
      </c>
      <c r="D1840" s="2" t="s">
        <v>15</v>
      </c>
      <c r="E1840" s="2" t="s">
        <v>16</v>
      </c>
      <c r="F1840" s="2" t="s">
        <v>28</v>
      </c>
      <c r="G1840" s="2" t="s">
        <v>24</v>
      </c>
      <c r="H1840" s="2" t="s">
        <v>82</v>
      </c>
      <c r="I1840" s="2" t="s">
        <v>20</v>
      </c>
      <c r="J1840" s="4">
        <v>5</v>
      </c>
      <c r="K1840" s="5">
        <v>277.86</v>
      </c>
      <c r="L1840" s="6">
        <v>0</v>
      </c>
      <c r="M1840" s="5">
        <v>1389.3</v>
      </c>
      <c r="P1840" t="str">
        <f>TEXT(Tableau2[[#This Row],[Date]],"mmmm aaaa")</f>
        <v>avril 2026</v>
      </c>
    </row>
    <row r="1841" spans="1:16">
      <c r="A1841" s="2" t="s">
        <v>1928</v>
      </c>
      <c r="B1841" s="3">
        <v>46258</v>
      </c>
      <c r="C1841" s="2" t="s">
        <v>14</v>
      </c>
      <c r="D1841" s="2" t="s">
        <v>15</v>
      </c>
      <c r="E1841" s="2" t="s">
        <v>34</v>
      </c>
      <c r="F1841" s="2" t="s">
        <v>28</v>
      </c>
      <c r="G1841" s="2" t="s">
        <v>39</v>
      </c>
      <c r="H1841" s="2" t="s">
        <v>95</v>
      </c>
      <c r="I1841" s="2" t="s">
        <v>75</v>
      </c>
      <c r="J1841" s="4">
        <v>8</v>
      </c>
      <c r="K1841" s="5">
        <v>93</v>
      </c>
      <c r="L1841" s="6">
        <v>0</v>
      </c>
      <c r="M1841" s="5">
        <v>744</v>
      </c>
      <c r="P1841" t="str">
        <f>TEXT(Tableau2[[#This Row],[Date]],"mmmm aaaa")</f>
        <v>août 2026</v>
      </c>
    </row>
    <row r="1842" spans="1:16">
      <c r="A1842" s="2" t="s">
        <v>1929</v>
      </c>
      <c r="B1842" s="3">
        <v>46147</v>
      </c>
      <c r="C1842" s="2" t="s">
        <v>22</v>
      </c>
      <c r="D1842" s="2" t="s">
        <v>23</v>
      </c>
      <c r="E1842" s="2" t="s">
        <v>43</v>
      </c>
      <c r="F1842" s="2" t="s">
        <v>17</v>
      </c>
      <c r="G1842" s="2" t="s">
        <v>39</v>
      </c>
      <c r="H1842" s="2" t="s">
        <v>95</v>
      </c>
      <c r="I1842" s="2" t="s">
        <v>45</v>
      </c>
      <c r="J1842" s="4">
        <v>4</v>
      </c>
      <c r="K1842" s="5">
        <v>95</v>
      </c>
      <c r="L1842" s="6">
        <v>0</v>
      </c>
      <c r="M1842" s="5">
        <v>380</v>
      </c>
      <c r="P1842" t="str">
        <f>TEXT(Tableau2[[#This Row],[Date]],"mmmm aaaa")</f>
        <v>mai 2026</v>
      </c>
    </row>
    <row r="1843" spans="1:16">
      <c r="A1843" s="2" t="s">
        <v>1930</v>
      </c>
      <c r="B1843" s="3">
        <v>46354</v>
      </c>
      <c r="C1843" s="2" t="s">
        <v>125</v>
      </c>
      <c r="D1843" s="2" t="s">
        <v>23</v>
      </c>
      <c r="E1843" s="2" t="s">
        <v>16</v>
      </c>
      <c r="F1843" s="2" t="s">
        <v>28</v>
      </c>
      <c r="G1843" s="2" t="s">
        <v>18</v>
      </c>
      <c r="H1843" s="2" t="s">
        <v>136</v>
      </c>
      <c r="I1843" s="2" t="s">
        <v>50</v>
      </c>
      <c r="J1843" s="4">
        <v>5</v>
      </c>
      <c r="K1843" s="5">
        <v>29.61</v>
      </c>
      <c r="L1843" s="6">
        <v>0</v>
      </c>
      <c r="M1843" s="5">
        <v>148.05000000000001</v>
      </c>
      <c r="P1843" t="str">
        <f>TEXT(Tableau2[[#This Row],[Date]],"mmmm aaaa")</f>
        <v>novembre 2026</v>
      </c>
    </row>
    <row r="1844" spans="1:16">
      <c r="A1844" s="2" t="s">
        <v>1931</v>
      </c>
      <c r="B1844" s="3">
        <v>46279</v>
      </c>
      <c r="C1844" s="2" t="s">
        <v>60</v>
      </c>
      <c r="D1844" s="2" t="s">
        <v>33</v>
      </c>
      <c r="E1844" s="2" t="s">
        <v>16</v>
      </c>
      <c r="F1844" s="2" t="s">
        <v>28</v>
      </c>
      <c r="G1844" s="2" t="s">
        <v>54</v>
      </c>
      <c r="H1844" s="2" t="s">
        <v>55</v>
      </c>
      <c r="I1844" s="2" t="s">
        <v>45</v>
      </c>
      <c r="J1844" s="4">
        <v>3</v>
      </c>
      <c r="K1844" s="5">
        <v>161.22999999999999</v>
      </c>
      <c r="L1844" s="6">
        <v>0</v>
      </c>
      <c r="M1844" s="5">
        <v>483.69</v>
      </c>
      <c r="P1844" t="str">
        <f>TEXT(Tableau2[[#This Row],[Date]],"mmmm aaaa")</f>
        <v>septembre 2026</v>
      </c>
    </row>
    <row r="1845" spans="1:16">
      <c r="A1845" s="2" t="s">
        <v>1932</v>
      </c>
      <c r="B1845" s="3">
        <v>46086</v>
      </c>
      <c r="C1845" s="2" t="s">
        <v>79</v>
      </c>
      <c r="D1845" s="2" t="s">
        <v>33</v>
      </c>
      <c r="E1845" s="2" t="s">
        <v>34</v>
      </c>
      <c r="F1845" s="2" t="s">
        <v>17</v>
      </c>
      <c r="G1845" s="2" t="s">
        <v>39</v>
      </c>
      <c r="H1845" s="2" t="s">
        <v>95</v>
      </c>
      <c r="I1845" s="2" t="s">
        <v>26</v>
      </c>
      <c r="J1845" s="4">
        <v>8</v>
      </c>
      <c r="K1845" s="5">
        <v>92.87</v>
      </c>
      <c r="L1845" s="6">
        <v>0</v>
      </c>
      <c r="M1845" s="5">
        <v>742.96</v>
      </c>
      <c r="P1845" t="str">
        <f>TEXT(Tableau2[[#This Row],[Date]],"mmmm aaaa")</f>
        <v>mars 2026</v>
      </c>
    </row>
    <row r="1846" spans="1:16">
      <c r="A1846" s="2" t="s">
        <v>1933</v>
      </c>
      <c r="B1846" s="3">
        <v>46170</v>
      </c>
      <c r="C1846" s="2" t="s">
        <v>79</v>
      </c>
      <c r="D1846" s="2" t="s">
        <v>33</v>
      </c>
      <c r="E1846" s="2" t="s">
        <v>34</v>
      </c>
      <c r="F1846" s="2" t="s">
        <v>17</v>
      </c>
      <c r="G1846" s="2" t="s">
        <v>39</v>
      </c>
      <c r="H1846" s="2" t="s">
        <v>40</v>
      </c>
      <c r="I1846" s="2" t="s">
        <v>45</v>
      </c>
      <c r="J1846" s="4">
        <v>1</v>
      </c>
      <c r="K1846" s="5">
        <v>124.71</v>
      </c>
      <c r="L1846" s="6">
        <v>0.05</v>
      </c>
      <c r="M1846" s="5">
        <v>118.47</v>
      </c>
      <c r="P1846" t="str">
        <f>TEXT(Tableau2[[#This Row],[Date]],"mmmm aaaa")</f>
        <v>mai 2026</v>
      </c>
    </row>
    <row r="1847" spans="1:16">
      <c r="A1847" s="2" t="s">
        <v>1934</v>
      </c>
      <c r="B1847" s="3">
        <v>46099</v>
      </c>
      <c r="C1847" s="2" t="s">
        <v>92</v>
      </c>
      <c r="D1847" s="2" t="s">
        <v>53</v>
      </c>
      <c r="E1847" s="2" t="s">
        <v>38</v>
      </c>
      <c r="F1847" s="2" t="s">
        <v>28</v>
      </c>
      <c r="G1847" s="2" t="s">
        <v>29</v>
      </c>
      <c r="H1847" s="2" t="s">
        <v>44</v>
      </c>
      <c r="I1847" s="2" t="s">
        <v>41</v>
      </c>
      <c r="J1847" s="4">
        <v>5</v>
      </c>
      <c r="K1847" s="5">
        <v>39.21</v>
      </c>
      <c r="L1847" s="6">
        <v>0</v>
      </c>
      <c r="M1847" s="5">
        <v>196.05</v>
      </c>
      <c r="P1847" t="str">
        <f>TEXT(Tableau2[[#This Row],[Date]],"mmmm aaaa")</f>
        <v>mars 2026</v>
      </c>
    </row>
    <row r="1848" spans="1:16">
      <c r="A1848" s="2" t="s">
        <v>1935</v>
      </c>
      <c r="B1848" s="3">
        <v>46130</v>
      </c>
      <c r="C1848" s="2" t="s">
        <v>63</v>
      </c>
      <c r="D1848" s="2" t="s">
        <v>33</v>
      </c>
      <c r="E1848" s="2" t="s">
        <v>38</v>
      </c>
      <c r="F1848" s="2" t="s">
        <v>17</v>
      </c>
      <c r="G1848" s="2" t="s">
        <v>24</v>
      </c>
      <c r="H1848" s="2" t="s">
        <v>25</v>
      </c>
      <c r="I1848" s="2" t="s">
        <v>20</v>
      </c>
      <c r="J1848" s="4">
        <v>6</v>
      </c>
      <c r="K1848" s="5">
        <v>121.61</v>
      </c>
      <c r="L1848" s="6">
        <v>0.2</v>
      </c>
      <c r="M1848" s="5">
        <v>583.73</v>
      </c>
      <c r="P1848" t="str">
        <f>TEXT(Tableau2[[#This Row],[Date]],"mmmm aaaa")</f>
        <v>avril 2026</v>
      </c>
    </row>
    <row r="1849" spans="1:16">
      <c r="A1849" s="2" t="s">
        <v>1936</v>
      </c>
      <c r="B1849" s="3">
        <v>46081</v>
      </c>
      <c r="C1849" s="2" t="s">
        <v>101</v>
      </c>
      <c r="D1849" s="2" t="s">
        <v>33</v>
      </c>
      <c r="E1849" s="2" t="s">
        <v>43</v>
      </c>
      <c r="F1849" s="2" t="s">
        <v>17</v>
      </c>
      <c r="G1849" s="2" t="s">
        <v>54</v>
      </c>
      <c r="H1849" s="2" t="s">
        <v>55</v>
      </c>
      <c r="I1849" s="2" t="s">
        <v>58</v>
      </c>
      <c r="J1849" s="4">
        <v>1</v>
      </c>
      <c r="K1849" s="5">
        <v>161.52000000000001</v>
      </c>
      <c r="L1849" s="6">
        <v>0.1</v>
      </c>
      <c r="M1849" s="5">
        <v>145.37</v>
      </c>
      <c r="P1849" t="str">
        <f>TEXT(Tableau2[[#This Row],[Date]],"mmmm aaaa")</f>
        <v>février 2026</v>
      </c>
    </row>
    <row r="1850" spans="1:16">
      <c r="A1850" s="2" t="s">
        <v>1937</v>
      </c>
      <c r="B1850" s="3">
        <v>46297</v>
      </c>
      <c r="C1850" s="2" t="s">
        <v>52</v>
      </c>
      <c r="D1850" s="2" t="s">
        <v>53</v>
      </c>
      <c r="E1850" s="2" t="s">
        <v>16</v>
      </c>
      <c r="F1850" s="2" t="s">
        <v>17</v>
      </c>
      <c r="G1850" s="2" t="s">
        <v>48</v>
      </c>
      <c r="H1850" s="2" t="s">
        <v>77</v>
      </c>
      <c r="I1850" s="2" t="s">
        <v>75</v>
      </c>
      <c r="J1850" s="4">
        <v>3</v>
      </c>
      <c r="K1850" s="5">
        <v>83.71</v>
      </c>
      <c r="L1850" s="6">
        <v>0</v>
      </c>
      <c r="M1850" s="5">
        <v>251.13</v>
      </c>
      <c r="P1850" t="str">
        <f>TEXT(Tableau2[[#This Row],[Date]],"mmmm aaaa")</f>
        <v>octobre 2026</v>
      </c>
    </row>
    <row r="1851" spans="1:16">
      <c r="A1851" s="2" t="s">
        <v>1938</v>
      </c>
      <c r="B1851" s="3">
        <v>46305</v>
      </c>
      <c r="C1851" s="2" t="s">
        <v>57</v>
      </c>
      <c r="D1851" s="2" t="s">
        <v>15</v>
      </c>
      <c r="E1851" s="2" t="s">
        <v>16</v>
      </c>
      <c r="F1851" s="2" t="s">
        <v>17</v>
      </c>
      <c r="G1851" s="2" t="s">
        <v>24</v>
      </c>
      <c r="H1851" s="2" t="s">
        <v>25</v>
      </c>
      <c r="I1851" s="2" t="s">
        <v>45</v>
      </c>
      <c r="J1851" s="4">
        <v>3</v>
      </c>
      <c r="K1851" s="5">
        <v>131.66999999999999</v>
      </c>
      <c r="L1851" s="6">
        <v>0</v>
      </c>
      <c r="M1851" s="5">
        <v>395.01</v>
      </c>
      <c r="P1851" t="str">
        <f>TEXT(Tableau2[[#This Row],[Date]],"mmmm aaaa")</f>
        <v>octobre 2026</v>
      </c>
    </row>
    <row r="1852" spans="1:16">
      <c r="A1852" s="2" t="s">
        <v>1939</v>
      </c>
      <c r="B1852" s="3">
        <v>46182</v>
      </c>
      <c r="C1852" s="2" t="s">
        <v>14</v>
      </c>
      <c r="D1852" s="2" t="s">
        <v>15</v>
      </c>
      <c r="E1852" s="2" t="s">
        <v>38</v>
      </c>
      <c r="F1852" s="2" t="s">
        <v>17</v>
      </c>
      <c r="G1852" s="2" t="s">
        <v>54</v>
      </c>
      <c r="H1852" s="2" t="s">
        <v>55</v>
      </c>
      <c r="I1852" s="2" t="s">
        <v>26</v>
      </c>
      <c r="J1852" s="4">
        <v>1</v>
      </c>
      <c r="K1852" s="5">
        <v>161.07</v>
      </c>
      <c r="L1852" s="6">
        <v>0</v>
      </c>
      <c r="M1852" s="5">
        <v>161.07</v>
      </c>
      <c r="P1852" t="str">
        <f>TEXT(Tableau2[[#This Row],[Date]],"mmmm aaaa")</f>
        <v>juin 2026</v>
      </c>
    </row>
    <row r="1853" spans="1:16">
      <c r="A1853" s="2" t="s">
        <v>1940</v>
      </c>
      <c r="B1853" s="3">
        <v>46200</v>
      </c>
      <c r="C1853" s="2" t="s">
        <v>52</v>
      </c>
      <c r="D1853" s="2" t="s">
        <v>53</v>
      </c>
      <c r="E1853" s="2" t="s">
        <v>16</v>
      </c>
      <c r="F1853" s="2" t="s">
        <v>28</v>
      </c>
      <c r="G1853" s="2" t="s">
        <v>18</v>
      </c>
      <c r="H1853" s="2" t="s">
        <v>136</v>
      </c>
      <c r="I1853" s="2" t="s">
        <v>41</v>
      </c>
      <c r="J1853" s="4">
        <v>1</v>
      </c>
      <c r="K1853" s="5">
        <v>32.89</v>
      </c>
      <c r="L1853" s="6">
        <v>0</v>
      </c>
      <c r="M1853" s="5">
        <v>32.89</v>
      </c>
      <c r="P1853" t="str">
        <f>TEXT(Tableau2[[#This Row],[Date]],"mmmm aaaa")</f>
        <v>juin 2026</v>
      </c>
    </row>
    <row r="1854" spans="1:16">
      <c r="A1854" s="2" t="s">
        <v>1941</v>
      </c>
      <c r="B1854" s="3">
        <v>46074</v>
      </c>
      <c r="C1854" s="2" t="s">
        <v>125</v>
      </c>
      <c r="D1854" s="2" t="s">
        <v>23</v>
      </c>
      <c r="E1854" s="2" t="s">
        <v>16</v>
      </c>
      <c r="F1854" s="2" t="s">
        <v>28</v>
      </c>
      <c r="G1854" s="2" t="s">
        <v>39</v>
      </c>
      <c r="H1854" s="2" t="s">
        <v>71</v>
      </c>
      <c r="I1854" s="2" t="s">
        <v>36</v>
      </c>
      <c r="J1854" s="4">
        <v>1</v>
      </c>
      <c r="K1854" s="5">
        <v>119.2</v>
      </c>
      <c r="L1854" s="6">
        <v>0.05</v>
      </c>
      <c r="M1854" s="5">
        <v>113.24</v>
      </c>
      <c r="P1854" t="str">
        <f>TEXT(Tableau2[[#This Row],[Date]],"mmmm aaaa")</f>
        <v>février 2026</v>
      </c>
    </row>
    <row r="1855" spans="1:16">
      <c r="A1855" s="2" t="s">
        <v>1942</v>
      </c>
      <c r="B1855" s="3">
        <v>46180</v>
      </c>
      <c r="C1855" s="2" t="s">
        <v>60</v>
      </c>
      <c r="D1855" s="2" t="s">
        <v>33</v>
      </c>
      <c r="E1855" s="2" t="s">
        <v>34</v>
      </c>
      <c r="F1855" s="2" t="s">
        <v>17</v>
      </c>
      <c r="G1855" s="2" t="s">
        <v>48</v>
      </c>
      <c r="H1855" s="2" t="s">
        <v>49</v>
      </c>
      <c r="I1855" s="2" t="s">
        <v>50</v>
      </c>
      <c r="J1855" s="4">
        <v>1</v>
      </c>
      <c r="K1855" s="5">
        <v>56.98</v>
      </c>
      <c r="L1855" s="6">
        <v>0.05</v>
      </c>
      <c r="M1855" s="5">
        <v>54.13</v>
      </c>
      <c r="P1855" t="str">
        <f>TEXT(Tableau2[[#This Row],[Date]],"mmmm aaaa")</f>
        <v>juin 2026</v>
      </c>
    </row>
    <row r="1856" spans="1:16">
      <c r="A1856" s="2" t="s">
        <v>1943</v>
      </c>
      <c r="B1856" s="3">
        <v>46136</v>
      </c>
      <c r="C1856" s="2" t="s">
        <v>94</v>
      </c>
      <c r="D1856" s="2" t="s">
        <v>15</v>
      </c>
      <c r="E1856" s="2" t="s">
        <v>16</v>
      </c>
      <c r="F1856" s="2" t="s">
        <v>17</v>
      </c>
      <c r="G1856" s="2" t="s">
        <v>29</v>
      </c>
      <c r="H1856" s="2" t="s">
        <v>140</v>
      </c>
      <c r="I1856" s="2" t="s">
        <v>50</v>
      </c>
      <c r="J1856" s="4">
        <v>1</v>
      </c>
      <c r="K1856" s="5">
        <v>46.49</v>
      </c>
      <c r="L1856" s="6">
        <v>0</v>
      </c>
      <c r="M1856" s="5">
        <v>46.49</v>
      </c>
      <c r="P1856" t="str">
        <f>TEXT(Tableau2[[#This Row],[Date]],"mmmm aaaa")</f>
        <v>avril 2026</v>
      </c>
    </row>
    <row r="1857" spans="1:16">
      <c r="A1857" s="2" t="s">
        <v>1944</v>
      </c>
      <c r="B1857" s="3">
        <v>46249</v>
      </c>
      <c r="C1857" s="2" t="s">
        <v>52</v>
      </c>
      <c r="D1857" s="2" t="s">
        <v>53</v>
      </c>
      <c r="E1857" s="2" t="s">
        <v>16</v>
      </c>
      <c r="F1857" s="2" t="s">
        <v>17</v>
      </c>
      <c r="G1857" s="2" t="s">
        <v>24</v>
      </c>
      <c r="H1857" s="2" t="s">
        <v>61</v>
      </c>
      <c r="I1857" s="2" t="s">
        <v>50</v>
      </c>
      <c r="J1857" s="4">
        <v>6</v>
      </c>
      <c r="K1857" s="5">
        <v>247.2</v>
      </c>
      <c r="L1857" s="6">
        <v>0</v>
      </c>
      <c r="M1857" s="5">
        <v>1483.2</v>
      </c>
      <c r="P1857" t="str">
        <f>TEXT(Tableau2[[#This Row],[Date]],"mmmm aaaa")</f>
        <v>août 2026</v>
      </c>
    </row>
    <row r="1858" spans="1:16">
      <c r="A1858" s="2" t="s">
        <v>1945</v>
      </c>
      <c r="B1858" s="3">
        <v>46358</v>
      </c>
      <c r="C1858" s="2" t="s">
        <v>164</v>
      </c>
      <c r="D1858" s="2" t="s">
        <v>53</v>
      </c>
      <c r="E1858" s="2" t="s">
        <v>16</v>
      </c>
      <c r="F1858" s="2" t="s">
        <v>28</v>
      </c>
      <c r="G1858" s="2" t="s">
        <v>29</v>
      </c>
      <c r="H1858" s="2" t="s">
        <v>140</v>
      </c>
      <c r="I1858" s="2" t="s">
        <v>41</v>
      </c>
      <c r="J1858" s="4">
        <v>2</v>
      </c>
      <c r="K1858" s="5">
        <v>44.78</v>
      </c>
      <c r="L1858" s="6">
        <v>0</v>
      </c>
      <c r="M1858" s="5">
        <v>89.56</v>
      </c>
      <c r="P1858" t="str">
        <f>TEXT(Tableau2[[#This Row],[Date]],"mmmm aaaa")</f>
        <v>décembre 2026</v>
      </c>
    </row>
    <row r="1859" spans="1:16">
      <c r="A1859" s="2" t="s">
        <v>1946</v>
      </c>
      <c r="B1859" s="3">
        <v>46284</v>
      </c>
      <c r="C1859" s="2" t="s">
        <v>94</v>
      </c>
      <c r="D1859" s="2" t="s">
        <v>15</v>
      </c>
      <c r="E1859" s="2" t="s">
        <v>16</v>
      </c>
      <c r="F1859" s="2" t="s">
        <v>17</v>
      </c>
      <c r="G1859" s="2" t="s">
        <v>39</v>
      </c>
      <c r="H1859" s="2" t="s">
        <v>71</v>
      </c>
      <c r="I1859" s="2" t="s">
        <v>36</v>
      </c>
      <c r="J1859" s="4">
        <v>8</v>
      </c>
      <c r="K1859" s="5">
        <v>116.77</v>
      </c>
      <c r="L1859" s="6">
        <v>0</v>
      </c>
      <c r="M1859" s="5">
        <v>934.16</v>
      </c>
      <c r="P1859" t="str">
        <f>TEXT(Tableau2[[#This Row],[Date]],"mmmm aaaa")</f>
        <v>septembre 2026</v>
      </c>
    </row>
    <row r="1860" spans="1:16">
      <c r="A1860" s="2" t="s">
        <v>1947</v>
      </c>
      <c r="B1860" s="3">
        <v>46202</v>
      </c>
      <c r="C1860" s="2" t="s">
        <v>169</v>
      </c>
      <c r="D1860" s="2" t="s">
        <v>33</v>
      </c>
      <c r="E1860" s="2" t="s">
        <v>16</v>
      </c>
      <c r="F1860" s="2" t="s">
        <v>17</v>
      </c>
      <c r="G1860" s="2" t="s">
        <v>48</v>
      </c>
      <c r="H1860" s="2" t="s">
        <v>49</v>
      </c>
      <c r="I1860" s="2" t="s">
        <v>50</v>
      </c>
      <c r="J1860" s="4">
        <v>1</v>
      </c>
      <c r="K1860" s="5">
        <v>58.76</v>
      </c>
      <c r="L1860" s="6">
        <v>0.1</v>
      </c>
      <c r="M1860" s="5">
        <v>52.88</v>
      </c>
      <c r="P1860" t="str">
        <f>TEXT(Tableau2[[#This Row],[Date]],"mmmm aaaa")</f>
        <v>juin 2026</v>
      </c>
    </row>
    <row r="1861" spans="1:16">
      <c r="A1861" s="2" t="s">
        <v>1948</v>
      </c>
      <c r="B1861" s="3">
        <v>46380</v>
      </c>
      <c r="C1861" s="2" t="s">
        <v>66</v>
      </c>
      <c r="D1861" s="2" t="s">
        <v>23</v>
      </c>
      <c r="E1861" s="2" t="s">
        <v>34</v>
      </c>
      <c r="F1861" s="2" t="s">
        <v>17</v>
      </c>
      <c r="G1861" s="2" t="s">
        <v>29</v>
      </c>
      <c r="H1861" s="2" t="s">
        <v>30</v>
      </c>
      <c r="I1861" s="2" t="s">
        <v>75</v>
      </c>
      <c r="J1861" s="4">
        <v>18</v>
      </c>
      <c r="K1861" s="5">
        <v>25.88</v>
      </c>
      <c r="L1861" s="6">
        <v>0.05</v>
      </c>
      <c r="M1861" s="5">
        <v>442.55</v>
      </c>
      <c r="P1861" t="str">
        <f>TEXT(Tableau2[[#This Row],[Date]],"mmmm aaaa")</f>
        <v>décembre 2026</v>
      </c>
    </row>
    <row r="1862" spans="1:16">
      <c r="A1862" s="2" t="s">
        <v>1949</v>
      </c>
      <c r="B1862" s="3">
        <v>46110</v>
      </c>
      <c r="C1862" s="2" t="s">
        <v>164</v>
      </c>
      <c r="D1862" s="2" t="s">
        <v>53</v>
      </c>
      <c r="E1862" s="2" t="s">
        <v>38</v>
      </c>
      <c r="F1862" s="2" t="s">
        <v>17</v>
      </c>
      <c r="G1862" s="2" t="s">
        <v>24</v>
      </c>
      <c r="H1862" s="2" t="s">
        <v>82</v>
      </c>
      <c r="I1862" s="2" t="s">
        <v>58</v>
      </c>
      <c r="J1862" s="4">
        <v>1</v>
      </c>
      <c r="K1862" s="5">
        <v>287.86</v>
      </c>
      <c r="L1862" s="6">
        <v>0.3</v>
      </c>
      <c r="M1862" s="5">
        <v>201.5</v>
      </c>
      <c r="P1862" t="str">
        <f>TEXT(Tableau2[[#This Row],[Date]],"mmmm aaaa")</f>
        <v>mars 2026</v>
      </c>
    </row>
    <row r="1863" spans="1:16">
      <c r="A1863" s="2" t="s">
        <v>1950</v>
      </c>
      <c r="B1863" s="3">
        <v>46213</v>
      </c>
      <c r="C1863" s="2" t="s">
        <v>116</v>
      </c>
      <c r="D1863" s="2" t="s">
        <v>15</v>
      </c>
      <c r="E1863" s="2" t="s">
        <v>16</v>
      </c>
      <c r="F1863" s="2" t="s">
        <v>17</v>
      </c>
      <c r="G1863" s="2" t="s">
        <v>24</v>
      </c>
      <c r="H1863" s="2" t="s">
        <v>61</v>
      </c>
      <c r="I1863" s="2" t="s">
        <v>45</v>
      </c>
      <c r="J1863" s="4">
        <v>1</v>
      </c>
      <c r="K1863" s="5">
        <v>253.75</v>
      </c>
      <c r="L1863" s="6">
        <v>0.1</v>
      </c>
      <c r="M1863" s="5">
        <v>228.38</v>
      </c>
      <c r="P1863" t="str">
        <f>TEXT(Tableau2[[#This Row],[Date]],"mmmm aaaa")</f>
        <v>juillet 2026</v>
      </c>
    </row>
    <row r="1864" spans="1:16">
      <c r="A1864" s="2" t="s">
        <v>1951</v>
      </c>
      <c r="B1864" s="3">
        <v>46289</v>
      </c>
      <c r="C1864" s="2" t="s">
        <v>57</v>
      </c>
      <c r="D1864" s="2" t="s">
        <v>15</v>
      </c>
      <c r="E1864" s="2" t="s">
        <v>16</v>
      </c>
      <c r="F1864" s="2" t="s">
        <v>28</v>
      </c>
      <c r="G1864" s="2" t="s">
        <v>48</v>
      </c>
      <c r="H1864" s="2" t="s">
        <v>77</v>
      </c>
      <c r="I1864" s="2" t="s">
        <v>36</v>
      </c>
      <c r="J1864" s="4">
        <v>1</v>
      </c>
      <c r="K1864" s="5">
        <v>85.35</v>
      </c>
      <c r="L1864" s="6">
        <v>0.1</v>
      </c>
      <c r="M1864" s="5">
        <v>76.81</v>
      </c>
      <c r="P1864" t="str">
        <f>TEXT(Tableau2[[#This Row],[Date]],"mmmm aaaa")</f>
        <v>septembre 2026</v>
      </c>
    </row>
    <row r="1865" spans="1:16">
      <c r="A1865" s="2" t="s">
        <v>1952</v>
      </c>
      <c r="B1865" s="3">
        <v>46088</v>
      </c>
      <c r="C1865" s="2" t="s">
        <v>106</v>
      </c>
      <c r="D1865" s="2" t="s">
        <v>23</v>
      </c>
      <c r="E1865" s="2" t="s">
        <v>34</v>
      </c>
      <c r="F1865" s="2" t="s">
        <v>17</v>
      </c>
      <c r="G1865" s="2" t="s">
        <v>18</v>
      </c>
      <c r="H1865" s="2" t="s">
        <v>143</v>
      </c>
      <c r="I1865" s="2" t="s">
        <v>36</v>
      </c>
      <c r="J1865" s="4">
        <v>6</v>
      </c>
      <c r="K1865" s="5">
        <v>63.84</v>
      </c>
      <c r="L1865" s="6">
        <v>0.05</v>
      </c>
      <c r="M1865" s="5">
        <v>363.89</v>
      </c>
      <c r="P1865" t="str">
        <f>TEXT(Tableau2[[#This Row],[Date]],"mmmm aaaa")</f>
        <v>mars 2026</v>
      </c>
    </row>
    <row r="1866" spans="1:16">
      <c r="A1866" s="2" t="s">
        <v>1953</v>
      </c>
      <c r="B1866" s="3">
        <v>46144</v>
      </c>
      <c r="C1866" s="2" t="s">
        <v>106</v>
      </c>
      <c r="D1866" s="2" t="s">
        <v>23</v>
      </c>
      <c r="E1866" s="2" t="s">
        <v>16</v>
      </c>
      <c r="F1866" s="2" t="s">
        <v>17</v>
      </c>
      <c r="G1866" s="2" t="s">
        <v>39</v>
      </c>
      <c r="H1866" s="2" t="s">
        <v>71</v>
      </c>
      <c r="I1866" s="2" t="s">
        <v>58</v>
      </c>
      <c r="J1866" s="4">
        <v>2</v>
      </c>
      <c r="K1866" s="5">
        <v>124.15</v>
      </c>
      <c r="L1866" s="6">
        <v>0</v>
      </c>
      <c r="M1866" s="5">
        <v>248.3</v>
      </c>
      <c r="P1866" t="str">
        <f>TEXT(Tableau2[[#This Row],[Date]],"mmmm aaaa")</f>
        <v>mai 2026</v>
      </c>
    </row>
    <row r="1867" spans="1:16">
      <c r="A1867" s="2" t="s">
        <v>1954</v>
      </c>
      <c r="B1867" s="3">
        <v>46238</v>
      </c>
      <c r="C1867" s="2" t="s">
        <v>119</v>
      </c>
      <c r="D1867" s="2" t="s">
        <v>15</v>
      </c>
      <c r="E1867" s="2" t="s">
        <v>34</v>
      </c>
      <c r="F1867" s="2" t="s">
        <v>17</v>
      </c>
      <c r="G1867" s="2" t="s">
        <v>24</v>
      </c>
      <c r="H1867" s="2" t="s">
        <v>35</v>
      </c>
      <c r="I1867" s="2" t="s">
        <v>36</v>
      </c>
      <c r="J1867" s="4">
        <v>3</v>
      </c>
      <c r="K1867" s="5">
        <v>157.88</v>
      </c>
      <c r="L1867" s="6">
        <v>0.05</v>
      </c>
      <c r="M1867" s="5">
        <v>449.96</v>
      </c>
      <c r="P1867" t="str">
        <f>TEXT(Tableau2[[#This Row],[Date]],"mmmm aaaa")</f>
        <v>août 2026</v>
      </c>
    </row>
    <row r="1868" spans="1:16">
      <c r="A1868" s="2" t="s">
        <v>1955</v>
      </c>
      <c r="B1868" s="3">
        <v>46088</v>
      </c>
      <c r="C1868" s="2" t="s">
        <v>63</v>
      </c>
      <c r="D1868" s="2" t="s">
        <v>33</v>
      </c>
      <c r="E1868" s="2" t="s">
        <v>43</v>
      </c>
      <c r="F1868" s="2" t="s">
        <v>28</v>
      </c>
      <c r="G1868" s="2" t="s">
        <v>39</v>
      </c>
      <c r="H1868" s="2" t="s">
        <v>40</v>
      </c>
      <c r="I1868" s="2" t="s">
        <v>36</v>
      </c>
      <c r="J1868" s="4">
        <v>3</v>
      </c>
      <c r="K1868" s="5">
        <v>128.15</v>
      </c>
      <c r="L1868" s="6">
        <v>0</v>
      </c>
      <c r="M1868" s="5">
        <v>384.45</v>
      </c>
      <c r="P1868" t="str">
        <f>TEXT(Tableau2[[#This Row],[Date]],"mmmm aaaa")</f>
        <v>mars 2026</v>
      </c>
    </row>
    <row r="1869" spans="1:16">
      <c r="A1869" s="2" t="s">
        <v>1956</v>
      </c>
      <c r="B1869" s="3">
        <v>46078</v>
      </c>
      <c r="C1869" s="2" t="s">
        <v>90</v>
      </c>
      <c r="D1869" s="2" t="s">
        <v>53</v>
      </c>
      <c r="E1869" s="2" t="s">
        <v>16</v>
      </c>
      <c r="F1869" s="2" t="s">
        <v>28</v>
      </c>
      <c r="G1869" s="2" t="s">
        <v>48</v>
      </c>
      <c r="H1869" s="2" t="s">
        <v>88</v>
      </c>
      <c r="I1869" s="2" t="s">
        <v>41</v>
      </c>
      <c r="J1869" s="4">
        <v>1</v>
      </c>
      <c r="K1869" s="5">
        <v>79.23</v>
      </c>
      <c r="L1869" s="6">
        <v>0</v>
      </c>
      <c r="M1869" s="5">
        <v>79.23</v>
      </c>
      <c r="P1869" t="str">
        <f>TEXT(Tableau2[[#This Row],[Date]],"mmmm aaaa")</f>
        <v>février 2026</v>
      </c>
    </row>
    <row r="1870" spans="1:16">
      <c r="A1870" s="2" t="s">
        <v>1957</v>
      </c>
      <c r="B1870" s="3">
        <v>46081</v>
      </c>
      <c r="C1870" s="2" t="s">
        <v>106</v>
      </c>
      <c r="D1870" s="2" t="s">
        <v>23</v>
      </c>
      <c r="E1870" s="2" t="s">
        <v>43</v>
      </c>
      <c r="F1870" s="2" t="s">
        <v>17</v>
      </c>
      <c r="G1870" s="2" t="s">
        <v>39</v>
      </c>
      <c r="H1870" s="2" t="s">
        <v>40</v>
      </c>
      <c r="I1870" s="2" t="s">
        <v>20</v>
      </c>
      <c r="J1870" s="4">
        <v>1</v>
      </c>
      <c r="K1870" s="5">
        <v>126.44</v>
      </c>
      <c r="L1870" s="6">
        <v>0.1</v>
      </c>
      <c r="M1870" s="5">
        <v>113.8</v>
      </c>
      <c r="P1870" t="str">
        <f>TEXT(Tableau2[[#This Row],[Date]],"mmmm aaaa")</f>
        <v>février 2026</v>
      </c>
    </row>
    <row r="1871" spans="1:16">
      <c r="A1871" s="2" t="s">
        <v>1958</v>
      </c>
      <c r="B1871" s="3">
        <v>46260</v>
      </c>
      <c r="C1871" s="2" t="s">
        <v>116</v>
      </c>
      <c r="D1871" s="2" t="s">
        <v>15</v>
      </c>
      <c r="E1871" s="2" t="s">
        <v>16</v>
      </c>
      <c r="F1871" s="2" t="s">
        <v>17</v>
      </c>
      <c r="G1871" s="2" t="s">
        <v>48</v>
      </c>
      <c r="H1871" s="2" t="s">
        <v>49</v>
      </c>
      <c r="I1871" s="2" t="s">
        <v>50</v>
      </c>
      <c r="J1871" s="4">
        <v>1</v>
      </c>
      <c r="K1871" s="5">
        <v>57.25</v>
      </c>
      <c r="L1871" s="6">
        <v>0.2</v>
      </c>
      <c r="M1871" s="5">
        <v>45.8</v>
      </c>
      <c r="P1871" t="str">
        <f>TEXT(Tableau2[[#This Row],[Date]],"mmmm aaaa")</f>
        <v>août 2026</v>
      </c>
    </row>
    <row r="1872" spans="1:16">
      <c r="A1872" s="2" t="s">
        <v>1959</v>
      </c>
      <c r="B1872" s="3">
        <v>46383</v>
      </c>
      <c r="C1872" s="2" t="s">
        <v>63</v>
      </c>
      <c r="D1872" s="2" t="s">
        <v>33</v>
      </c>
      <c r="E1872" s="2" t="s">
        <v>43</v>
      </c>
      <c r="F1872" s="2" t="s">
        <v>17</v>
      </c>
      <c r="G1872" s="2" t="s">
        <v>29</v>
      </c>
      <c r="H1872" s="2" t="s">
        <v>44</v>
      </c>
      <c r="I1872" s="2" t="s">
        <v>26</v>
      </c>
      <c r="J1872" s="4">
        <v>1</v>
      </c>
      <c r="K1872" s="5">
        <v>38.979999999999997</v>
      </c>
      <c r="L1872" s="6">
        <v>0</v>
      </c>
      <c r="M1872" s="5">
        <v>38.979999999999997</v>
      </c>
      <c r="P1872" t="str">
        <f>TEXT(Tableau2[[#This Row],[Date]],"mmmm aaaa")</f>
        <v>décembre 2026</v>
      </c>
    </row>
    <row r="1873" spans="1:16">
      <c r="A1873" s="2" t="s">
        <v>1960</v>
      </c>
      <c r="B1873" s="3">
        <v>46302</v>
      </c>
      <c r="C1873" s="2" t="s">
        <v>79</v>
      </c>
      <c r="D1873" s="2" t="s">
        <v>33</v>
      </c>
      <c r="E1873" s="2" t="s">
        <v>34</v>
      </c>
      <c r="F1873" s="2" t="s">
        <v>17</v>
      </c>
      <c r="G1873" s="2" t="s">
        <v>29</v>
      </c>
      <c r="H1873" s="2" t="s">
        <v>44</v>
      </c>
      <c r="I1873" s="2" t="s">
        <v>36</v>
      </c>
      <c r="J1873" s="4">
        <v>5</v>
      </c>
      <c r="K1873" s="5">
        <v>38.729999999999997</v>
      </c>
      <c r="L1873" s="6">
        <v>0</v>
      </c>
      <c r="M1873" s="5">
        <v>193.65</v>
      </c>
      <c r="P1873" t="str">
        <f>TEXT(Tableau2[[#This Row],[Date]],"mmmm aaaa")</f>
        <v>octobre 2026</v>
      </c>
    </row>
    <row r="1874" spans="1:16">
      <c r="A1874" s="2" t="s">
        <v>1961</v>
      </c>
      <c r="B1874" s="3">
        <v>46349</v>
      </c>
      <c r="C1874" s="2" t="s">
        <v>14</v>
      </c>
      <c r="D1874" s="2" t="s">
        <v>15</v>
      </c>
      <c r="E1874" s="2" t="s">
        <v>34</v>
      </c>
      <c r="F1874" s="2" t="s">
        <v>17</v>
      </c>
      <c r="G1874" s="2" t="s">
        <v>18</v>
      </c>
      <c r="H1874" s="2" t="s">
        <v>19</v>
      </c>
      <c r="I1874" s="2" t="s">
        <v>36</v>
      </c>
      <c r="J1874" s="4">
        <v>2</v>
      </c>
      <c r="K1874" s="5">
        <v>53.31</v>
      </c>
      <c r="L1874" s="6">
        <v>0</v>
      </c>
      <c r="M1874" s="5">
        <v>106.62</v>
      </c>
      <c r="P1874" t="str">
        <f>TEXT(Tableau2[[#This Row],[Date]],"mmmm aaaa")</f>
        <v>novembre 2026</v>
      </c>
    </row>
    <row r="1875" spans="1:16">
      <c r="A1875" s="2" t="s">
        <v>1962</v>
      </c>
      <c r="B1875" s="3">
        <v>46364</v>
      </c>
      <c r="C1875" s="2" t="s">
        <v>92</v>
      </c>
      <c r="D1875" s="2" t="s">
        <v>53</v>
      </c>
      <c r="E1875" s="2" t="s">
        <v>16</v>
      </c>
      <c r="F1875" s="2" t="s">
        <v>17</v>
      </c>
      <c r="G1875" s="2" t="s">
        <v>18</v>
      </c>
      <c r="H1875" s="2" t="s">
        <v>19</v>
      </c>
      <c r="I1875" s="2" t="s">
        <v>75</v>
      </c>
      <c r="J1875" s="4">
        <v>2</v>
      </c>
      <c r="K1875" s="5">
        <v>51.53</v>
      </c>
      <c r="L1875" s="6">
        <v>0.05</v>
      </c>
      <c r="M1875" s="5">
        <v>97.91</v>
      </c>
      <c r="P1875" t="str">
        <f>TEXT(Tableau2[[#This Row],[Date]],"mmmm aaaa")</f>
        <v>décembre 2026</v>
      </c>
    </row>
    <row r="1876" spans="1:16">
      <c r="A1876" s="2" t="s">
        <v>1963</v>
      </c>
      <c r="B1876" s="3">
        <v>46206</v>
      </c>
      <c r="C1876" s="2" t="s">
        <v>94</v>
      </c>
      <c r="D1876" s="2" t="s">
        <v>15</v>
      </c>
      <c r="E1876" s="2" t="s">
        <v>43</v>
      </c>
      <c r="F1876" s="2" t="s">
        <v>17</v>
      </c>
      <c r="G1876" s="2" t="s">
        <v>18</v>
      </c>
      <c r="H1876" s="2" t="s">
        <v>158</v>
      </c>
      <c r="I1876" s="2" t="s">
        <v>50</v>
      </c>
      <c r="J1876" s="4">
        <v>1</v>
      </c>
      <c r="K1876" s="5">
        <v>44.42</v>
      </c>
      <c r="L1876" s="6">
        <v>0.05</v>
      </c>
      <c r="M1876" s="5">
        <v>42.2</v>
      </c>
      <c r="P1876" t="str">
        <f>TEXT(Tableau2[[#This Row],[Date]],"mmmm aaaa")</f>
        <v>juillet 2026</v>
      </c>
    </row>
    <row r="1877" spans="1:16">
      <c r="A1877" s="2" t="s">
        <v>1964</v>
      </c>
      <c r="B1877" s="3">
        <v>46281</v>
      </c>
      <c r="C1877" s="2" t="s">
        <v>66</v>
      </c>
      <c r="D1877" s="2" t="s">
        <v>23</v>
      </c>
      <c r="E1877" s="2" t="s">
        <v>38</v>
      </c>
      <c r="F1877" s="2" t="s">
        <v>17</v>
      </c>
      <c r="G1877" s="2" t="s">
        <v>18</v>
      </c>
      <c r="H1877" s="2" t="s">
        <v>136</v>
      </c>
      <c r="I1877" s="2" t="s">
        <v>45</v>
      </c>
      <c r="J1877" s="4">
        <v>5</v>
      </c>
      <c r="K1877" s="5">
        <v>32.630000000000003</v>
      </c>
      <c r="L1877" s="6">
        <v>0</v>
      </c>
      <c r="M1877" s="5">
        <v>163.15</v>
      </c>
      <c r="P1877" t="str">
        <f>TEXT(Tableau2[[#This Row],[Date]],"mmmm aaaa")</f>
        <v>septembre 2026</v>
      </c>
    </row>
    <row r="1878" spans="1:16">
      <c r="A1878" s="2" t="s">
        <v>1965</v>
      </c>
      <c r="B1878" s="3">
        <v>46051</v>
      </c>
      <c r="C1878" s="2" t="s">
        <v>14</v>
      </c>
      <c r="D1878" s="2" t="s">
        <v>15</v>
      </c>
      <c r="E1878" s="2" t="s">
        <v>34</v>
      </c>
      <c r="F1878" s="2" t="s">
        <v>17</v>
      </c>
      <c r="G1878" s="2" t="s">
        <v>18</v>
      </c>
      <c r="H1878" s="2" t="s">
        <v>143</v>
      </c>
      <c r="I1878" s="2" t="s">
        <v>41</v>
      </c>
      <c r="J1878" s="4">
        <v>1</v>
      </c>
      <c r="K1878" s="5">
        <v>63.48</v>
      </c>
      <c r="L1878" s="6">
        <v>0</v>
      </c>
      <c r="M1878" s="5">
        <v>63.48</v>
      </c>
      <c r="P1878" t="str">
        <f>TEXT(Tableau2[[#This Row],[Date]],"mmmm aaaa")</f>
        <v>janvier 2026</v>
      </c>
    </row>
    <row r="1879" spans="1:16">
      <c r="A1879" s="2" t="s">
        <v>1966</v>
      </c>
      <c r="B1879" s="3">
        <v>46165</v>
      </c>
      <c r="C1879" s="2" t="s">
        <v>106</v>
      </c>
      <c r="D1879" s="2" t="s">
        <v>23</v>
      </c>
      <c r="E1879" s="2" t="s">
        <v>34</v>
      </c>
      <c r="F1879" s="2" t="s">
        <v>28</v>
      </c>
      <c r="G1879" s="2" t="s">
        <v>39</v>
      </c>
      <c r="H1879" s="2" t="s">
        <v>71</v>
      </c>
      <c r="I1879" s="2" t="s">
        <v>36</v>
      </c>
      <c r="J1879" s="4">
        <v>2</v>
      </c>
      <c r="K1879" s="5">
        <v>121.86</v>
      </c>
      <c r="L1879" s="6">
        <v>0.15</v>
      </c>
      <c r="M1879" s="5">
        <v>207.16</v>
      </c>
      <c r="P1879" t="str">
        <f>TEXT(Tableau2[[#This Row],[Date]],"mmmm aaaa")</f>
        <v>mai 2026</v>
      </c>
    </row>
    <row r="1880" spans="1:16">
      <c r="A1880" s="2" t="s">
        <v>1967</v>
      </c>
      <c r="B1880" s="3">
        <v>46362</v>
      </c>
      <c r="C1880" s="2" t="s">
        <v>63</v>
      </c>
      <c r="D1880" s="2" t="s">
        <v>33</v>
      </c>
      <c r="E1880" s="2" t="s">
        <v>16</v>
      </c>
      <c r="F1880" s="2" t="s">
        <v>28</v>
      </c>
      <c r="G1880" s="2" t="s">
        <v>39</v>
      </c>
      <c r="H1880" s="2" t="s">
        <v>95</v>
      </c>
      <c r="I1880" s="2" t="s">
        <v>50</v>
      </c>
      <c r="J1880" s="4">
        <v>6</v>
      </c>
      <c r="K1880" s="5">
        <v>97.59</v>
      </c>
      <c r="L1880" s="6">
        <v>0.05</v>
      </c>
      <c r="M1880" s="5">
        <v>556.26</v>
      </c>
      <c r="P1880" t="str">
        <f>TEXT(Tableau2[[#This Row],[Date]],"mmmm aaaa")</f>
        <v>décembre 2026</v>
      </c>
    </row>
    <row r="1881" spans="1:16">
      <c r="A1881" s="2" t="s">
        <v>1968</v>
      </c>
      <c r="B1881" s="3">
        <v>46354</v>
      </c>
      <c r="C1881" s="2" t="s">
        <v>14</v>
      </c>
      <c r="D1881" s="2" t="s">
        <v>15</v>
      </c>
      <c r="E1881" s="2" t="s">
        <v>16</v>
      </c>
      <c r="F1881" s="2" t="s">
        <v>28</v>
      </c>
      <c r="G1881" s="2" t="s">
        <v>24</v>
      </c>
      <c r="H1881" s="2" t="s">
        <v>61</v>
      </c>
      <c r="I1881" s="2" t="s">
        <v>50</v>
      </c>
      <c r="J1881" s="4">
        <v>10</v>
      </c>
      <c r="K1881" s="5">
        <v>237.43</v>
      </c>
      <c r="L1881" s="6">
        <v>0</v>
      </c>
      <c r="M1881" s="5">
        <v>2374.3000000000002</v>
      </c>
      <c r="P1881" t="str">
        <f>TEXT(Tableau2[[#This Row],[Date]],"mmmm aaaa")</f>
        <v>novembre 2026</v>
      </c>
    </row>
    <row r="1882" spans="1:16">
      <c r="A1882" s="2" t="s">
        <v>1969</v>
      </c>
      <c r="B1882" s="3">
        <v>46088</v>
      </c>
      <c r="C1882" s="2" t="s">
        <v>47</v>
      </c>
      <c r="D1882" s="2" t="s">
        <v>15</v>
      </c>
      <c r="E1882" s="2" t="s">
        <v>43</v>
      </c>
      <c r="F1882" s="2" t="s">
        <v>17</v>
      </c>
      <c r="G1882" s="2" t="s">
        <v>48</v>
      </c>
      <c r="H1882" s="2" t="s">
        <v>88</v>
      </c>
      <c r="I1882" s="2" t="s">
        <v>20</v>
      </c>
      <c r="J1882" s="4">
        <v>5</v>
      </c>
      <c r="K1882" s="5">
        <v>71.73</v>
      </c>
      <c r="L1882" s="6">
        <v>0</v>
      </c>
      <c r="M1882" s="5">
        <v>358.65</v>
      </c>
      <c r="P1882" t="str">
        <f>TEXT(Tableau2[[#This Row],[Date]],"mmmm aaaa")</f>
        <v>mars 2026</v>
      </c>
    </row>
    <row r="1883" spans="1:16">
      <c r="A1883" s="2" t="s">
        <v>1970</v>
      </c>
      <c r="B1883" s="3">
        <v>46083</v>
      </c>
      <c r="C1883" s="2" t="s">
        <v>123</v>
      </c>
      <c r="D1883" s="2" t="s">
        <v>53</v>
      </c>
      <c r="E1883" s="2" t="s">
        <v>34</v>
      </c>
      <c r="F1883" s="2" t="s">
        <v>17</v>
      </c>
      <c r="G1883" s="2" t="s">
        <v>48</v>
      </c>
      <c r="H1883" s="2" t="s">
        <v>84</v>
      </c>
      <c r="I1883" s="2" t="s">
        <v>26</v>
      </c>
      <c r="J1883" s="4">
        <v>1</v>
      </c>
      <c r="K1883" s="5">
        <v>91.43</v>
      </c>
      <c r="L1883" s="6">
        <v>0.1</v>
      </c>
      <c r="M1883" s="5">
        <v>82.29</v>
      </c>
      <c r="P1883" t="str">
        <f>TEXT(Tableau2[[#This Row],[Date]],"mmmm aaaa")</f>
        <v>mars 2026</v>
      </c>
    </row>
    <row r="1884" spans="1:16">
      <c r="A1884" s="2" t="s">
        <v>1971</v>
      </c>
      <c r="B1884" s="3">
        <v>46111</v>
      </c>
      <c r="C1884" s="2" t="s">
        <v>22</v>
      </c>
      <c r="D1884" s="2" t="s">
        <v>23</v>
      </c>
      <c r="E1884" s="2" t="s">
        <v>38</v>
      </c>
      <c r="F1884" s="2" t="s">
        <v>28</v>
      </c>
      <c r="G1884" s="2" t="s">
        <v>48</v>
      </c>
      <c r="H1884" s="2" t="s">
        <v>77</v>
      </c>
      <c r="I1884" s="2" t="s">
        <v>75</v>
      </c>
      <c r="J1884" s="4">
        <v>3</v>
      </c>
      <c r="K1884" s="5">
        <v>80.319999999999993</v>
      </c>
      <c r="L1884" s="6">
        <v>0</v>
      </c>
      <c r="M1884" s="5">
        <v>240.96</v>
      </c>
      <c r="P1884" t="str">
        <f>TEXT(Tableau2[[#This Row],[Date]],"mmmm aaaa")</f>
        <v>mars 2026</v>
      </c>
    </row>
    <row r="1885" spans="1:16">
      <c r="A1885" s="2" t="s">
        <v>1972</v>
      </c>
      <c r="B1885" s="3">
        <v>46074</v>
      </c>
      <c r="C1885" s="2" t="s">
        <v>63</v>
      </c>
      <c r="D1885" s="2" t="s">
        <v>33</v>
      </c>
      <c r="E1885" s="2" t="s">
        <v>34</v>
      </c>
      <c r="F1885" s="2" t="s">
        <v>28</v>
      </c>
      <c r="G1885" s="2" t="s">
        <v>48</v>
      </c>
      <c r="H1885" s="2" t="s">
        <v>77</v>
      </c>
      <c r="I1885" s="2" t="s">
        <v>45</v>
      </c>
      <c r="J1885" s="4">
        <v>4</v>
      </c>
      <c r="K1885" s="5">
        <v>83.98</v>
      </c>
      <c r="L1885" s="6">
        <v>0</v>
      </c>
      <c r="M1885" s="5">
        <v>335.92</v>
      </c>
      <c r="P1885" t="str">
        <f>TEXT(Tableau2[[#This Row],[Date]],"mmmm aaaa")</f>
        <v>février 2026</v>
      </c>
    </row>
    <row r="1886" spans="1:16">
      <c r="A1886" s="2" t="s">
        <v>1973</v>
      </c>
      <c r="B1886" s="3">
        <v>46350</v>
      </c>
      <c r="C1886" s="2" t="s">
        <v>94</v>
      </c>
      <c r="D1886" s="2" t="s">
        <v>15</v>
      </c>
      <c r="E1886" s="2" t="s">
        <v>16</v>
      </c>
      <c r="F1886" s="2" t="s">
        <v>28</v>
      </c>
      <c r="G1886" s="2" t="s">
        <v>29</v>
      </c>
      <c r="H1886" s="2" t="s">
        <v>44</v>
      </c>
      <c r="I1886" s="2" t="s">
        <v>36</v>
      </c>
      <c r="J1886" s="4">
        <v>1</v>
      </c>
      <c r="K1886" s="5">
        <v>35.630000000000003</v>
      </c>
      <c r="L1886" s="6">
        <v>0</v>
      </c>
      <c r="M1886" s="5">
        <v>35.630000000000003</v>
      </c>
      <c r="P1886" t="str">
        <f>TEXT(Tableau2[[#This Row],[Date]],"mmmm aaaa")</f>
        <v>novembre 2026</v>
      </c>
    </row>
    <row r="1887" spans="1:16">
      <c r="A1887" s="2" t="s">
        <v>1974</v>
      </c>
      <c r="B1887" s="3">
        <v>46070</v>
      </c>
      <c r="C1887" s="2" t="s">
        <v>130</v>
      </c>
      <c r="D1887" s="2" t="s">
        <v>53</v>
      </c>
      <c r="E1887" s="2" t="s">
        <v>34</v>
      </c>
      <c r="F1887" s="2" t="s">
        <v>17</v>
      </c>
      <c r="G1887" s="2" t="s">
        <v>18</v>
      </c>
      <c r="H1887" s="2" t="s">
        <v>158</v>
      </c>
      <c r="I1887" s="2" t="s">
        <v>58</v>
      </c>
      <c r="J1887" s="4">
        <v>4</v>
      </c>
      <c r="K1887" s="5">
        <v>44.38</v>
      </c>
      <c r="L1887" s="6">
        <v>0</v>
      </c>
      <c r="M1887" s="5">
        <v>177.52</v>
      </c>
      <c r="P1887" t="str">
        <f>TEXT(Tableau2[[#This Row],[Date]],"mmmm aaaa")</f>
        <v>février 2026</v>
      </c>
    </row>
    <row r="1888" spans="1:16">
      <c r="A1888" s="2" t="s">
        <v>1975</v>
      </c>
      <c r="B1888" s="3">
        <v>46363</v>
      </c>
      <c r="C1888" s="2" t="s">
        <v>14</v>
      </c>
      <c r="D1888" s="2" t="s">
        <v>15</v>
      </c>
      <c r="E1888" s="2" t="s">
        <v>38</v>
      </c>
      <c r="F1888" s="2" t="s">
        <v>17</v>
      </c>
      <c r="G1888" s="2" t="s">
        <v>48</v>
      </c>
      <c r="H1888" s="2" t="s">
        <v>77</v>
      </c>
      <c r="I1888" s="2" t="s">
        <v>58</v>
      </c>
      <c r="J1888" s="4">
        <v>2</v>
      </c>
      <c r="K1888" s="5">
        <v>81.77</v>
      </c>
      <c r="L1888" s="6">
        <v>0</v>
      </c>
      <c r="M1888" s="5">
        <v>163.54</v>
      </c>
      <c r="P1888" t="str">
        <f>TEXT(Tableau2[[#This Row],[Date]],"mmmm aaaa")</f>
        <v>décembre 2026</v>
      </c>
    </row>
    <row r="1889" spans="1:16">
      <c r="A1889" s="2" t="s">
        <v>1976</v>
      </c>
      <c r="B1889" s="3">
        <v>46103</v>
      </c>
      <c r="C1889" s="2" t="s">
        <v>63</v>
      </c>
      <c r="D1889" s="2" t="s">
        <v>33</v>
      </c>
      <c r="E1889" s="2" t="s">
        <v>16</v>
      </c>
      <c r="F1889" s="2" t="s">
        <v>28</v>
      </c>
      <c r="G1889" s="2" t="s">
        <v>48</v>
      </c>
      <c r="H1889" s="2" t="s">
        <v>84</v>
      </c>
      <c r="I1889" s="2" t="s">
        <v>58</v>
      </c>
      <c r="J1889" s="4">
        <v>2</v>
      </c>
      <c r="K1889" s="5">
        <v>98.02</v>
      </c>
      <c r="L1889" s="6">
        <v>0.05</v>
      </c>
      <c r="M1889" s="5">
        <v>186.24</v>
      </c>
      <c r="P1889" t="str">
        <f>TEXT(Tableau2[[#This Row],[Date]],"mmmm aaaa")</f>
        <v>mars 2026</v>
      </c>
    </row>
    <row r="1890" spans="1:16">
      <c r="A1890" s="2" t="s">
        <v>1977</v>
      </c>
      <c r="B1890" s="3">
        <v>46254</v>
      </c>
      <c r="C1890" s="2" t="s">
        <v>156</v>
      </c>
      <c r="D1890" s="2" t="s">
        <v>15</v>
      </c>
      <c r="E1890" s="2" t="s">
        <v>43</v>
      </c>
      <c r="F1890" s="2" t="s">
        <v>17</v>
      </c>
      <c r="G1890" s="2" t="s">
        <v>24</v>
      </c>
      <c r="H1890" s="2" t="s">
        <v>82</v>
      </c>
      <c r="I1890" s="2" t="s">
        <v>20</v>
      </c>
      <c r="J1890" s="4">
        <v>10</v>
      </c>
      <c r="K1890" s="5">
        <v>286.33999999999997</v>
      </c>
      <c r="L1890" s="6">
        <v>0</v>
      </c>
      <c r="M1890" s="5">
        <v>2863.4</v>
      </c>
      <c r="P1890" t="str">
        <f>TEXT(Tableau2[[#This Row],[Date]],"mmmm aaaa")</f>
        <v>août 2026</v>
      </c>
    </row>
    <row r="1891" spans="1:16">
      <c r="A1891" s="2" t="s">
        <v>1978</v>
      </c>
      <c r="B1891" s="3">
        <v>46083</v>
      </c>
      <c r="C1891" s="2" t="s">
        <v>116</v>
      </c>
      <c r="D1891" s="2" t="s">
        <v>15</v>
      </c>
      <c r="E1891" s="2" t="s">
        <v>43</v>
      </c>
      <c r="F1891" s="2" t="s">
        <v>17</v>
      </c>
      <c r="G1891" s="2" t="s">
        <v>18</v>
      </c>
      <c r="H1891" s="2" t="s">
        <v>158</v>
      </c>
      <c r="I1891" s="2" t="s">
        <v>58</v>
      </c>
      <c r="J1891" s="4">
        <v>1</v>
      </c>
      <c r="K1891" s="5">
        <v>42.45</v>
      </c>
      <c r="L1891" s="6">
        <v>0</v>
      </c>
      <c r="M1891" s="5">
        <v>42.45</v>
      </c>
      <c r="P1891" t="str">
        <f>TEXT(Tableau2[[#This Row],[Date]],"mmmm aaaa")</f>
        <v>mars 2026</v>
      </c>
    </row>
    <row r="1892" spans="1:16">
      <c r="A1892" s="2" t="s">
        <v>1979</v>
      </c>
      <c r="B1892" s="3">
        <v>46368</v>
      </c>
      <c r="C1892" s="2" t="s">
        <v>441</v>
      </c>
      <c r="D1892" s="2" t="s">
        <v>23</v>
      </c>
      <c r="E1892" s="2" t="s">
        <v>16</v>
      </c>
      <c r="F1892" s="2" t="s">
        <v>28</v>
      </c>
      <c r="G1892" s="2" t="s">
        <v>48</v>
      </c>
      <c r="H1892" s="2" t="s">
        <v>49</v>
      </c>
      <c r="I1892" s="2" t="s">
        <v>20</v>
      </c>
      <c r="J1892" s="4">
        <v>2</v>
      </c>
      <c r="K1892" s="5">
        <v>62.04</v>
      </c>
      <c r="L1892" s="6">
        <v>0.1</v>
      </c>
      <c r="M1892" s="5">
        <v>111.67</v>
      </c>
      <c r="P1892" t="str">
        <f>TEXT(Tableau2[[#This Row],[Date]],"mmmm aaaa")</f>
        <v>décembre 2026</v>
      </c>
    </row>
    <row r="1893" spans="1:16">
      <c r="A1893" s="2" t="s">
        <v>1980</v>
      </c>
      <c r="B1893" s="3">
        <v>46151</v>
      </c>
      <c r="C1893" s="2" t="s">
        <v>14</v>
      </c>
      <c r="D1893" s="2" t="s">
        <v>15</v>
      </c>
      <c r="E1893" s="2" t="s">
        <v>34</v>
      </c>
      <c r="F1893" s="2" t="s">
        <v>17</v>
      </c>
      <c r="G1893" s="2" t="s">
        <v>39</v>
      </c>
      <c r="H1893" s="2" t="s">
        <v>40</v>
      </c>
      <c r="I1893" s="2" t="s">
        <v>75</v>
      </c>
      <c r="J1893" s="4">
        <v>1</v>
      </c>
      <c r="K1893" s="5">
        <v>125.31</v>
      </c>
      <c r="L1893" s="6">
        <v>0</v>
      </c>
      <c r="M1893" s="5">
        <v>125.31</v>
      </c>
      <c r="P1893" t="str">
        <f>TEXT(Tableau2[[#This Row],[Date]],"mmmm aaaa")</f>
        <v>mai 2026</v>
      </c>
    </row>
    <row r="1894" spans="1:16">
      <c r="A1894" s="2" t="s">
        <v>1981</v>
      </c>
      <c r="B1894" s="3">
        <v>46385</v>
      </c>
      <c r="C1894" s="2" t="s">
        <v>101</v>
      </c>
      <c r="D1894" s="2" t="s">
        <v>33</v>
      </c>
      <c r="E1894" s="2" t="s">
        <v>16</v>
      </c>
      <c r="F1894" s="2" t="s">
        <v>17</v>
      </c>
      <c r="G1894" s="2" t="s">
        <v>48</v>
      </c>
      <c r="H1894" s="2" t="s">
        <v>84</v>
      </c>
      <c r="I1894" s="2" t="s">
        <v>50</v>
      </c>
      <c r="J1894" s="4">
        <v>2</v>
      </c>
      <c r="K1894" s="5">
        <v>93.3</v>
      </c>
      <c r="L1894" s="6">
        <v>0</v>
      </c>
      <c r="M1894" s="5">
        <v>186.6</v>
      </c>
      <c r="P1894" t="str">
        <f>TEXT(Tableau2[[#This Row],[Date]],"mmmm aaaa")</f>
        <v>décembre 2026</v>
      </c>
    </row>
    <row r="1895" spans="1:16">
      <c r="A1895" s="2" t="s">
        <v>1982</v>
      </c>
      <c r="B1895" s="3">
        <v>46110</v>
      </c>
      <c r="C1895" s="2" t="s">
        <v>178</v>
      </c>
      <c r="D1895" s="2" t="s">
        <v>15</v>
      </c>
      <c r="E1895" s="2" t="s">
        <v>34</v>
      </c>
      <c r="F1895" s="2" t="s">
        <v>17</v>
      </c>
      <c r="G1895" s="2" t="s">
        <v>18</v>
      </c>
      <c r="H1895" s="2" t="s">
        <v>136</v>
      </c>
      <c r="I1895" s="2" t="s">
        <v>26</v>
      </c>
      <c r="J1895" s="4">
        <v>1</v>
      </c>
      <c r="K1895" s="5">
        <v>30.3</v>
      </c>
      <c r="L1895" s="6">
        <v>0</v>
      </c>
      <c r="M1895" s="5">
        <v>30.3</v>
      </c>
      <c r="P1895" t="str">
        <f>TEXT(Tableau2[[#This Row],[Date]],"mmmm aaaa")</f>
        <v>mars 2026</v>
      </c>
    </row>
    <row r="1896" spans="1:16">
      <c r="A1896" s="2" t="s">
        <v>1983</v>
      </c>
      <c r="B1896" s="3">
        <v>46125</v>
      </c>
      <c r="C1896" s="2" t="s">
        <v>134</v>
      </c>
      <c r="D1896" s="2" t="s">
        <v>15</v>
      </c>
      <c r="E1896" s="2" t="s">
        <v>38</v>
      </c>
      <c r="F1896" s="2" t="s">
        <v>28</v>
      </c>
      <c r="G1896" s="2" t="s">
        <v>24</v>
      </c>
      <c r="H1896" s="2" t="s">
        <v>35</v>
      </c>
      <c r="I1896" s="2" t="s">
        <v>58</v>
      </c>
      <c r="J1896" s="4">
        <v>1</v>
      </c>
      <c r="K1896" s="5">
        <v>162.68</v>
      </c>
      <c r="L1896" s="6">
        <v>0</v>
      </c>
      <c r="M1896" s="5">
        <v>162.68</v>
      </c>
      <c r="P1896" t="str">
        <f>TEXT(Tableau2[[#This Row],[Date]],"mmmm aaaa")</f>
        <v>avril 2026</v>
      </c>
    </row>
    <row r="1897" spans="1:16">
      <c r="A1897" s="2" t="s">
        <v>1984</v>
      </c>
      <c r="B1897" s="3">
        <v>46105</v>
      </c>
      <c r="C1897" s="2" t="s">
        <v>79</v>
      </c>
      <c r="D1897" s="2" t="s">
        <v>33</v>
      </c>
      <c r="E1897" s="2" t="s">
        <v>38</v>
      </c>
      <c r="F1897" s="2" t="s">
        <v>17</v>
      </c>
      <c r="G1897" s="2" t="s">
        <v>18</v>
      </c>
      <c r="H1897" s="2" t="s">
        <v>136</v>
      </c>
      <c r="I1897" s="2" t="s">
        <v>26</v>
      </c>
      <c r="J1897" s="4">
        <v>3</v>
      </c>
      <c r="K1897" s="5">
        <v>32.49</v>
      </c>
      <c r="L1897" s="6">
        <v>0</v>
      </c>
      <c r="M1897" s="5">
        <v>97.47</v>
      </c>
      <c r="P1897" t="str">
        <f>TEXT(Tableau2[[#This Row],[Date]],"mmmm aaaa")</f>
        <v>mars 2026</v>
      </c>
    </row>
    <row r="1898" spans="1:16">
      <c r="A1898" s="2" t="s">
        <v>1985</v>
      </c>
      <c r="B1898" s="3">
        <v>46210</v>
      </c>
      <c r="C1898" s="2" t="s">
        <v>66</v>
      </c>
      <c r="D1898" s="2" t="s">
        <v>23</v>
      </c>
      <c r="E1898" s="2" t="s">
        <v>43</v>
      </c>
      <c r="F1898" s="2" t="s">
        <v>17</v>
      </c>
      <c r="G1898" s="2" t="s">
        <v>29</v>
      </c>
      <c r="H1898" s="2" t="s">
        <v>30</v>
      </c>
      <c r="I1898" s="2" t="s">
        <v>20</v>
      </c>
      <c r="J1898" s="4">
        <v>7</v>
      </c>
      <c r="K1898" s="5">
        <v>25.13</v>
      </c>
      <c r="L1898" s="6">
        <v>0.05</v>
      </c>
      <c r="M1898" s="5">
        <v>167.11</v>
      </c>
      <c r="P1898" t="str">
        <f>TEXT(Tableau2[[#This Row],[Date]],"mmmm aaaa")</f>
        <v>juillet 2026</v>
      </c>
    </row>
    <row r="1899" spans="1:16">
      <c r="A1899" s="2" t="s">
        <v>1986</v>
      </c>
      <c r="B1899" s="3">
        <v>46381</v>
      </c>
      <c r="C1899" s="2" t="s">
        <v>66</v>
      </c>
      <c r="D1899" s="2" t="s">
        <v>23</v>
      </c>
      <c r="E1899" s="2" t="s">
        <v>34</v>
      </c>
      <c r="F1899" s="2" t="s">
        <v>28</v>
      </c>
      <c r="G1899" s="2" t="s">
        <v>24</v>
      </c>
      <c r="H1899" s="2" t="s">
        <v>35</v>
      </c>
      <c r="I1899" s="2" t="s">
        <v>36</v>
      </c>
      <c r="J1899" s="4">
        <v>3</v>
      </c>
      <c r="K1899" s="5">
        <v>172.23</v>
      </c>
      <c r="L1899" s="6">
        <v>0.05</v>
      </c>
      <c r="M1899" s="5">
        <v>490.86</v>
      </c>
      <c r="P1899" t="str">
        <f>TEXT(Tableau2[[#This Row],[Date]],"mmmm aaaa")</f>
        <v>décembre 2026</v>
      </c>
    </row>
    <row r="1900" spans="1:16">
      <c r="A1900" s="2" t="s">
        <v>1987</v>
      </c>
      <c r="B1900" s="3">
        <v>46120</v>
      </c>
      <c r="C1900" s="2" t="s">
        <v>90</v>
      </c>
      <c r="D1900" s="2" t="s">
        <v>53</v>
      </c>
      <c r="E1900" s="2" t="s">
        <v>43</v>
      </c>
      <c r="F1900" s="2" t="s">
        <v>17</v>
      </c>
      <c r="G1900" s="2" t="s">
        <v>24</v>
      </c>
      <c r="H1900" s="2" t="s">
        <v>25</v>
      </c>
      <c r="I1900" s="2" t="s">
        <v>58</v>
      </c>
      <c r="J1900" s="4">
        <v>3</v>
      </c>
      <c r="K1900" s="5">
        <v>137.11000000000001</v>
      </c>
      <c r="L1900" s="6">
        <v>0</v>
      </c>
      <c r="M1900" s="5">
        <v>411.33</v>
      </c>
      <c r="P1900" t="str">
        <f>TEXT(Tableau2[[#This Row],[Date]],"mmmm aaaa")</f>
        <v>avril 2026</v>
      </c>
    </row>
    <row r="1901" spans="1:16">
      <c r="A1901" s="2" t="s">
        <v>1988</v>
      </c>
      <c r="B1901" s="3">
        <v>46292</v>
      </c>
      <c r="C1901" s="2" t="s">
        <v>151</v>
      </c>
      <c r="D1901" s="2" t="s">
        <v>15</v>
      </c>
      <c r="E1901" s="2" t="s">
        <v>34</v>
      </c>
      <c r="F1901" s="2" t="s">
        <v>28</v>
      </c>
      <c r="G1901" s="2" t="s">
        <v>48</v>
      </c>
      <c r="H1901" s="2" t="s">
        <v>77</v>
      </c>
      <c r="I1901" s="2" t="s">
        <v>20</v>
      </c>
      <c r="J1901" s="4">
        <v>2</v>
      </c>
      <c r="K1901" s="5">
        <v>80.47</v>
      </c>
      <c r="L1901" s="6">
        <v>0</v>
      </c>
      <c r="M1901" s="5">
        <v>160.94</v>
      </c>
      <c r="P1901" t="str">
        <f>TEXT(Tableau2[[#This Row],[Date]],"mmmm aaaa")</f>
        <v>septembre 2026</v>
      </c>
    </row>
    <row r="1902" spans="1:16">
      <c r="A1902" s="2" t="s">
        <v>1989</v>
      </c>
      <c r="B1902" s="3">
        <v>46177</v>
      </c>
      <c r="C1902" s="2" t="s">
        <v>52</v>
      </c>
      <c r="D1902" s="2" t="s">
        <v>53</v>
      </c>
      <c r="E1902" s="2" t="s">
        <v>38</v>
      </c>
      <c r="F1902" s="2" t="s">
        <v>17</v>
      </c>
      <c r="G1902" s="2" t="s">
        <v>54</v>
      </c>
      <c r="H1902" s="2" t="s">
        <v>102</v>
      </c>
      <c r="I1902" s="2" t="s">
        <v>41</v>
      </c>
      <c r="J1902" s="4">
        <v>1</v>
      </c>
      <c r="K1902" s="5">
        <v>205.57</v>
      </c>
      <c r="L1902" s="6">
        <v>0</v>
      </c>
      <c r="M1902" s="5">
        <v>205.57</v>
      </c>
      <c r="P1902" t="str">
        <f>TEXT(Tableau2[[#This Row],[Date]],"mmmm aaaa")</f>
        <v>juin 2026</v>
      </c>
    </row>
    <row r="1903" spans="1:16">
      <c r="A1903" s="2" t="s">
        <v>1990</v>
      </c>
      <c r="B1903" s="3">
        <v>46284</v>
      </c>
      <c r="C1903" s="2" t="s">
        <v>57</v>
      </c>
      <c r="D1903" s="2" t="s">
        <v>15</v>
      </c>
      <c r="E1903" s="2" t="s">
        <v>43</v>
      </c>
      <c r="F1903" s="2" t="s">
        <v>28</v>
      </c>
      <c r="G1903" s="2" t="s">
        <v>24</v>
      </c>
      <c r="H1903" s="2" t="s">
        <v>35</v>
      </c>
      <c r="I1903" s="2" t="s">
        <v>26</v>
      </c>
      <c r="J1903" s="4">
        <v>5</v>
      </c>
      <c r="K1903" s="5">
        <v>177.13</v>
      </c>
      <c r="L1903" s="6">
        <v>0</v>
      </c>
      <c r="M1903" s="5">
        <v>885.65</v>
      </c>
      <c r="P1903" t="str">
        <f>TEXT(Tableau2[[#This Row],[Date]],"mmmm aaaa")</f>
        <v>septembre 2026</v>
      </c>
    </row>
    <row r="1904" spans="1:16">
      <c r="A1904" s="2" t="s">
        <v>1991</v>
      </c>
      <c r="B1904" s="3">
        <v>46073</v>
      </c>
      <c r="C1904" s="2" t="s">
        <v>22</v>
      </c>
      <c r="D1904" s="2" t="s">
        <v>23</v>
      </c>
      <c r="E1904" s="2" t="s">
        <v>34</v>
      </c>
      <c r="F1904" s="2" t="s">
        <v>17</v>
      </c>
      <c r="G1904" s="2" t="s">
        <v>24</v>
      </c>
      <c r="H1904" s="2" t="s">
        <v>35</v>
      </c>
      <c r="I1904" s="2" t="s">
        <v>20</v>
      </c>
      <c r="J1904" s="4">
        <v>1</v>
      </c>
      <c r="K1904" s="5">
        <v>161.24</v>
      </c>
      <c r="L1904" s="6">
        <v>0</v>
      </c>
      <c r="M1904" s="5">
        <v>161.24</v>
      </c>
      <c r="P1904" t="str">
        <f>TEXT(Tableau2[[#This Row],[Date]],"mmmm aaaa")</f>
        <v>février 2026</v>
      </c>
    </row>
    <row r="1905" spans="1:16">
      <c r="A1905" s="2" t="s">
        <v>1992</v>
      </c>
      <c r="B1905" s="3">
        <v>46199</v>
      </c>
      <c r="C1905" s="2" t="s">
        <v>63</v>
      </c>
      <c r="D1905" s="2" t="s">
        <v>33</v>
      </c>
      <c r="E1905" s="2" t="s">
        <v>16</v>
      </c>
      <c r="F1905" s="2" t="s">
        <v>28</v>
      </c>
      <c r="G1905" s="2" t="s">
        <v>24</v>
      </c>
      <c r="H1905" s="2" t="s">
        <v>82</v>
      </c>
      <c r="I1905" s="2" t="s">
        <v>41</v>
      </c>
      <c r="J1905" s="4">
        <v>1</v>
      </c>
      <c r="K1905" s="5">
        <v>274.32</v>
      </c>
      <c r="L1905" s="6">
        <v>0</v>
      </c>
      <c r="M1905" s="5">
        <v>274.32</v>
      </c>
      <c r="P1905" t="str">
        <f>TEXT(Tableau2[[#This Row],[Date]],"mmmm aaaa")</f>
        <v>juin 2026</v>
      </c>
    </row>
    <row r="1906" spans="1:16">
      <c r="A1906" s="2" t="s">
        <v>1993</v>
      </c>
      <c r="B1906" s="3">
        <v>46049</v>
      </c>
      <c r="C1906" s="2" t="s">
        <v>66</v>
      </c>
      <c r="D1906" s="2" t="s">
        <v>23</v>
      </c>
      <c r="E1906" s="2" t="s">
        <v>16</v>
      </c>
      <c r="F1906" s="2" t="s">
        <v>17</v>
      </c>
      <c r="G1906" s="2" t="s">
        <v>54</v>
      </c>
      <c r="H1906" s="2" t="s">
        <v>55</v>
      </c>
      <c r="I1906" s="2" t="s">
        <v>41</v>
      </c>
      <c r="J1906" s="4">
        <v>1</v>
      </c>
      <c r="K1906" s="5">
        <v>165.01</v>
      </c>
      <c r="L1906" s="6">
        <v>0</v>
      </c>
      <c r="M1906" s="5">
        <v>165.01</v>
      </c>
      <c r="P1906" t="str">
        <f>TEXT(Tableau2[[#This Row],[Date]],"mmmm aaaa")</f>
        <v>janvier 2026</v>
      </c>
    </row>
    <row r="1907" spans="1:16">
      <c r="A1907" s="2" t="s">
        <v>1994</v>
      </c>
      <c r="B1907" s="3">
        <v>46238</v>
      </c>
      <c r="C1907" s="2" t="s">
        <v>160</v>
      </c>
      <c r="D1907" s="2" t="s">
        <v>33</v>
      </c>
      <c r="E1907" s="2" t="s">
        <v>34</v>
      </c>
      <c r="F1907" s="2" t="s">
        <v>17</v>
      </c>
      <c r="G1907" s="2" t="s">
        <v>24</v>
      </c>
      <c r="H1907" s="2" t="s">
        <v>25</v>
      </c>
      <c r="I1907" s="2" t="s">
        <v>50</v>
      </c>
      <c r="J1907" s="4">
        <v>3</v>
      </c>
      <c r="K1907" s="5">
        <v>128.88</v>
      </c>
      <c r="L1907" s="6">
        <v>0</v>
      </c>
      <c r="M1907" s="5">
        <v>386.64</v>
      </c>
      <c r="P1907" t="str">
        <f>TEXT(Tableau2[[#This Row],[Date]],"mmmm aaaa")</f>
        <v>août 2026</v>
      </c>
    </row>
    <row r="1908" spans="1:16">
      <c r="A1908" s="2" t="s">
        <v>1995</v>
      </c>
      <c r="B1908" s="3">
        <v>46149</v>
      </c>
      <c r="C1908" s="2" t="s">
        <v>47</v>
      </c>
      <c r="D1908" s="2" t="s">
        <v>15</v>
      </c>
      <c r="E1908" s="2" t="s">
        <v>16</v>
      </c>
      <c r="F1908" s="2" t="s">
        <v>17</v>
      </c>
      <c r="G1908" s="2" t="s">
        <v>48</v>
      </c>
      <c r="H1908" s="2" t="s">
        <v>88</v>
      </c>
      <c r="I1908" s="2" t="s">
        <v>50</v>
      </c>
      <c r="J1908" s="4">
        <v>2</v>
      </c>
      <c r="K1908" s="5">
        <v>81.010000000000005</v>
      </c>
      <c r="L1908" s="6">
        <v>0.05</v>
      </c>
      <c r="M1908" s="5">
        <v>153.91999999999999</v>
      </c>
      <c r="P1908" t="str">
        <f>TEXT(Tableau2[[#This Row],[Date]],"mmmm aaaa")</f>
        <v>mai 2026</v>
      </c>
    </row>
    <row r="1909" spans="1:16">
      <c r="A1909" s="2" t="s">
        <v>1996</v>
      </c>
      <c r="B1909" s="3">
        <v>46265</v>
      </c>
      <c r="C1909" s="2" t="s">
        <v>90</v>
      </c>
      <c r="D1909" s="2" t="s">
        <v>53</v>
      </c>
      <c r="E1909" s="2" t="s">
        <v>38</v>
      </c>
      <c r="F1909" s="2" t="s">
        <v>28</v>
      </c>
      <c r="G1909" s="2" t="s">
        <v>29</v>
      </c>
      <c r="H1909" s="2" t="s">
        <v>44</v>
      </c>
      <c r="I1909" s="2" t="s">
        <v>50</v>
      </c>
      <c r="J1909" s="4">
        <v>2</v>
      </c>
      <c r="K1909" s="5">
        <v>35.11</v>
      </c>
      <c r="L1909" s="6">
        <v>0</v>
      </c>
      <c r="M1909" s="5">
        <v>70.22</v>
      </c>
      <c r="P1909" t="str">
        <f>TEXT(Tableau2[[#This Row],[Date]],"mmmm aaaa")</f>
        <v>août 2026</v>
      </c>
    </row>
    <row r="1910" spans="1:16">
      <c r="A1910" s="2" t="s">
        <v>1997</v>
      </c>
      <c r="B1910" s="3">
        <v>46283</v>
      </c>
      <c r="C1910" s="2" t="s">
        <v>106</v>
      </c>
      <c r="D1910" s="2" t="s">
        <v>23</v>
      </c>
      <c r="E1910" s="2" t="s">
        <v>34</v>
      </c>
      <c r="F1910" s="2" t="s">
        <v>17</v>
      </c>
      <c r="G1910" s="2" t="s">
        <v>39</v>
      </c>
      <c r="H1910" s="2" t="s">
        <v>71</v>
      </c>
      <c r="I1910" s="2" t="s">
        <v>75</v>
      </c>
      <c r="J1910" s="4">
        <v>1</v>
      </c>
      <c r="K1910" s="5">
        <v>114.26</v>
      </c>
      <c r="L1910" s="6">
        <v>0</v>
      </c>
      <c r="M1910" s="5">
        <v>114.26</v>
      </c>
      <c r="P1910" t="str">
        <f>TEXT(Tableau2[[#This Row],[Date]],"mmmm aaaa")</f>
        <v>septembre 2026</v>
      </c>
    </row>
    <row r="1911" spans="1:16">
      <c r="A1911" s="2" t="s">
        <v>1998</v>
      </c>
      <c r="B1911" s="3">
        <v>46145</v>
      </c>
      <c r="C1911" s="2" t="s">
        <v>178</v>
      </c>
      <c r="D1911" s="2" t="s">
        <v>15</v>
      </c>
      <c r="E1911" s="2" t="s">
        <v>43</v>
      </c>
      <c r="F1911" s="2" t="s">
        <v>28</v>
      </c>
      <c r="G1911" s="2" t="s">
        <v>54</v>
      </c>
      <c r="H1911" s="2" t="s">
        <v>102</v>
      </c>
      <c r="I1911" s="2" t="s">
        <v>20</v>
      </c>
      <c r="J1911" s="4">
        <v>2</v>
      </c>
      <c r="K1911" s="5">
        <v>216.68</v>
      </c>
      <c r="L1911" s="6">
        <v>0</v>
      </c>
      <c r="M1911" s="5">
        <v>433.36</v>
      </c>
      <c r="P1911" t="str">
        <f>TEXT(Tableau2[[#This Row],[Date]],"mmmm aaaa")</f>
        <v>mai 2026</v>
      </c>
    </row>
    <row r="1912" spans="1:16">
      <c r="A1912" s="2" t="s">
        <v>1999</v>
      </c>
      <c r="B1912" s="3">
        <v>46115</v>
      </c>
      <c r="C1912" s="2" t="s">
        <v>94</v>
      </c>
      <c r="D1912" s="2" t="s">
        <v>15</v>
      </c>
      <c r="E1912" s="2" t="s">
        <v>34</v>
      </c>
      <c r="F1912" s="2" t="s">
        <v>17</v>
      </c>
      <c r="G1912" s="2" t="s">
        <v>48</v>
      </c>
      <c r="H1912" s="2" t="s">
        <v>88</v>
      </c>
      <c r="I1912" s="2" t="s">
        <v>41</v>
      </c>
      <c r="J1912" s="4">
        <v>9</v>
      </c>
      <c r="K1912" s="5">
        <v>72.510000000000005</v>
      </c>
      <c r="L1912" s="6">
        <v>0</v>
      </c>
      <c r="M1912" s="5">
        <v>652.59</v>
      </c>
      <c r="P1912" t="str">
        <f>TEXT(Tableau2[[#This Row],[Date]],"mmmm aaaa")</f>
        <v>avril 2026</v>
      </c>
    </row>
    <row r="1913" spans="1:16">
      <c r="A1913" s="2" t="s">
        <v>2000</v>
      </c>
      <c r="B1913" s="3">
        <v>46221</v>
      </c>
      <c r="C1913" s="2" t="s">
        <v>116</v>
      </c>
      <c r="D1913" s="2" t="s">
        <v>15</v>
      </c>
      <c r="E1913" s="2" t="s">
        <v>34</v>
      </c>
      <c r="F1913" s="2" t="s">
        <v>28</v>
      </c>
      <c r="G1913" s="2" t="s">
        <v>48</v>
      </c>
      <c r="H1913" s="2" t="s">
        <v>84</v>
      </c>
      <c r="I1913" s="2" t="s">
        <v>45</v>
      </c>
      <c r="J1913" s="4">
        <v>9</v>
      </c>
      <c r="K1913" s="5">
        <v>99.28</v>
      </c>
      <c r="L1913" s="6">
        <v>0</v>
      </c>
      <c r="M1913" s="5">
        <v>893.52</v>
      </c>
      <c r="P1913" t="str">
        <f>TEXT(Tableau2[[#This Row],[Date]],"mmmm aaaa")</f>
        <v>juillet 2026</v>
      </c>
    </row>
    <row r="1914" spans="1:16">
      <c r="A1914" s="2" t="s">
        <v>2001</v>
      </c>
      <c r="B1914" s="3">
        <v>46161</v>
      </c>
      <c r="C1914" s="2" t="s">
        <v>52</v>
      </c>
      <c r="D1914" s="2" t="s">
        <v>53</v>
      </c>
      <c r="E1914" s="2" t="s">
        <v>34</v>
      </c>
      <c r="F1914" s="2" t="s">
        <v>17</v>
      </c>
      <c r="G1914" s="2" t="s">
        <v>54</v>
      </c>
      <c r="H1914" s="2" t="s">
        <v>64</v>
      </c>
      <c r="I1914" s="2" t="s">
        <v>50</v>
      </c>
      <c r="J1914" s="4">
        <v>4</v>
      </c>
      <c r="K1914" s="5">
        <v>85.84</v>
      </c>
      <c r="L1914" s="6">
        <v>0.05</v>
      </c>
      <c r="M1914" s="5">
        <v>326.19</v>
      </c>
      <c r="P1914" t="str">
        <f>TEXT(Tableau2[[#This Row],[Date]],"mmmm aaaa")</f>
        <v>mai 2026</v>
      </c>
    </row>
    <row r="1915" spans="1:16">
      <c r="A1915" s="2" t="s">
        <v>2002</v>
      </c>
      <c r="B1915" s="3">
        <v>46278</v>
      </c>
      <c r="C1915" s="2" t="s">
        <v>60</v>
      </c>
      <c r="D1915" s="2" t="s">
        <v>33</v>
      </c>
      <c r="E1915" s="2" t="s">
        <v>34</v>
      </c>
      <c r="F1915" s="2" t="s">
        <v>17</v>
      </c>
      <c r="G1915" s="2" t="s">
        <v>29</v>
      </c>
      <c r="H1915" s="2" t="s">
        <v>99</v>
      </c>
      <c r="I1915" s="2" t="s">
        <v>41</v>
      </c>
      <c r="J1915" s="4">
        <v>1</v>
      </c>
      <c r="K1915" s="5">
        <v>61.38</v>
      </c>
      <c r="L1915" s="6">
        <v>0.2</v>
      </c>
      <c r="M1915" s="5">
        <v>49.1</v>
      </c>
      <c r="P1915" t="str">
        <f>TEXT(Tableau2[[#This Row],[Date]],"mmmm aaaa")</f>
        <v>septembre 2026</v>
      </c>
    </row>
    <row r="1916" spans="1:16">
      <c r="A1916" s="2" t="s">
        <v>2003</v>
      </c>
      <c r="B1916" s="3">
        <v>46356</v>
      </c>
      <c r="C1916" s="2" t="s">
        <v>14</v>
      </c>
      <c r="D1916" s="2" t="s">
        <v>15</v>
      </c>
      <c r="E1916" s="2" t="s">
        <v>38</v>
      </c>
      <c r="F1916" s="2" t="s">
        <v>17</v>
      </c>
      <c r="G1916" s="2" t="s">
        <v>24</v>
      </c>
      <c r="H1916" s="2" t="s">
        <v>35</v>
      </c>
      <c r="I1916" s="2" t="s">
        <v>58</v>
      </c>
      <c r="J1916" s="4">
        <v>10</v>
      </c>
      <c r="K1916" s="5">
        <v>177.14</v>
      </c>
      <c r="L1916" s="6">
        <v>0</v>
      </c>
      <c r="M1916" s="5">
        <v>1771.4</v>
      </c>
      <c r="P1916" t="str">
        <f>TEXT(Tableau2[[#This Row],[Date]],"mmmm aaaa")</f>
        <v>novembre 2026</v>
      </c>
    </row>
    <row r="1917" spans="1:16">
      <c r="A1917" s="2" t="s">
        <v>2004</v>
      </c>
      <c r="B1917" s="3">
        <v>46369</v>
      </c>
      <c r="C1917" s="2" t="s">
        <v>101</v>
      </c>
      <c r="D1917" s="2" t="s">
        <v>33</v>
      </c>
      <c r="E1917" s="2" t="s">
        <v>34</v>
      </c>
      <c r="F1917" s="2" t="s">
        <v>17</v>
      </c>
      <c r="G1917" s="2" t="s">
        <v>39</v>
      </c>
      <c r="H1917" s="2" t="s">
        <v>95</v>
      </c>
      <c r="I1917" s="2" t="s">
        <v>20</v>
      </c>
      <c r="J1917" s="4">
        <v>1</v>
      </c>
      <c r="K1917" s="5">
        <v>90.2</v>
      </c>
      <c r="L1917" s="6">
        <v>0.05</v>
      </c>
      <c r="M1917" s="5">
        <v>85.69</v>
      </c>
      <c r="P1917" t="str">
        <f>TEXT(Tableau2[[#This Row],[Date]],"mmmm aaaa")</f>
        <v>décembre 2026</v>
      </c>
    </row>
    <row r="1918" spans="1:16">
      <c r="A1918" s="2" t="s">
        <v>2005</v>
      </c>
      <c r="B1918" s="3">
        <v>46172</v>
      </c>
      <c r="C1918" s="2" t="s">
        <v>160</v>
      </c>
      <c r="D1918" s="2" t="s">
        <v>33</v>
      </c>
      <c r="E1918" s="2" t="s">
        <v>16</v>
      </c>
      <c r="F1918" s="2" t="s">
        <v>17</v>
      </c>
      <c r="G1918" s="2" t="s">
        <v>24</v>
      </c>
      <c r="H1918" s="2" t="s">
        <v>25</v>
      </c>
      <c r="I1918" s="2" t="s">
        <v>36</v>
      </c>
      <c r="J1918" s="4">
        <v>1</v>
      </c>
      <c r="K1918" s="5">
        <v>124.98</v>
      </c>
      <c r="L1918" s="6">
        <v>0</v>
      </c>
      <c r="M1918" s="5">
        <v>124.98</v>
      </c>
      <c r="P1918" t="str">
        <f>TEXT(Tableau2[[#This Row],[Date]],"mmmm aaaa")</f>
        <v>mai 2026</v>
      </c>
    </row>
    <row r="1919" spans="1:16">
      <c r="A1919" s="2" t="s">
        <v>2006</v>
      </c>
      <c r="B1919" s="3">
        <v>46346</v>
      </c>
      <c r="C1919" s="2" t="s">
        <v>22</v>
      </c>
      <c r="D1919" s="2" t="s">
        <v>23</v>
      </c>
      <c r="E1919" s="2" t="s">
        <v>16</v>
      </c>
      <c r="F1919" s="2" t="s">
        <v>17</v>
      </c>
      <c r="G1919" s="2" t="s">
        <v>18</v>
      </c>
      <c r="H1919" s="2" t="s">
        <v>136</v>
      </c>
      <c r="I1919" s="2" t="s">
        <v>45</v>
      </c>
      <c r="J1919" s="4">
        <v>6</v>
      </c>
      <c r="K1919" s="5">
        <v>30.34</v>
      </c>
      <c r="L1919" s="6">
        <v>0.2</v>
      </c>
      <c r="M1919" s="5">
        <v>145.63</v>
      </c>
      <c r="P1919" t="str">
        <f>TEXT(Tableau2[[#This Row],[Date]],"mmmm aaaa")</f>
        <v>novembre 2026</v>
      </c>
    </row>
    <row r="1920" spans="1:16">
      <c r="A1920" s="2" t="s">
        <v>2007</v>
      </c>
      <c r="B1920" s="3">
        <v>46280</v>
      </c>
      <c r="C1920" s="2" t="s">
        <v>130</v>
      </c>
      <c r="D1920" s="2" t="s">
        <v>53</v>
      </c>
      <c r="E1920" s="2" t="s">
        <v>38</v>
      </c>
      <c r="F1920" s="2" t="s">
        <v>28</v>
      </c>
      <c r="G1920" s="2" t="s">
        <v>48</v>
      </c>
      <c r="H1920" s="2" t="s">
        <v>77</v>
      </c>
      <c r="I1920" s="2" t="s">
        <v>75</v>
      </c>
      <c r="J1920" s="4">
        <v>1</v>
      </c>
      <c r="K1920" s="5">
        <v>89.65</v>
      </c>
      <c r="L1920" s="6">
        <v>0.1</v>
      </c>
      <c r="M1920" s="5">
        <v>80.69</v>
      </c>
      <c r="P1920" t="str">
        <f>TEXT(Tableau2[[#This Row],[Date]],"mmmm aaaa")</f>
        <v>septembre 2026</v>
      </c>
    </row>
    <row r="1921" spans="1:16">
      <c r="A1921" s="2" t="s">
        <v>2008</v>
      </c>
      <c r="B1921" s="3">
        <v>46097</v>
      </c>
      <c r="C1921" s="2" t="s">
        <v>156</v>
      </c>
      <c r="D1921" s="2" t="s">
        <v>15</v>
      </c>
      <c r="E1921" s="2" t="s">
        <v>34</v>
      </c>
      <c r="F1921" s="2" t="s">
        <v>17</v>
      </c>
      <c r="G1921" s="2" t="s">
        <v>18</v>
      </c>
      <c r="H1921" s="2" t="s">
        <v>158</v>
      </c>
      <c r="I1921" s="2" t="s">
        <v>45</v>
      </c>
      <c r="J1921" s="4">
        <v>1</v>
      </c>
      <c r="K1921" s="5">
        <v>43.81</v>
      </c>
      <c r="L1921" s="6">
        <v>0</v>
      </c>
      <c r="M1921" s="5">
        <v>43.81</v>
      </c>
      <c r="P1921" t="str">
        <f>TEXT(Tableau2[[#This Row],[Date]],"mmmm aaaa")</f>
        <v>mars 2026</v>
      </c>
    </row>
    <row r="1922" spans="1:16">
      <c r="A1922" s="2" t="s">
        <v>2009</v>
      </c>
      <c r="B1922" s="3">
        <v>46236</v>
      </c>
      <c r="C1922" s="2" t="s">
        <v>116</v>
      </c>
      <c r="D1922" s="2" t="s">
        <v>15</v>
      </c>
      <c r="E1922" s="2" t="s">
        <v>38</v>
      </c>
      <c r="F1922" s="2" t="s">
        <v>17</v>
      </c>
      <c r="G1922" s="2" t="s">
        <v>48</v>
      </c>
      <c r="H1922" s="2" t="s">
        <v>49</v>
      </c>
      <c r="I1922" s="2" t="s">
        <v>58</v>
      </c>
      <c r="J1922" s="4">
        <v>3</v>
      </c>
      <c r="K1922" s="5">
        <v>58.85</v>
      </c>
      <c r="L1922" s="6">
        <v>0</v>
      </c>
      <c r="M1922" s="5">
        <v>176.55</v>
      </c>
      <c r="P1922" t="str">
        <f>TEXT(Tableau2[[#This Row],[Date]],"mmmm aaaa")</f>
        <v>août 2026</v>
      </c>
    </row>
    <row r="1923" spans="1:16">
      <c r="A1923" s="2" t="s">
        <v>2010</v>
      </c>
      <c r="B1923" s="3">
        <v>46293</v>
      </c>
      <c r="C1923" s="2" t="s">
        <v>63</v>
      </c>
      <c r="D1923" s="2" t="s">
        <v>33</v>
      </c>
      <c r="E1923" s="2" t="s">
        <v>16</v>
      </c>
      <c r="F1923" s="2" t="s">
        <v>17</v>
      </c>
      <c r="G1923" s="2" t="s">
        <v>18</v>
      </c>
      <c r="H1923" s="2" t="s">
        <v>19</v>
      </c>
      <c r="I1923" s="2" t="s">
        <v>58</v>
      </c>
      <c r="J1923" s="4">
        <v>1</v>
      </c>
      <c r="K1923" s="5">
        <v>53.22</v>
      </c>
      <c r="L1923" s="6">
        <v>0</v>
      </c>
      <c r="M1923" s="5">
        <v>53.22</v>
      </c>
      <c r="P1923" t="str">
        <f>TEXT(Tableau2[[#This Row],[Date]],"mmmm aaaa")</f>
        <v>septembre 2026</v>
      </c>
    </row>
    <row r="1924" spans="1:16">
      <c r="A1924" s="2" t="s">
        <v>2011</v>
      </c>
      <c r="B1924" s="3">
        <v>46122</v>
      </c>
      <c r="C1924" s="2" t="s">
        <v>63</v>
      </c>
      <c r="D1924" s="2" t="s">
        <v>33</v>
      </c>
      <c r="E1924" s="2" t="s">
        <v>43</v>
      </c>
      <c r="F1924" s="2" t="s">
        <v>17</v>
      </c>
      <c r="G1924" s="2" t="s">
        <v>48</v>
      </c>
      <c r="H1924" s="2" t="s">
        <v>84</v>
      </c>
      <c r="I1924" s="2" t="s">
        <v>50</v>
      </c>
      <c r="J1924" s="4">
        <v>1</v>
      </c>
      <c r="K1924" s="5">
        <v>92.9</v>
      </c>
      <c r="L1924" s="6">
        <v>0</v>
      </c>
      <c r="M1924" s="5">
        <v>92.9</v>
      </c>
      <c r="P1924" t="str">
        <f>TEXT(Tableau2[[#This Row],[Date]],"mmmm aaaa")</f>
        <v>avril 2026</v>
      </c>
    </row>
    <row r="1925" spans="1:16">
      <c r="A1925" s="2" t="s">
        <v>2012</v>
      </c>
      <c r="B1925" s="3">
        <v>46065</v>
      </c>
      <c r="C1925" s="2" t="s">
        <v>106</v>
      </c>
      <c r="D1925" s="2" t="s">
        <v>23</v>
      </c>
      <c r="E1925" s="2" t="s">
        <v>43</v>
      </c>
      <c r="F1925" s="2" t="s">
        <v>17</v>
      </c>
      <c r="G1925" s="2" t="s">
        <v>48</v>
      </c>
      <c r="H1925" s="2" t="s">
        <v>84</v>
      </c>
      <c r="I1925" s="2" t="s">
        <v>20</v>
      </c>
      <c r="J1925" s="4">
        <v>2</v>
      </c>
      <c r="K1925" s="5">
        <v>88.38</v>
      </c>
      <c r="L1925" s="6">
        <v>0</v>
      </c>
      <c r="M1925" s="5">
        <v>176.76</v>
      </c>
      <c r="P1925" t="str">
        <f>TEXT(Tableau2[[#This Row],[Date]],"mmmm aaaa")</f>
        <v>février 2026</v>
      </c>
    </row>
    <row r="1926" spans="1:16">
      <c r="A1926" s="2" t="s">
        <v>2013</v>
      </c>
      <c r="B1926" s="3">
        <v>46113</v>
      </c>
      <c r="C1926" s="2" t="s">
        <v>134</v>
      </c>
      <c r="D1926" s="2" t="s">
        <v>15</v>
      </c>
      <c r="E1926" s="2" t="s">
        <v>43</v>
      </c>
      <c r="F1926" s="2" t="s">
        <v>17</v>
      </c>
      <c r="G1926" s="2" t="s">
        <v>48</v>
      </c>
      <c r="H1926" s="2" t="s">
        <v>88</v>
      </c>
      <c r="I1926" s="2" t="s">
        <v>20</v>
      </c>
      <c r="J1926" s="4">
        <v>2</v>
      </c>
      <c r="K1926" s="5">
        <v>77.900000000000006</v>
      </c>
      <c r="L1926" s="6">
        <v>0.15</v>
      </c>
      <c r="M1926" s="5">
        <v>132.43</v>
      </c>
      <c r="P1926" t="str">
        <f>TEXT(Tableau2[[#This Row],[Date]],"mmmm aaaa")</f>
        <v>avril 2026</v>
      </c>
    </row>
    <row r="1927" spans="1:16">
      <c r="A1927" s="2" t="s">
        <v>2014</v>
      </c>
      <c r="B1927" s="3">
        <v>46370</v>
      </c>
      <c r="C1927" s="2" t="s">
        <v>79</v>
      </c>
      <c r="D1927" s="2" t="s">
        <v>33</v>
      </c>
      <c r="E1927" s="2" t="s">
        <v>43</v>
      </c>
      <c r="F1927" s="2" t="s">
        <v>28</v>
      </c>
      <c r="G1927" s="2" t="s">
        <v>48</v>
      </c>
      <c r="H1927" s="2" t="s">
        <v>84</v>
      </c>
      <c r="I1927" s="2" t="s">
        <v>41</v>
      </c>
      <c r="J1927" s="4">
        <v>7</v>
      </c>
      <c r="K1927" s="5">
        <v>92</v>
      </c>
      <c r="L1927" s="6">
        <v>0</v>
      </c>
      <c r="M1927" s="5">
        <v>644</v>
      </c>
      <c r="P1927" t="str">
        <f>TEXT(Tableau2[[#This Row],[Date]],"mmmm aaaa")</f>
        <v>décembre 2026</v>
      </c>
    </row>
    <row r="1928" spans="1:16">
      <c r="A1928" s="2" t="s">
        <v>2015</v>
      </c>
      <c r="B1928" s="3">
        <v>46107</v>
      </c>
      <c r="C1928" s="2" t="s">
        <v>116</v>
      </c>
      <c r="D1928" s="2" t="s">
        <v>15</v>
      </c>
      <c r="E1928" s="2" t="s">
        <v>34</v>
      </c>
      <c r="F1928" s="2" t="s">
        <v>28</v>
      </c>
      <c r="G1928" s="2" t="s">
        <v>29</v>
      </c>
      <c r="H1928" s="2" t="s">
        <v>140</v>
      </c>
      <c r="I1928" s="2" t="s">
        <v>75</v>
      </c>
      <c r="J1928" s="4">
        <v>4</v>
      </c>
      <c r="K1928" s="5">
        <v>44.4</v>
      </c>
      <c r="L1928" s="6">
        <v>0</v>
      </c>
      <c r="M1928" s="5">
        <v>177.6</v>
      </c>
      <c r="P1928" t="str">
        <f>TEXT(Tableau2[[#This Row],[Date]],"mmmm aaaa")</f>
        <v>mars 2026</v>
      </c>
    </row>
    <row r="1929" spans="1:16">
      <c r="A1929" s="2" t="s">
        <v>2016</v>
      </c>
      <c r="B1929" s="3">
        <v>46064</v>
      </c>
      <c r="C1929" s="2" t="s">
        <v>14</v>
      </c>
      <c r="D1929" s="2" t="s">
        <v>15</v>
      </c>
      <c r="E1929" s="2" t="s">
        <v>16</v>
      </c>
      <c r="F1929" s="2" t="s">
        <v>17</v>
      </c>
      <c r="G1929" s="2" t="s">
        <v>39</v>
      </c>
      <c r="H1929" s="2" t="s">
        <v>71</v>
      </c>
      <c r="I1929" s="2" t="s">
        <v>45</v>
      </c>
      <c r="J1929" s="4">
        <v>1</v>
      </c>
      <c r="K1929" s="5">
        <v>127.32</v>
      </c>
      <c r="L1929" s="6">
        <v>0.15</v>
      </c>
      <c r="M1929" s="5">
        <v>108.22</v>
      </c>
      <c r="P1929" t="str">
        <f>TEXT(Tableau2[[#This Row],[Date]],"mmmm aaaa")</f>
        <v>février 2026</v>
      </c>
    </row>
    <row r="1930" spans="1:16">
      <c r="A1930" s="2" t="s">
        <v>2017</v>
      </c>
      <c r="B1930" s="3">
        <v>46328</v>
      </c>
      <c r="C1930" s="2" t="s">
        <v>52</v>
      </c>
      <c r="D1930" s="2" t="s">
        <v>53</v>
      </c>
      <c r="E1930" s="2" t="s">
        <v>16</v>
      </c>
      <c r="F1930" s="2" t="s">
        <v>17</v>
      </c>
      <c r="G1930" s="2" t="s">
        <v>48</v>
      </c>
      <c r="H1930" s="2" t="s">
        <v>84</v>
      </c>
      <c r="I1930" s="2" t="s">
        <v>50</v>
      </c>
      <c r="J1930" s="4">
        <v>1</v>
      </c>
      <c r="K1930" s="5">
        <v>95.8</v>
      </c>
      <c r="L1930" s="6">
        <v>0</v>
      </c>
      <c r="M1930" s="5">
        <v>95.8</v>
      </c>
      <c r="P1930" t="str">
        <f>TEXT(Tableau2[[#This Row],[Date]],"mmmm aaaa")</f>
        <v>novembre 2026</v>
      </c>
    </row>
    <row r="1931" spans="1:16">
      <c r="A1931" s="2" t="s">
        <v>2018</v>
      </c>
      <c r="B1931" s="3">
        <v>46151</v>
      </c>
      <c r="C1931" s="2" t="s">
        <v>86</v>
      </c>
      <c r="D1931" s="2" t="s">
        <v>53</v>
      </c>
      <c r="E1931" s="2" t="s">
        <v>34</v>
      </c>
      <c r="F1931" s="2" t="s">
        <v>28</v>
      </c>
      <c r="G1931" s="2" t="s">
        <v>48</v>
      </c>
      <c r="H1931" s="2" t="s">
        <v>88</v>
      </c>
      <c r="I1931" s="2" t="s">
        <v>50</v>
      </c>
      <c r="J1931" s="4">
        <v>2</v>
      </c>
      <c r="K1931" s="5">
        <v>72.930000000000007</v>
      </c>
      <c r="L1931" s="6">
        <v>0</v>
      </c>
      <c r="M1931" s="5">
        <v>145.86000000000001</v>
      </c>
      <c r="P1931" t="str">
        <f>TEXT(Tableau2[[#This Row],[Date]],"mmmm aaaa")</f>
        <v>mai 2026</v>
      </c>
    </row>
    <row r="1932" spans="1:16">
      <c r="A1932" s="2" t="s">
        <v>2019</v>
      </c>
      <c r="B1932" s="3">
        <v>46323</v>
      </c>
      <c r="C1932" s="2" t="s">
        <v>178</v>
      </c>
      <c r="D1932" s="2" t="s">
        <v>15</v>
      </c>
      <c r="E1932" s="2" t="s">
        <v>43</v>
      </c>
      <c r="F1932" s="2" t="s">
        <v>17</v>
      </c>
      <c r="G1932" s="2" t="s">
        <v>29</v>
      </c>
      <c r="H1932" s="2" t="s">
        <v>140</v>
      </c>
      <c r="I1932" s="2" t="s">
        <v>26</v>
      </c>
      <c r="J1932" s="4">
        <v>4</v>
      </c>
      <c r="K1932" s="5">
        <v>47.93</v>
      </c>
      <c r="L1932" s="6">
        <v>0</v>
      </c>
      <c r="M1932" s="5">
        <v>191.72</v>
      </c>
      <c r="P1932" t="str">
        <f>TEXT(Tableau2[[#This Row],[Date]],"mmmm aaaa")</f>
        <v>octobre 2026</v>
      </c>
    </row>
    <row r="1933" spans="1:16">
      <c r="A1933" s="2" t="s">
        <v>2020</v>
      </c>
      <c r="B1933" s="3">
        <v>46167</v>
      </c>
      <c r="C1933" s="2" t="s">
        <v>92</v>
      </c>
      <c r="D1933" s="2" t="s">
        <v>53</v>
      </c>
      <c r="E1933" s="2" t="s">
        <v>16</v>
      </c>
      <c r="F1933" s="2" t="s">
        <v>17</v>
      </c>
      <c r="G1933" s="2" t="s">
        <v>39</v>
      </c>
      <c r="H1933" s="2" t="s">
        <v>71</v>
      </c>
      <c r="I1933" s="2" t="s">
        <v>75</v>
      </c>
      <c r="J1933" s="4">
        <v>2</v>
      </c>
      <c r="K1933" s="5">
        <v>117.24</v>
      </c>
      <c r="L1933" s="6">
        <v>0.05</v>
      </c>
      <c r="M1933" s="5">
        <v>222.76</v>
      </c>
      <c r="P1933" t="str">
        <f>TEXT(Tableau2[[#This Row],[Date]],"mmmm aaaa")</f>
        <v>mai 2026</v>
      </c>
    </row>
    <row r="1934" spans="1:16">
      <c r="A1934" s="2" t="s">
        <v>2021</v>
      </c>
      <c r="B1934" s="3">
        <v>46164</v>
      </c>
      <c r="C1934" s="2" t="s">
        <v>60</v>
      </c>
      <c r="D1934" s="2" t="s">
        <v>33</v>
      </c>
      <c r="E1934" s="2" t="s">
        <v>16</v>
      </c>
      <c r="F1934" s="2" t="s">
        <v>17</v>
      </c>
      <c r="G1934" s="2" t="s">
        <v>48</v>
      </c>
      <c r="H1934" s="2" t="s">
        <v>84</v>
      </c>
      <c r="I1934" s="2" t="s">
        <v>20</v>
      </c>
      <c r="J1934" s="4">
        <v>5</v>
      </c>
      <c r="K1934" s="5">
        <v>95.41</v>
      </c>
      <c r="L1934" s="6">
        <v>0</v>
      </c>
      <c r="M1934" s="5">
        <v>477.05</v>
      </c>
      <c r="P1934" t="str">
        <f>TEXT(Tableau2[[#This Row],[Date]],"mmmm aaaa")</f>
        <v>mai 2026</v>
      </c>
    </row>
    <row r="1935" spans="1:16">
      <c r="A1935" s="2" t="s">
        <v>2022</v>
      </c>
      <c r="B1935" s="3">
        <v>46371</v>
      </c>
      <c r="C1935" s="2" t="s">
        <v>134</v>
      </c>
      <c r="D1935" s="2" t="s">
        <v>15</v>
      </c>
      <c r="E1935" s="2" t="s">
        <v>34</v>
      </c>
      <c r="F1935" s="2" t="s">
        <v>28</v>
      </c>
      <c r="G1935" s="2" t="s">
        <v>18</v>
      </c>
      <c r="H1935" s="2" t="s">
        <v>19</v>
      </c>
      <c r="I1935" s="2" t="s">
        <v>36</v>
      </c>
      <c r="J1935" s="4">
        <v>1</v>
      </c>
      <c r="K1935" s="5">
        <v>50.75</v>
      </c>
      <c r="L1935" s="6">
        <v>0.1</v>
      </c>
      <c r="M1935" s="5">
        <v>45.68</v>
      </c>
      <c r="P1935" t="str">
        <f>TEXT(Tableau2[[#This Row],[Date]],"mmmm aaaa")</f>
        <v>décembre 2026</v>
      </c>
    </row>
    <row r="1936" spans="1:16">
      <c r="A1936" s="2" t="s">
        <v>2023</v>
      </c>
      <c r="B1936" s="3">
        <v>46124</v>
      </c>
      <c r="C1936" s="2" t="s">
        <v>90</v>
      </c>
      <c r="D1936" s="2" t="s">
        <v>53</v>
      </c>
      <c r="E1936" s="2" t="s">
        <v>34</v>
      </c>
      <c r="F1936" s="2" t="s">
        <v>17</v>
      </c>
      <c r="G1936" s="2" t="s">
        <v>48</v>
      </c>
      <c r="H1936" s="2" t="s">
        <v>84</v>
      </c>
      <c r="I1936" s="2" t="s">
        <v>50</v>
      </c>
      <c r="J1936" s="4">
        <v>6</v>
      </c>
      <c r="K1936" s="5">
        <v>85.63</v>
      </c>
      <c r="L1936" s="6">
        <v>0</v>
      </c>
      <c r="M1936" s="5">
        <v>513.78</v>
      </c>
      <c r="P1936" t="str">
        <f>TEXT(Tableau2[[#This Row],[Date]],"mmmm aaaa")</f>
        <v>avril 2026</v>
      </c>
    </row>
    <row r="1937" spans="1:16">
      <c r="A1937" s="2" t="s">
        <v>2024</v>
      </c>
      <c r="B1937" s="3">
        <v>46365</v>
      </c>
      <c r="C1937" s="2" t="s">
        <v>90</v>
      </c>
      <c r="D1937" s="2" t="s">
        <v>53</v>
      </c>
      <c r="E1937" s="2" t="s">
        <v>16</v>
      </c>
      <c r="F1937" s="2" t="s">
        <v>17</v>
      </c>
      <c r="G1937" s="2" t="s">
        <v>54</v>
      </c>
      <c r="H1937" s="2" t="s">
        <v>64</v>
      </c>
      <c r="I1937" s="2" t="s">
        <v>58</v>
      </c>
      <c r="J1937" s="4">
        <v>1</v>
      </c>
      <c r="K1937" s="5">
        <v>89.56</v>
      </c>
      <c r="L1937" s="6">
        <v>0.05</v>
      </c>
      <c r="M1937" s="5">
        <v>85.08</v>
      </c>
      <c r="P1937" t="str">
        <f>TEXT(Tableau2[[#This Row],[Date]],"mmmm aaaa")</f>
        <v>décembre 2026</v>
      </c>
    </row>
    <row r="1938" spans="1:16">
      <c r="A1938" s="2" t="s">
        <v>2025</v>
      </c>
      <c r="B1938" s="3">
        <v>46235</v>
      </c>
      <c r="C1938" s="2" t="s">
        <v>14</v>
      </c>
      <c r="D1938" s="2" t="s">
        <v>15</v>
      </c>
      <c r="E1938" s="2" t="s">
        <v>16</v>
      </c>
      <c r="F1938" s="2" t="s">
        <v>17</v>
      </c>
      <c r="G1938" s="2" t="s">
        <v>39</v>
      </c>
      <c r="H1938" s="2" t="s">
        <v>71</v>
      </c>
      <c r="I1938" s="2" t="s">
        <v>58</v>
      </c>
      <c r="J1938" s="4">
        <v>1</v>
      </c>
      <c r="K1938" s="5">
        <v>111.87</v>
      </c>
      <c r="L1938" s="6">
        <v>0</v>
      </c>
      <c r="M1938" s="5">
        <v>111.87</v>
      </c>
      <c r="P1938" t="str">
        <f>TEXT(Tableau2[[#This Row],[Date]],"mmmm aaaa")</f>
        <v>août 2026</v>
      </c>
    </row>
    <row r="1939" spans="1:16">
      <c r="A1939" s="2" t="s">
        <v>2026</v>
      </c>
      <c r="B1939" s="3">
        <v>46311</v>
      </c>
      <c r="C1939" s="2" t="s">
        <v>156</v>
      </c>
      <c r="D1939" s="2" t="s">
        <v>15</v>
      </c>
      <c r="E1939" s="2" t="s">
        <v>16</v>
      </c>
      <c r="F1939" s="2" t="s">
        <v>17</v>
      </c>
      <c r="G1939" s="2" t="s">
        <v>29</v>
      </c>
      <c r="H1939" s="2" t="s">
        <v>99</v>
      </c>
      <c r="I1939" s="2" t="s">
        <v>20</v>
      </c>
      <c r="J1939" s="4">
        <v>3</v>
      </c>
      <c r="K1939" s="5">
        <v>58.53</v>
      </c>
      <c r="L1939" s="6">
        <v>0</v>
      </c>
      <c r="M1939" s="5">
        <v>175.59</v>
      </c>
      <c r="P1939" t="str">
        <f>TEXT(Tableau2[[#This Row],[Date]],"mmmm aaaa")</f>
        <v>octobre 2026</v>
      </c>
    </row>
    <row r="1940" spans="1:16">
      <c r="A1940" s="2" t="s">
        <v>2027</v>
      </c>
      <c r="B1940" s="3">
        <v>46338</v>
      </c>
      <c r="C1940" s="2" t="s">
        <v>63</v>
      </c>
      <c r="D1940" s="2" t="s">
        <v>33</v>
      </c>
      <c r="E1940" s="2" t="s">
        <v>38</v>
      </c>
      <c r="F1940" s="2" t="s">
        <v>17</v>
      </c>
      <c r="G1940" s="2" t="s">
        <v>54</v>
      </c>
      <c r="H1940" s="2" t="s">
        <v>64</v>
      </c>
      <c r="I1940" s="2" t="s">
        <v>58</v>
      </c>
      <c r="J1940" s="4">
        <v>2</v>
      </c>
      <c r="K1940" s="5">
        <v>90.78</v>
      </c>
      <c r="L1940" s="6">
        <v>0</v>
      </c>
      <c r="M1940" s="5">
        <v>181.56</v>
      </c>
      <c r="P1940" t="str">
        <f>TEXT(Tableau2[[#This Row],[Date]],"mmmm aaaa")</f>
        <v>novembre 2026</v>
      </c>
    </row>
    <row r="1941" spans="1:16">
      <c r="A1941" s="2" t="s">
        <v>2028</v>
      </c>
      <c r="B1941" s="3">
        <v>46335</v>
      </c>
      <c r="C1941" s="2" t="s">
        <v>130</v>
      </c>
      <c r="D1941" s="2" t="s">
        <v>53</v>
      </c>
      <c r="E1941" s="2" t="s">
        <v>34</v>
      </c>
      <c r="F1941" s="2" t="s">
        <v>28</v>
      </c>
      <c r="G1941" s="2" t="s">
        <v>48</v>
      </c>
      <c r="H1941" s="2" t="s">
        <v>77</v>
      </c>
      <c r="I1941" s="2" t="s">
        <v>41</v>
      </c>
      <c r="J1941" s="4">
        <v>2</v>
      </c>
      <c r="K1941" s="5">
        <v>90.47</v>
      </c>
      <c r="L1941" s="6">
        <v>0.1</v>
      </c>
      <c r="M1941" s="5">
        <v>162.85</v>
      </c>
      <c r="P1941" t="str">
        <f>TEXT(Tableau2[[#This Row],[Date]],"mmmm aaaa")</f>
        <v>novembre 2026</v>
      </c>
    </row>
    <row r="1942" spans="1:16">
      <c r="A1942" s="2" t="s">
        <v>2029</v>
      </c>
      <c r="B1942" s="3">
        <v>46089</v>
      </c>
      <c r="C1942" s="2" t="s">
        <v>14</v>
      </c>
      <c r="D1942" s="2" t="s">
        <v>15</v>
      </c>
      <c r="E1942" s="2" t="s">
        <v>16</v>
      </c>
      <c r="F1942" s="2" t="s">
        <v>28</v>
      </c>
      <c r="G1942" s="2" t="s">
        <v>18</v>
      </c>
      <c r="H1942" s="2" t="s">
        <v>143</v>
      </c>
      <c r="I1942" s="2" t="s">
        <v>36</v>
      </c>
      <c r="J1942" s="4">
        <v>3</v>
      </c>
      <c r="K1942" s="5">
        <v>69.84</v>
      </c>
      <c r="L1942" s="6">
        <v>0</v>
      </c>
      <c r="M1942" s="5">
        <v>209.52</v>
      </c>
      <c r="P1942" t="str">
        <f>TEXT(Tableau2[[#This Row],[Date]],"mmmm aaaa")</f>
        <v>mars 2026</v>
      </c>
    </row>
    <row r="1943" spans="1:16">
      <c r="A1943" s="2" t="s">
        <v>2030</v>
      </c>
      <c r="B1943" s="3">
        <v>46231</v>
      </c>
      <c r="C1943" s="2" t="s">
        <v>63</v>
      </c>
      <c r="D1943" s="2" t="s">
        <v>33</v>
      </c>
      <c r="E1943" s="2" t="s">
        <v>16</v>
      </c>
      <c r="F1943" s="2" t="s">
        <v>17</v>
      </c>
      <c r="G1943" s="2" t="s">
        <v>18</v>
      </c>
      <c r="H1943" s="2" t="s">
        <v>19</v>
      </c>
      <c r="I1943" s="2" t="s">
        <v>75</v>
      </c>
      <c r="J1943" s="4">
        <v>1</v>
      </c>
      <c r="K1943" s="5">
        <v>53.62</v>
      </c>
      <c r="L1943" s="6">
        <v>0</v>
      </c>
      <c r="M1943" s="5">
        <v>53.62</v>
      </c>
      <c r="P1943" t="str">
        <f>TEXT(Tableau2[[#This Row],[Date]],"mmmm aaaa")</f>
        <v>juillet 2026</v>
      </c>
    </row>
    <row r="1944" spans="1:16">
      <c r="A1944" s="2" t="s">
        <v>2031</v>
      </c>
      <c r="B1944" s="3">
        <v>46082</v>
      </c>
      <c r="C1944" s="2" t="s">
        <v>63</v>
      </c>
      <c r="D1944" s="2" t="s">
        <v>33</v>
      </c>
      <c r="E1944" s="2" t="s">
        <v>16</v>
      </c>
      <c r="F1944" s="2" t="s">
        <v>17</v>
      </c>
      <c r="G1944" s="2" t="s">
        <v>18</v>
      </c>
      <c r="H1944" s="2" t="s">
        <v>158</v>
      </c>
      <c r="I1944" s="2" t="s">
        <v>20</v>
      </c>
      <c r="J1944" s="4">
        <v>3</v>
      </c>
      <c r="K1944" s="5">
        <v>49.16</v>
      </c>
      <c r="L1944" s="6">
        <v>0.15</v>
      </c>
      <c r="M1944" s="5">
        <v>125.36</v>
      </c>
      <c r="P1944" t="str">
        <f>TEXT(Tableau2[[#This Row],[Date]],"mmmm aaaa")</f>
        <v>mars 2026</v>
      </c>
    </row>
    <row r="1945" spans="1:16">
      <c r="A1945" s="2" t="s">
        <v>2032</v>
      </c>
      <c r="B1945" s="3">
        <v>46256</v>
      </c>
      <c r="C1945" s="2" t="s">
        <v>79</v>
      </c>
      <c r="D1945" s="2" t="s">
        <v>33</v>
      </c>
      <c r="E1945" s="2" t="s">
        <v>16</v>
      </c>
      <c r="F1945" s="2" t="s">
        <v>28</v>
      </c>
      <c r="G1945" s="2" t="s">
        <v>39</v>
      </c>
      <c r="H1945" s="2" t="s">
        <v>71</v>
      </c>
      <c r="I1945" s="2" t="s">
        <v>50</v>
      </c>
      <c r="J1945" s="4">
        <v>2</v>
      </c>
      <c r="K1945" s="5">
        <v>122.26</v>
      </c>
      <c r="L1945" s="6">
        <v>0</v>
      </c>
      <c r="M1945" s="5">
        <v>244.52</v>
      </c>
      <c r="P1945" t="str">
        <f>TEXT(Tableau2[[#This Row],[Date]],"mmmm aaaa")</f>
        <v>août 2026</v>
      </c>
    </row>
    <row r="1946" spans="1:16">
      <c r="A1946" s="2" t="s">
        <v>2033</v>
      </c>
      <c r="B1946" s="3">
        <v>46252</v>
      </c>
      <c r="C1946" s="2" t="s">
        <v>22</v>
      </c>
      <c r="D1946" s="2" t="s">
        <v>23</v>
      </c>
      <c r="E1946" s="2" t="s">
        <v>16</v>
      </c>
      <c r="F1946" s="2" t="s">
        <v>17</v>
      </c>
      <c r="G1946" s="2" t="s">
        <v>24</v>
      </c>
      <c r="H1946" s="2" t="s">
        <v>35</v>
      </c>
      <c r="I1946" s="2" t="s">
        <v>58</v>
      </c>
      <c r="J1946" s="4">
        <v>5</v>
      </c>
      <c r="K1946" s="5">
        <v>155.62</v>
      </c>
      <c r="L1946" s="6">
        <v>0.1</v>
      </c>
      <c r="M1946" s="5">
        <v>700.29</v>
      </c>
      <c r="P1946" t="str">
        <f>TEXT(Tableau2[[#This Row],[Date]],"mmmm aaaa")</f>
        <v>août 2026</v>
      </c>
    </row>
    <row r="1947" spans="1:16">
      <c r="A1947" s="2" t="s">
        <v>2034</v>
      </c>
      <c r="B1947" s="3">
        <v>46387</v>
      </c>
      <c r="C1947" s="2" t="s">
        <v>57</v>
      </c>
      <c r="D1947" s="2" t="s">
        <v>15</v>
      </c>
      <c r="E1947" s="2" t="s">
        <v>38</v>
      </c>
      <c r="F1947" s="2" t="s">
        <v>17</v>
      </c>
      <c r="G1947" s="2" t="s">
        <v>48</v>
      </c>
      <c r="H1947" s="2" t="s">
        <v>88</v>
      </c>
      <c r="I1947" s="2" t="s">
        <v>36</v>
      </c>
      <c r="J1947" s="4">
        <v>1</v>
      </c>
      <c r="K1947" s="5">
        <v>73.709999999999994</v>
      </c>
      <c r="L1947" s="6">
        <v>0</v>
      </c>
      <c r="M1947" s="5">
        <v>73.709999999999994</v>
      </c>
      <c r="P1947" t="str">
        <f>TEXT(Tableau2[[#This Row],[Date]],"mmmm aaaa")</f>
        <v>décembre 2026</v>
      </c>
    </row>
    <row r="1948" spans="1:16">
      <c r="A1948" s="2" t="s">
        <v>2035</v>
      </c>
      <c r="B1948" s="3">
        <v>46117</v>
      </c>
      <c r="C1948" s="2" t="s">
        <v>164</v>
      </c>
      <c r="D1948" s="2" t="s">
        <v>53</v>
      </c>
      <c r="E1948" s="2" t="s">
        <v>16</v>
      </c>
      <c r="F1948" s="2" t="s">
        <v>17</v>
      </c>
      <c r="G1948" s="2" t="s">
        <v>18</v>
      </c>
      <c r="H1948" s="2" t="s">
        <v>136</v>
      </c>
      <c r="I1948" s="2" t="s">
        <v>58</v>
      </c>
      <c r="J1948" s="4">
        <v>2</v>
      </c>
      <c r="K1948" s="5">
        <v>31.14</v>
      </c>
      <c r="L1948" s="6">
        <v>0</v>
      </c>
      <c r="M1948" s="5">
        <v>62.28</v>
      </c>
      <c r="P1948" t="str">
        <f>TEXT(Tableau2[[#This Row],[Date]],"mmmm aaaa")</f>
        <v>avril 2026</v>
      </c>
    </row>
    <row r="1949" spans="1:16">
      <c r="A1949" s="2" t="s">
        <v>2036</v>
      </c>
      <c r="B1949" s="3">
        <v>46305</v>
      </c>
      <c r="C1949" s="2" t="s">
        <v>116</v>
      </c>
      <c r="D1949" s="2" t="s">
        <v>15</v>
      </c>
      <c r="E1949" s="2" t="s">
        <v>38</v>
      </c>
      <c r="F1949" s="2" t="s">
        <v>17</v>
      </c>
      <c r="G1949" s="2" t="s">
        <v>24</v>
      </c>
      <c r="H1949" s="2" t="s">
        <v>25</v>
      </c>
      <c r="I1949" s="2" t="s">
        <v>75</v>
      </c>
      <c r="J1949" s="4">
        <v>2</v>
      </c>
      <c r="K1949" s="5">
        <v>120.67</v>
      </c>
      <c r="L1949" s="6">
        <v>0</v>
      </c>
      <c r="M1949" s="5">
        <v>241.34</v>
      </c>
      <c r="P1949" t="str">
        <f>TEXT(Tableau2[[#This Row],[Date]],"mmmm aaaa")</f>
        <v>octobre 2026</v>
      </c>
    </row>
    <row r="1950" spans="1:16">
      <c r="A1950" s="2" t="s">
        <v>2037</v>
      </c>
      <c r="B1950" s="3">
        <v>46062</v>
      </c>
      <c r="C1950" s="2" t="s">
        <v>169</v>
      </c>
      <c r="D1950" s="2" t="s">
        <v>33</v>
      </c>
      <c r="E1950" s="2" t="s">
        <v>16</v>
      </c>
      <c r="F1950" s="2" t="s">
        <v>17</v>
      </c>
      <c r="G1950" s="2" t="s">
        <v>39</v>
      </c>
      <c r="H1950" s="2" t="s">
        <v>40</v>
      </c>
      <c r="I1950" s="2" t="s">
        <v>36</v>
      </c>
      <c r="J1950" s="4">
        <v>5</v>
      </c>
      <c r="K1950" s="5">
        <v>129.72</v>
      </c>
      <c r="L1950" s="6">
        <v>0</v>
      </c>
      <c r="M1950" s="5">
        <v>648.6</v>
      </c>
      <c r="P1950" t="str">
        <f>TEXT(Tableau2[[#This Row],[Date]],"mmmm aaaa")</f>
        <v>février 2026</v>
      </c>
    </row>
    <row r="1951" spans="1:16">
      <c r="A1951" s="2" t="s">
        <v>2038</v>
      </c>
      <c r="B1951" s="3">
        <v>46116</v>
      </c>
      <c r="C1951" s="2" t="s">
        <v>22</v>
      </c>
      <c r="D1951" s="2" t="s">
        <v>23</v>
      </c>
      <c r="E1951" s="2" t="s">
        <v>16</v>
      </c>
      <c r="F1951" s="2" t="s">
        <v>28</v>
      </c>
      <c r="G1951" s="2" t="s">
        <v>48</v>
      </c>
      <c r="H1951" s="2" t="s">
        <v>88</v>
      </c>
      <c r="I1951" s="2" t="s">
        <v>50</v>
      </c>
      <c r="J1951" s="4">
        <v>2</v>
      </c>
      <c r="K1951" s="5">
        <v>70.099999999999994</v>
      </c>
      <c r="L1951" s="6">
        <v>0</v>
      </c>
      <c r="M1951" s="5">
        <v>140.19999999999999</v>
      </c>
      <c r="P1951" t="str">
        <f>TEXT(Tableau2[[#This Row],[Date]],"mmmm aaaa")</f>
        <v>avril 2026</v>
      </c>
    </row>
    <row r="1952" spans="1:16">
      <c r="A1952" s="2" t="s">
        <v>2039</v>
      </c>
      <c r="B1952" s="3">
        <v>46307</v>
      </c>
      <c r="C1952" s="2" t="s">
        <v>125</v>
      </c>
      <c r="D1952" s="2" t="s">
        <v>23</v>
      </c>
      <c r="E1952" s="2" t="s">
        <v>43</v>
      </c>
      <c r="F1952" s="2" t="s">
        <v>28</v>
      </c>
      <c r="G1952" s="2" t="s">
        <v>24</v>
      </c>
      <c r="H1952" s="2" t="s">
        <v>61</v>
      </c>
      <c r="I1952" s="2" t="s">
        <v>41</v>
      </c>
      <c r="J1952" s="4">
        <v>8</v>
      </c>
      <c r="K1952" s="5">
        <v>226.42</v>
      </c>
      <c r="L1952" s="6">
        <v>0</v>
      </c>
      <c r="M1952" s="5">
        <v>1811.36</v>
      </c>
      <c r="P1952" t="str">
        <f>TEXT(Tableau2[[#This Row],[Date]],"mmmm aaaa")</f>
        <v>octobre 2026</v>
      </c>
    </row>
    <row r="1953" spans="1:16">
      <c r="A1953" s="2" t="s">
        <v>2040</v>
      </c>
      <c r="B1953" s="3">
        <v>46121</v>
      </c>
      <c r="C1953" s="2" t="s">
        <v>441</v>
      </c>
      <c r="D1953" s="2" t="s">
        <v>23</v>
      </c>
      <c r="E1953" s="2" t="s">
        <v>16</v>
      </c>
      <c r="F1953" s="2" t="s">
        <v>28</v>
      </c>
      <c r="G1953" s="2" t="s">
        <v>39</v>
      </c>
      <c r="H1953" s="2" t="s">
        <v>71</v>
      </c>
      <c r="I1953" s="2" t="s">
        <v>41</v>
      </c>
      <c r="J1953" s="4">
        <v>6</v>
      </c>
      <c r="K1953" s="5">
        <v>118.58</v>
      </c>
      <c r="L1953" s="6">
        <v>0</v>
      </c>
      <c r="M1953" s="5">
        <v>711.48</v>
      </c>
      <c r="P1953" t="str">
        <f>TEXT(Tableau2[[#This Row],[Date]],"mmmm aaaa")</f>
        <v>avril 2026</v>
      </c>
    </row>
    <row r="1954" spans="1:16">
      <c r="A1954" s="2" t="s">
        <v>2041</v>
      </c>
      <c r="B1954" s="3">
        <v>46367</v>
      </c>
      <c r="C1954" s="2" t="s">
        <v>106</v>
      </c>
      <c r="D1954" s="2" t="s">
        <v>23</v>
      </c>
      <c r="E1954" s="2" t="s">
        <v>16</v>
      </c>
      <c r="F1954" s="2" t="s">
        <v>17</v>
      </c>
      <c r="G1954" s="2" t="s">
        <v>48</v>
      </c>
      <c r="H1954" s="2" t="s">
        <v>77</v>
      </c>
      <c r="I1954" s="2" t="s">
        <v>58</v>
      </c>
      <c r="J1954" s="4">
        <v>2</v>
      </c>
      <c r="K1954" s="5">
        <v>86.71</v>
      </c>
      <c r="L1954" s="6">
        <v>0</v>
      </c>
      <c r="M1954" s="5">
        <v>173.42</v>
      </c>
      <c r="P1954" t="str">
        <f>TEXT(Tableau2[[#This Row],[Date]],"mmmm aaaa")</f>
        <v>décembre 2026</v>
      </c>
    </row>
    <row r="1955" spans="1:16">
      <c r="A1955" s="2" t="s">
        <v>2042</v>
      </c>
      <c r="B1955" s="3">
        <v>46278</v>
      </c>
      <c r="C1955" s="2" t="s">
        <v>22</v>
      </c>
      <c r="D1955" s="2" t="s">
        <v>23</v>
      </c>
      <c r="E1955" s="2" t="s">
        <v>43</v>
      </c>
      <c r="F1955" s="2" t="s">
        <v>28</v>
      </c>
      <c r="G1955" s="2" t="s">
        <v>54</v>
      </c>
      <c r="H1955" s="2" t="s">
        <v>55</v>
      </c>
      <c r="I1955" s="2" t="s">
        <v>50</v>
      </c>
      <c r="J1955" s="4">
        <v>1</v>
      </c>
      <c r="K1955" s="5">
        <v>166.89</v>
      </c>
      <c r="L1955" s="6">
        <v>0</v>
      </c>
      <c r="M1955" s="5">
        <v>166.89</v>
      </c>
      <c r="P1955" t="str">
        <f>TEXT(Tableau2[[#This Row],[Date]],"mmmm aaaa")</f>
        <v>septembre 2026</v>
      </c>
    </row>
    <row r="1956" spans="1:16">
      <c r="A1956" s="2" t="s">
        <v>2043</v>
      </c>
      <c r="B1956" s="3">
        <v>46030</v>
      </c>
      <c r="C1956" s="2" t="s">
        <v>123</v>
      </c>
      <c r="D1956" s="2" t="s">
        <v>53</v>
      </c>
      <c r="E1956" s="2" t="s">
        <v>16</v>
      </c>
      <c r="F1956" s="2" t="s">
        <v>28</v>
      </c>
      <c r="G1956" s="2" t="s">
        <v>48</v>
      </c>
      <c r="H1956" s="2" t="s">
        <v>84</v>
      </c>
      <c r="I1956" s="2" t="s">
        <v>20</v>
      </c>
      <c r="J1956" s="4">
        <v>1</v>
      </c>
      <c r="K1956" s="5">
        <v>88.78</v>
      </c>
      <c r="L1956" s="6">
        <v>0</v>
      </c>
      <c r="M1956" s="5">
        <v>88.78</v>
      </c>
      <c r="P1956" t="str">
        <f>TEXT(Tableau2[[#This Row],[Date]],"mmmm aaaa")</f>
        <v>janvier 2026</v>
      </c>
    </row>
    <row r="1957" spans="1:16">
      <c r="A1957" s="2" t="s">
        <v>2044</v>
      </c>
      <c r="B1957" s="3">
        <v>46304</v>
      </c>
      <c r="C1957" s="2" t="s">
        <v>57</v>
      </c>
      <c r="D1957" s="2" t="s">
        <v>15</v>
      </c>
      <c r="E1957" s="2" t="s">
        <v>34</v>
      </c>
      <c r="F1957" s="2" t="s">
        <v>17</v>
      </c>
      <c r="G1957" s="2" t="s">
        <v>54</v>
      </c>
      <c r="H1957" s="2" t="s">
        <v>55</v>
      </c>
      <c r="I1957" s="2" t="s">
        <v>50</v>
      </c>
      <c r="J1957" s="4">
        <v>8</v>
      </c>
      <c r="K1957" s="5">
        <v>152.28</v>
      </c>
      <c r="L1957" s="6">
        <v>0</v>
      </c>
      <c r="M1957" s="5">
        <v>1218.24</v>
      </c>
      <c r="P1957" t="str">
        <f>TEXT(Tableau2[[#This Row],[Date]],"mmmm aaaa")</f>
        <v>octobre 2026</v>
      </c>
    </row>
    <row r="1958" spans="1:16">
      <c r="A1958" s="2" t="s">
        <v>2045</v>
      </c>
      <c r="B1958" s="3">
        <v>46362</v>
      </c>
      <c r="C1958" s="2" t="s">
        <v>63</v>
      </c>
      <c r="D1958" s="2" t="s">
        <v>33</v>
      </c>
      <c r="E1958" s="2" t="s">
        <v>16</v>
      </c>
      <c r="F1958" s="2" t="s">
        <v>28</v>
      </c>
      <c r="G1958" s="2" t="s">
        <v>29</v>
      </c>
      <c r="H1958" s="2" t="s">
        <v>44</v>
      </c>
      <c r="I1958" s="2" t="s">
        <v>26</v>
      </c>
      <c r="J1958" s="4">
        <v>1</v>
      </c>
      <c r="K1958" s="5">
        <v>40.35</v>
      </c>
      <c r="L1958" s="6">
        <v>0</v>
      </c>
      <c r="M1958" s="5">
        <v>40.35</v>
      </c>
      <c r="P1958" t="str">
        <f>TEXT(Tableau2[[#This Row],[Date]],"mmmm aaaa")</f>
        <v>décembre 2026</v>
      </c>
    </row>
    <row r="1959" spans="1:16">
      <c r="A1959" s="2" t="s">
        <v>2046</v>
      </c>
      <c r="B1959" s="3">
        <v>46146</v>
      </c>
      <c r="C1959" s="2" t="s">
        <v>57</v>
      </c>
      <c r="D1959" s="2" t="s">
        <v>15</v>
      </c>
      <c r="E1959" s="2" t="s">
        <v>34</v>
      </c>
      <c r="F1959" s="2" t="s">
        <v>28</v>
      </c>
      <c r="G1959" s="2" t="s">
        <v>48</v>
      </c>
      <c r="H1959" s="2" t="s">
        <v>88</v>
      </c>
      <c r="I1959" s="2" t="s">
        <v>75</v>
      </c>
      <c r="J1959" s="4">
        <v>1</v>
      </c>
      <c r="K1959" s="5">
        <v>72.19</v>
      </c>
      <c r="L1959" s="6">
        <v>0.1</v>
      </c>
      <c r="M1959" s="5">
        <v>64.97</v>
      </c>
      <c r="P1959" t="str">
        <f>TEXT(Tableau2[[#This Row],[Date]],"mmmm aaaa")</f>
        <v>mai 2026</v>
      </c>
    </row>
    <row r="1960" spans="1:16">
      <c r="A1960" s="2" t="s">
        <v>2047</v>
      </c>
      <c r="B1960" s="3">
        <v>46050</v>
      </c>
      <c r="C1960" s="2" t="s">
        <v>14</v>
      </c>
      <c r="D1960" s="2" t="s">
        <v>15</v>
      </c>
      <c r="E1960" s="2" t="s">
        <v>43</v>
      </c>
      <c r="F1960" s="2" t="s">
        <v>17</v>
      </c>
      <c r="G1960" s="2" t="s">
        <v>39</v>
      </c>
      <c r="H1960" s="2" t="s">
        <v>71</v>
      </c>
      <c r="I1960" s="2" t="s">
        <v>58</v>
      </c>
      <c r="J1960" s="4">
        <v>2</v>
      </c>
      <c r="K1960" s="5">
        <v>122.92</v>
      </c>
      <c r="L1960" s="6">
        <v>0.2</v>
      </c>
      <c r="M1960" s="5">
        <v>196.67</v>
      </c>
      <c r="P1960" t="str">
        <f>TEXT(Tableau2[[#This Row],[Date]],"mmmm aaaa")</f>
        <v>janvier 2026</v>
      </c>
    </row>
    <row r="1961" spans="1:16">
      <c r="A1961" s="2" t="s">
        <v>2048</v>
      </c>
      <c r="B1961" s="3">
        <v>46303</v>
      </c>
      <c r="C1961" s="2" t="s">
        <v>119</v>
      </c>
      <c r="D1961" s="2" t="s">
        <v>15</v>
      </c>
      <c r="E1961" s="2" t="s">
        <v>43</v>
      </c>
      <c r="F1961" s="2" t="s">
        <v>28</v>
      </c>
      <c r="G1961" s="2" t="s">
        <v>39</v>
      </c>
      <c r="H1961" s="2" t="s">
        <v>95</v>
      </c>
      <c r="I1961" s="2" t="s">
        <v>36</v>
      </c>
      <c r="J1961" s="4">
        <v>1</v>
      </c>
      <c r="K1961" s="5">
        <v>102.83</v>
      </c>
      <c r="L1961" s="6">
        <v>0</v>
      </c>
      <c r="M1961" s="5">
        <v>102.83</v>
      </c>
      <c r="P1961" t="str">
        <f>TEXT(Tableau2[[#This Row],[Date]],"mmmm aaaa")</f>
        <v>octobre 2026</v>
      </c>
    </row>
    <row r="1962" spans="1:16">
      <c r="A1962" s="2" t="s">
        <v>2049</v>
      </c>
      <c r="B1962" s="3">
        <v>46348</v>
      </c>
      <c r="C1962" s="2" t="s">
        <v>22</v>
      </c>
      <c r="D1962" s="2" t="s">
        <v>23</v>
      </c>
      <c r="E1962" s="2" t="s">
        <v>43</v>
      </c>
      <c r="F1962" s="2" t="s">
        <v>17</v>
      </c>
      <c r="G1962" s="2" t="s">
        <v>24</v>
      </c>
      <c r="H1962" s="2" t="s">
        <v>35</v>
      </c>
      <c r="I1962" s="2" t="s">
        <v>36</v>
      </c>
      <c r="J1962" s="4">
        <v>2</v>
      </c>
      <c r="K1962" s="5">
        <v>157.35</v>
      </c>
      <c r="L1962" s="6">
        <v>0</v>
      </c>
      <c r="M1962" s="5">
        <v>314.7</v>
      </c>
      <c r="P1962" t="str">
        <f>TEXT(Tableau2[[#This Row],[Date]],"mmmm aaaa")</f>
        <v>novembre 2026</v>
      </c>
    </row>
    <row r="1963" spans="1:16">
      <c r="A1963" s="2" t="s">
        <v>2050</v>
      </c>
      <c r="B1963" s="3">
        <v>46225</v>
      </c>
      <c r="C1963" s="2" t="s">
        <v>130</v>
      </c>
      <c r="D1963" s="2" t="s">
        <v>53</v>
      </c>
      <c r="E1963" s="2" t="s">
        <v>16</v>
      </c>
      <c r="F1963" s="2" t="s">
        <v>28</v>
      </c>
      <c r="G1963" s="2" t="s">
        <v>39</v>
      </c>
      <c r="H1963" s="2" t="s">
        <v>95</v>
      </c>
      <c r="I1963" s="2" t="s">
        <v>75</v>
      </c>
      <c r="J1963" s="4">
        <v>1</v>
      </c>
      <c r="K1963" s="5">
        <v>104.86</v>
      </c>
      <c r="L1963" s="6">
        <v>0</v>
      </c>
      <c r="M1963" s="5">
        <v>104.86</v>
      </c>
      <c r="P1963" t="str">
        <f>TEXT(Tableau2[[#This Row],[Date]],"mmmm aaaa")</f>
        <v>juillet 2026</v>
      </c>
    </row>
    <row r="1964" spans="1:16">
      <c r="A1964" s="2" t="s">
        <v>2051</v>
      </c>
      <c r="B1964" s="3">
        <v>46078</v>
      </c>
      <c r="C1964" s="2" t="s">
        <v>63</v>
      </c>
      <c r="D1964" s="2" t="s">
        <v>33</v>
      </c>
      <c r="E1964" s="2" t="s">
        <v>34</v>
      </c>
      <c r="F1964" s="2" t="s">
        <v>28</v>
      </c>
      <c r="G1964" s="2" t="s">
        <v>54</v>
      </c>
      <c r="H1964" s="2" t="s">
        <v>102</v>
      </c>
      <c r="I1964" s="2" t="s">
        <v>75</v>
      </c>
      <c r="J1964" s="4">
        <v>2</v>
      </c>
      <c r="K1964" s="5">
        <v>201.26</v>
      </c>
      <c r="L1964" s="6">
        <v>0.1</v>
      </c>
      <c r="M1964" s="5">
        <v>362.27</v>
      </c>
      <c r="P1964" t="str">
        <f>TEXT(Tableau2[[#This Row],[Date]],"mmmm aaaa")</f>
        <v>février 2026</v>
      </c>
    </row>
    <row r="1965" spans="1:16">
      <c r="A1965" s="2" t="s">
        <v>2052</v>
      </c>
      <c r="B1965" s="3">
        <v>46069</v>
      </c>
      <c r="C1965" s="2" t="s">
        <v>63</v>
      </c>
      <c r="D1965" s="2" t="s">
        <v>33</v>
      </c>
      <c r="E1965" s="2" t="s">
        <v>34</v>
      </c>
      <c r="F1965" s="2" t="s">
        <v>28</v>
      </c>
      <c r="G1965" s="2" t="s">
        <v>48</v>
      </c>
      <c r="H1965" s="2" t="s">
        <v>84</v>
      </c>
      <c r="I1965" s="2" t="s">
        <v>75</v>
      </c>
      <c r="J1965" s="4">
        <v>1</v>
      </c>
      <c r="K1965" s="5">
        <v>91.94</v>
      </c>
      <c r="L1965" s="6">
        <v>0.15</v>
      </c>
      <c r="M1965" s="5">
        <v>78.150000000000006</v>
      </c>
      <c r="P1965" t="str">
        <f>TEXT(Tableau2[[#This Row],[Date]],"mmmm aaaa")</f>
        <v>février 2026</v>
      </c>
    </row>
    <row r="1966" spans="1:16">
      <c r="A1966" s="2" t="s">
        <v>2053</v>
      </c>
      <c r="B1966" s="3">
        <v>46382</v>
      </c>
      <c r="C1966" s="2" t="s">
        <v>57</v>
      </c>
      <c r="D1966" s="2" t="s">
        <v>15</v>
      </c>
      <c r="E1966" s="2" t="s">
        <v>16</v>
      </c>
      <c r="F1966" s="2" t="s">
        <v>17</v>
      </c>
      <c r="G1966" s="2" t="s">
        <v>18</v>
      </c>
      <c r="H1966" s="2" t="s">
        <v>158</v>
      </c>
      <c r="I1966" s="2" t="s">
        <v>45</v>
      </c>
      <c r="J1966" s="4">
        <v>10</v>
      </c>
      <c r="K1966" s="5">
        <v>48.37</v>
      </c>
      <c r="L1966" s="6">
        <v>0.05</v>
      </c>
      <c r="M1966" s="5">
        <v>459.51</v>
      </c>
      <c r="P1966" t="str">
        <f>TEXT(Tableau2[[#This Row],[Date]],"mmmm aaaa")</f>
        <v>décembre 2026</v>
      </c>
    </row>
    <row r="1967" spans="1:16">
      <c r="A1967" s="2" t="s">
        <v>2054</v>
      </c>
      <c r="B1967" s="3">
        <v>46091</v>
      </c>
      <c r="C1967" s="2" t="s">
        <v>134</v>
      </c>
      <c r="D1967" s="2" t="s">
        <v>15</v>
      </c>
      <c r="E1967" s="2" t="s">
        <v>34</v>
      </c>
      <c r="F1967" s="2" t="s">
        <v>28</v>
      </c>
      <c r="G1967" s="2" t="s">
        <v>48</v>
      </c>
      <c r="H1967" s="2" t="s">
        <v>84</v>
      </c>
      <c r="I1967" s="2" t="s">
        <v>50</v>
      </c>
      <c r="J1967" s="4">
        <v>1</v>
      </c>
      <c r="K1967" s="5">
        <v>94.21</v>
      </c>
      <c r="L1967" s="6">
        <v>0</v>
      </c>
      <c r="M1967" s="5">
        <v>94.21</v>
      </c>
      <c r="P1967" t="str">
        <f>TEXT(Tableau2[[#This Row],[Date]],"mmmm aaaa")</f>
        <v>mars 2026</v>
      </c>
    </row>
    <row r="1968" spans="1:16">
      <c r="A1968" s="2" t="s">
        <v>2055</v>
      </c>
      <c r="B1968" s="3">
        <v>46144</v>
      </c>
      <c r="C1968" s="2" t="s">
        <v>14</v>
      </c>
      <c r="D1968" s="2" t="s">
        <v>15</v>
      </c>
      <c r="E1968" s="2" t="s">
        <v>34</v>
      </c>
      <c r="F1968" s="2" t="s">
        <v>17</v>
      </c>
      <c r="G1968" s="2" t="s">
        <v>48</v>
      </c>
      <c r="H1968" s="2" t="s">
        <v>77</v>
      </c>
      <c r="I1968" s="2" t="s">
        <v>45</v>
      </c>
      <c r="J1968" s="4">
        <v>6</v>
      </c>
      <c r="K1968" s="5">
        <v>79.81</v>
      </c>
      <c r="L1968" s="6">
        <v>0</v>
      </c>
      <c r="M1968" s="5">
        <v>478.86</v>
      </c>
      <c r="P1968" t="str">
        <f>TEXT(Tableau2[[#This Row],[Date]],"mmmm aaaa")</f>
        <v>mai 2026</v>
      </c>
    </row>
    <row r="1969" spans="1:16">
      <c r="A1969" s="2" t="s">
        <v>2056</v>
      </c>
      <c r="B1969" s="3">
        <v>46146</v>
      </c>
      <c r="C1969" s="2" t="s">
        <v>52</v>
      </c>
      <c r="D1969" s="2" t="s">
        <v>53</v>
      </c>
      <c r="E1969" s="2" t="s">
        <v>16</v>
      </c>
      <c r="F1969" s="2" t="s">
        <v>17</v>
      </c>
      <c r="G1969" s="2" t="s">
        <v>54</v>
      </c>
      <c r="H1969" s="2" t="s">
        <v>64</v>
      </c>
      <c r="I1969" s="2" t="s">
        <v>36</v>
      </c>
      <c r="J1969" s="4">
        <v>1</v>
      </c>
      <c r="K1969" s="5">
        <v>82.33</v>
      </c>
      <c r="L1969" s="6">
        <v>0.15</v>
      </c>
      <c r="M1969" s="5">
        <v>69.98</v>
      </c>
      <c r="P1969" t="str">
        <f>TEXT(Tableau2[[#This Row],[Date]],"mmmm aaaa")</f>
        <v>mai 2026</v>
      </c>
    </row>
    <row r="1970" spans="1:16">
      <c r="A1970" s="2" t="s">
        <v>2057</v>
      </c>
      <c r="B1970" s="3">
        <v>46280</v>
      </c>
      <c r="C1970" s="2" t="s">
        <v>66</v>
      </c>
      <c r="D1970" s="2" t="s">
        <v>23</v>
      </c>
      <c r="E1970" s="2" t="s">
        <v>16</v>
      </c>
      <c r="F1970" s="2" t="s">
        <v>28</v>
      </c>
      <c r="G1970" s="2" t="s">
        <v>48</v>
      </c>
      <c r="H1970" s="2" t="s">
        <v>84</v>
      </c>
      <c r="I1970" s="2" t="s">
        <v>41</v>
      </c>
      <c r="J1970" s="4">
        <v>2</v>
      </c>
      <c r="K1970" s="5">
        <v>86.15</v>
      </c>
      <c r="L1970" s="6">
        <v>0.3</v>
      </c>
      <c r="M1970" s="5">
        <v>120.61</v>
      </c>
      <c r="P1970" t="str">
        <f>TEXT(Tableau2[[#This Row],[Date]],"mmmm aaaa")</f>
        <v>septembre 2026</v>
      </c>
    </row>
    <row r="1971" spans="1:16">
      <c r="A1971" s="2" t="s">
        <v>2058</v>
      </c>
      <c r="B1971" s="3">
        <v>46077</v>
      </c>
      <c r="C1971" s="2" t="s">
        <v>66</v>
      </c>
      <c r="D1971" s="2" t="s">
        <v>23</v>
      </c>
      <c r="E1971" s="2" t="s">
        <v>43</v>
      </c>
      <c r="F1971" s="2" t="s">
        <v>17</v>
      </c>
      <c r="G1971" s="2" t="s">
        <v>29</v>
      </c>
      <c r="H1971" s="2" t="s">
        <v>30</v>
      </c>
      <c r="I1971" s="2" t="s">
        <v>20</v>
      </c>
      <c r="J1971" s="4">
        <v>1</v>
      </c>
      <c r="K1971" s="5">
        <v>25.51</v>
      </c>
      <c r="L1971" s="6">
        <v>0.1</v>
      </c>
      <c r="M1971" s="5">
        <v>22.96</v>
      </c>
      <c r="P1971" t="str">
        <f>TEXT(Tableau2[[#This Row],[Date]],"mmmm aaaa")</f>
        <v>février 2026</v>
      </c>
    </row>
    <row r="1972" spans="1:16">
      <c r="A1972" s="2" t="s">
        <v>2059</v>
      </c>
      <c r="B1972" s="3">
        <v>46272</v>
      </c>
      <c r="C1972" s="2" t="s">
        <v>106</v>
      </c>
      <c r="D1972" s="2" t="s">
        <v>23</v>
      </c>
      <c r="E1972" s="2" t="s">
        <v>16</v>
      </c>
      <c r="F1972" s="2" t="s">
        <v>17</v>
      </c>
      <c r="G1972" s="2" t="s">
        <v>18</v>
      </c>
      <c r="H1972" s="2" t="s">
        <v>158</v>
      </c>
      <c r="I1972" s="2" t="s">
        <v>20</v>
      </c>
      <c r="J1972" s="4">
        <v>11</v>
      </c>
      <c r="K1972" s="5">
        <v>46.36</v>
      </c>
      <c r="L1972" s="6">
        <v>0.15</v>
      </c>
      <c r="M1972" s="5">
        <v>433.47</v>
      </c>
      <c r="P1972" t="str">
        <f>TEXT(Tableau2[[#This Row],[Date]],"mmmm aaaa")</f>
        <v>septembre 2026</v>
      </c>
    </row>
    <row r="1973" spans="1:16">
      <c r="A1973" s="2" t="s">
        <v>2060</v>
      </c>
      <c r="B1973" s="3">
        <v>46386</v>
      </c>
      <c r="C1973" s="2" t="s">
        <v>57</v>
      </c>
      <c r="D1973" s="2" t="s">
        <v>15</v>
      </c>
      <c r="E1973" s="2" t="s">
        <v>16</v>
      </c>
      <c r="F1973" s="2" t="s">
        <v>28</v>
      </c>
      <c r="G1973" s="2" t="s">
        <v>18</v>
      </c>
      <c r="H1973" s="2" t="s">
        <v>136</v>
      </c>
      <c r="I1973" s="2" t="s">
        <v>41</v>
      </c>
      <c r="J1973" s="4">
        <v>6</v>
      </c>
      <c r="K1973" s="5">
        <v>30.95</v>
      </c>
      <c r="L1973" s="6">
        <v>0</v>
      </c>
      <c r="M1973" s="5">
        <v>185.7</v>
      </c>
      <c r="P1973" t="str">
        <f>TEXT(Tableau2[[#This Row],[Date]],"mmmm aaaa")</f>
        <v>décembre 2026</v>
      </c>
    </row>
    <row r="1974" spans="1:16">
      <c r="A1974" s="2" t="s">
        <v>2061</v>
      </c>
      <c r="B1974" s="3">
        <v>46149</v>
      </c>
      <c r="C1974" s="2" t="s">
        <v>79</v>
      </c>
      <c r="D1974" s="2" t="s">
        <v>33</v>
      </c>
      <c r="E1974" s="2" t="s">
        <v>34</v>
      </c>
      <c r="F1974" s="2" t="s">
        <v>28</v>
      </c>
      <c r="G1974" s="2" t="s">
        <v>18</v>
      </c>
      <c r="H1974" s="2" t="s">
        <v>143</v>
      </c>
      <c r="I1974" s="2" t="s">
        <v>58</v>
      </c>
      <c r="J1974" s="4">
        <v>6</v>
      </c>
      <c r="K1974" s="5">
        <v>65.08</v>
      </c>
      <c r="L1974" s="6">
        <v>0.2</v>
      </c>
      <c r="M1974" s="5">
        <v>312.38</v>
      </c>
      <c r="P1974" t="str">
        <f>TEXT(Tableau2[[#This Row],[Date]],"mmmm aaaa")</f>
        <v>mai 2026</v>
      </c>
    </row>
    <row r="1975" spans="1:16">
      <c r="A1975" s="2" t="s">
        <v>2062</v>
      </c>
      <c r="B1975" s="3">
        <v>46066</v>
      </c>
      <c r="C1975" s="2" t="s">
        <v>63</v>
      </c>
      <c r="D1975" s="2" t="s">
        <v>33</v>
      </c>
      <c r="E1975" s="2" t="s">
        <v>34</v>
      </c>
      <c r="F1975" s="2" t="s">
        <v>17</v>
      </c>
      <c r="G1975" s="2" t="s">
        <v>54</v>
      </c>
      <c r="H1975" s="2" t="s">
        <v>64</v>
      </c>
      <c r="I1975" s="2" t="s">
        <v>45</v>
      </c>
      <c r="J1975" s="4">
        <v>1</v>
      </c>
      <c r="K1975" s="5">
        <v>90.85</v>
      </c>
      <c r="L1975" s="6">
        <v>0.15</v>
      </c>
      <c r="M1975" s="5">
        <v>77.22</v>
      </c>
      <c r="P1975" t="str">
        <f>TEXT(Tableau2[[#This Row],[Date]],"mmmm aaaa")</f>
        <v>février 2026</v>
      </c>
    </row>
    <row r="1976" spans="1:16">
      <c r="A1976" s="2" t="s">
        <v>2063</v>
      </c>
      <c r="B1976" s="3">
        <v>46156</v>
      </c>
      <c r="C1976" s="2" t="s">
        <v>90</v>
      </c>
      <c r="D1976" s="2" t="s">
        <v>53</v>
      </c>
      <c r="E1976" s="2" t="s">
        <v>43</v>
      </c>
      <c r="F1976" s="2" t="s">
        <v>28</v>
      </c>
      <c r="G1976" s="2" t="s">
        <v>29</v>
      </c>
      <c r="H1976" s="2" t="s">
        <v>44</v>
      </c>
      <c r="I1976" s="2" t="s">
        <v>26</v>
      </c>
      <c r="J1976" s="4">
        <v>5</v>
      </c>
      <c r="K1976" s="5">
        <v>38.06</v>
      </c>
      <c r="L1976" s="6">
        <v>0</v>
      </c>
      <c r="M1976" s="5">
        <v>190.3</v>
      </c>
      <c r="P1976" t="str">
        <f>TEXT(Tableau2[[#This Row],[Date]],"mmmm aaaa")</f>
        <v>mai 2026</v>
      </c>
    </row>
    <row r="1977" spans="1:16">
      <c r="A1977" s="2" t="s">
        <v>2064</v>
      </c>
      <c r="B1977" s="3">
        <v>46295</v>
      </c>
      <c r="C1977" s="2" t="s">
        <v>171</v>
      </c>
      <c r="D1977" s="2" t="s">
        <v>33</v>
      </c>
      <c r="E1977" s="2" t="s">
        <v>16</v>
      </c>
      <c r="F1977" s="2" t="s">
        <v>28</v>
      </c>
      <c r="G1977" s="2" t="s">
        <v>48</v>
      </c>
      <c r="H1977" s="2" t="s">
        <v>49</v>
      </c>
      <c r="I1977" s="2" t="s">
        <v>41</v>
      </c>
      <c r="J1977" s="4">
        <v>1</v>
      </c>
      <c r="K1977" s="5">
        <v>57.4</v>
      </c>
      <c r="L1977" s="6">
        <v>0</v>
      </c>
      <c r="M1977" s="5">
        <v>57.4</v>
      </c>
      <c r="P1977" t="str">
        <f>TEXT(Tableau2[[#This Row],[Date]],"mmmm aaaa")</f>
        <v>septembre 2026</v>
      </c>
    </row>
    <row r="1978" spans="1:16">
      <c r="A1978" s="2" t="s">
        <v>2065</v>
      </c>
      <c r="B1978" s="3">
        <v>46339</v>
      </c>
      <c r="C1978" s="2" t="s">
        <v>92</v>
      </c>
      <c r="D1978" s="2" t="s">
        <v>53</v>
      </c>
      <c r="E1978" s="2" t="s">
        <v>16</v>
      </c>
      <c r="F1978" s="2" t="s">
        <v>17</v>
      </c>
      <c r="G1978" s="2" t="s">
        <v>48</v>
      </c>
      <c r="H1978" s="2" t="s">
        <v>49</v>
      </c>
      <c r="I1978" s="2" t="s">
        <v>36</v>
      </c>
      <c r="J1978" s="4">
        <v>1</v>
      </c>
      <c r="K1978" s="5">
        <v>57.07</v>
      </c>
      <c r="L1978" s="6">
        <v>0.3</v>
      </c>
      <c r="M1978" s="5">
        <v>39.950000000000003</v>
      </c>
      <c r="P1978" t="str">
        <f>TEXT(Tableau2[[#This Row],[Date]],"mmmm aaaa")</f>
        <v>novembre 2026</v>
      </c>
    </row>
    <row r="1979" spans="1:16">
      <c r="A1979" s="2" t="s">
        <v>2066</v>
      </c>
      <c r="B1979" s="3">
        <v>46285</v>
      </c>
      <c r="C1979" s="2" t="s">
        <v>119</v>
      </c>
      <c r="D1979" s="2" t="s">
        <v>15</v>
      </c>
      <c r="E1979" s="2" t="s">
        <v>16</v>
      </c>
      <c r="F1979" s="2" t="s">
        <v>28</v>
      </c>
      <c r="G1979" s="2" t="s">
        <v>18</v>
      </c>
      <c r="H1979" s="2" t="s">
        <v>143</v>
      </c>
      <c r="I1979" s="2" t="s">
        <v>58</v>
      </c>
      <c r="J1979" s="4">
        <v>15</v>
      </c>
      <c r="K1979" s="5">
        <v>70.75</v>
      </c>
      <c r="L1979" s="6">
        <v>0.15</v>
      </c>
      <c r="M1979" s="5">
        <v>902.06</v>
      </c>
      <c r="P1979" t="str">
        <f>TEXT(Tableau2[[#This Row],[Date]],"mmmm aaaa")</f>
        <v>septembre 2026</v>
      </c>
    </row>
    <row r="1980" spans="1:16">
      <c r="A1980" s="2" t="s">
        <v>2067</v>
      </c>
      <c r="B1980" s="3">
        <v>46369</v>
      </c>
      <c r="C1980" s="2" t="s">
        <v>66</v>
      </c>
      <c r="D1980" s="2" t="s">
        <v>23</v>
      </c>
      <c r="E1980" s="2" t="s">
        <v>34</v>
      </c>
      <c r="F1980" s="2" t="s">
        <v>17</v>
      </c>
      <c r="G1980" s="2" t="s">
        <v>18</v>
      </c>
      <c r="H1980" s="2" t="s">
        <v>19</v>
      </c>
      <c r="I1980" s="2" t="s">
        <v>26</v>
      </c>
      <c r="J1980" s="4">
        <v>3</v>
      </c>
      <c r="K1980" s="5">
        <v>57.25</v>
      </c>
      <c r="L1980" s="6">
        <v>0.05</v>
      </c>
      <c r="M1980" s="5">
        <v>163.16</v>
      </c>
      <c r="P1980" t="str">
        <f>TEXT(Tableau2[[#This Row],[Date]],"mmmm aaaa")</f>
        <v>décembre 2026</v>
      </c>
    </row>
    <row r="1981" spans="1:16">
      <c r="A1981" s="2" t="s">
        <v>2068</v>
      </c>
      <c r="B1981" s="3">
        <v>46118</v>
      </c>
      <c r="C1981" s="2" t="s">
        <v>14</v>
      </c>
      <c r="D1981" s="2" t="s">
        <v>15</v>
      </c>
      <c r="E1981" s="2" t="s">
        <v>16</v>
      </c>
      <c r="F1981" s="2" t="s">
        <v>28</v>
      </c>
      <c r="G1981" s="2" t="s">
        <v>39</v>
      </c>
      <c r="H1981" s="2" t="s">
        <v>95</v>
      </c>
      <c r="I1981" s="2" t="s">
        <v>58</v>
      </c>
      <c r="J1981" s="4">
        <v>11</v>
      </c>
      <c r="K1981" s="5">
        <v>100.6</v>
      </c>
      <c r="L1981" s="6">
        <v>0</v>
      </c>
      <c r="M1981" s="5">
        <v>1106.5999999999999</v>
      </c>
      <c r="P1981" t="str">
        <f>TEXT(Tableau2[[#This Row],[Date]],"mmmm aaaa")</f>
        <v>avril 2026</v>
      </c>
    </row>
    <row r="1982" spans="1:16">
      <c r="A1982" s="2" t="s">
        <v>2069</v>
      </c>
      <c r="B1982" s="3">
        <v>46038</v>
      </c>
      <c r="C1982" s="2" t="s">
        <v>134</v>
      </c>
      <c r="D1982" s="2" t="s">
        <v>15</v>
      </c>
      <c r="E1982" s="2" t="s">
        <v>16</v>
      </c>
      <c r="F1982" s="2" t="s">
        <v>28</v>
      </c>
      <c r="G1982" s="2" t="s">
        <v>54</v>
      </c>
      <c r="H1982" s="2" t="s">
        <v>55</v>
      </c>
      <c r="I1982" s="2" t="s">
        <v>20</v>
      </c>
      <c r="J1982" s="4">
        <v>2</v>
      </c>
      <c r="K1982" s="5">
        <v>147.75</v>
      </c>
      <c r="L1982" s="6">
        <v>0</v>
      </c>
      <c r="M1982" s="5">
        <v>295.5</v>
      </c>
      <c r="P1982" t="str">
        <f>TEXT(Tableau2[[#This Row],[Date]],"mmmm aaaa")</f>
        <v>janvier 2026</v>
      </c>
    </row>
    <row r="1983" spans="1:16">
      <c r="A1983" s="2" t="s">
        <v>2070</v>
      </c>
      <c r="B1983" s="3">
        <v>46245</v>
      </c>
      <c r="C1983" s="2" t="s">
        <v>57</v>
      </c>
      <c r="D1983" s="2" t="s">
        <v>15</v>
      </c>
      <c r="E1983" s="2" t="s">
        <v>16</v>
      </c>
      <c r="F1983" s="2" t="s">
        <v>17</v>
      </c>
      <c r="G1983" s="2" t="s">
        <v>48</v>
      </c>
      <c r="H1983" s="2" t="s">
        <v>49</v>
      </c>
      <c r="I1983" s="2" t="s">
        <v>50</v>
      </c>
      <c r="J1983" s="4">
        <v>1</v>
      </c>
      <c r="K1983" s="5">
        <v>61.19</v>
      </c>
      <c r="L1983" s="6">
        <v>0</v>
      </c>
      <c r="M1983" s="5">
        <v>61.19</v>
      </c>
      <c r="P1983" t="str">
        <f>TEXT(Tableau2[[#This Row],[Date]],"mmmm aaaa")</f>
        <v>août 2026</v>
      </c>
    </row>
    <row r="1984" spans="1:16">
      <c r="A1984" s="2" t="s">
        <v>2071</v>
      </c>
      <c r="B1984" s="3">
        <v>46039</v>
      </c>
      <c r="C1984" s="2" t="s">
        <v>119</v>
      </c>
      <c r="D1984" s="2" t="s">
        <v>15</v>
      </c>
      <c r="E1984" s="2" t="s">
        <v>16</v>
      </c>
      <c r="F1984" s="2" t="s">
        <v>28</v>
      </c>
      <c r="G1984" s="2" t="s">
        <v>48</v>
      </c>
      <c r="H1984" s="2" t="s">
        <v>84</v>
      </c>
      <c r="I1984" s="2" t="s">
        <v>36</v>
      </c>
      <c r="J1984" s="4">
        <v>8</v>
      </c>
      <c r="K1984" s="5">
        <v>84.85</v>
      </c>
      <c r="L1984" s="6">
        <v>0</v>
      </c>
      <c r="M1984" s="5">
        <v>678.8</v>
      </c>
      <c r="P1984" t="str">
        <f>TEXT(Tableau2[[#This Row],[Date]],"mmmm aaaa")</f>
        <v>janvier 2026</v>
      </c>
    </row>
    <row r="1985" spans="1:16">
      <c r="A1985" s="2" t="s">
        <v>2072</v>
      </c>
      <c r="B1985" s="3">
        <v>46238</v>
      </c>
      <c r="C1985" s="2" t="s">
        <v>22</v>
      </c>
      <c r="D1985" s="2" t="s">
        <v>23</v>
      </c>
      <c r="E1985" s="2" t="s">
        <v>34</v>
      </c>
      <c r="F1985" s="2" t="s">
        <v>17</v>
      </c>
      <c r="G1985" s="2" t="s">
        <v>18</v>
      </c>
      <c r="H1985" s="2" t="s">
        <v>19</v>
      </c>
      <c r="I1985" s="2" t="s">
        <v>26</v>
      </c>
      <c r="J1985" s="4">
        <v>3</v>
      </c>
      <c r="K1985" s="5">
        <v>57.24</v>
      </c>
      <c r="L1985" s="6">
        <v>0.05</v>
      </c>
      <c r="M1985" s="5">
        <v>163.13</v>
      </c>
      <c r="P1985" t="str">
        <f>TEXT(Tableau2[[#This Row],[Date]],"mmmm aaaa")</f>
        <v>août 2026</v>
      </c>
    </row>
    <row r="1986" spans="1:16">
      <c r="A1986" s="2" t="s">
        <v>2073</v>
      </c>
      <c r="B1986" s="3">
        <v>46274</v>
      </c>
      <c r="C1986" s="2" t="s">
        <v>57</v>
      </c>
      <c r="D1986" s="2" t="s">
        <v>15</v>
      </c>
      <c r="E1986" s="2" t="s">
        <v>16</v>
      </c>
      <c r="F1986" s="2" t="s">
        <v>17</v>
      </c>
      <c r="G1986" s="2" t="s">
        <v>18</v>
      </c>
      <c r="H1986" s="2" t="s">
        <v>143</v>
      </c>
      <c r="I1986" s="2" t="s">
        <v>45</v>
      </c>
      <c r="J1986" s="4">
        <v>2</v>
      </c>
      <c r="K1986" s="5">
        <v>64.75</v>
      </c>
      <c r="L1986" s="6">
        <v>0.05</v>
      </c>
      <c r="M1986" s="5">
        <v>123.02</v>
      </c>
      <c r="P1986" t="str">
        <f>TEXT(Tableau2[[#This Row],[Date]],"mmmm aaaa")</f>
        <v>septembre 2026</v>
      </c>
    </row>
    <row r="1987" spans="1:16">
      <c r="A1987" s="2" t="s">
        <v>2074</v>
      </c>
      <c r="B1987" s="3">
        <v>46188</v>
      </c>
      <c r="C1987" s="2" t="s">
        <v>151</v>
      </c>
      <c r="D1987" s="2" t="s">
        <v>15</v>
      </c>
      <c r="E1987" s="2" t="s">
        <v>34</v>
      </c>
      <c r="F1987" s="2" t="s">
        <v>17</v>
      </c>
      <c r="G1987" s="2" t="s">
        <v>18</v>
      </c>
      <c r="H1987" s="2" t="s">
        <v>19</v>
      </c>
      <c r="I1987" s="2" t="s">
        <v>45</v>
      </c>
      <c r="J1987" s="4">
        <v>1</v>
      </c>
      <c r="K1987" s="5">
        <v>53.01</v>
      </c>
      <c r="L1987" s="6">
        <v>0</v>
      </c>
      <c r="M1987" s="5">
        <v>53.01</v>
      </c>
      <c r="P1987" t="str">
        <f>TEXT(Tableau2[[#This Row],[Date]],"mmmm aaaa")</f>
        <v>juin 2026</v>
      </c>
    </row>
    <row r="1988" spans="1:16">
      <c r="A1988" s="2" t="s">
        <v>2075</v>
      </c>
      <c r="B1988" s="3">
        <v>46256</v>
      </c>
      <c r="C1988" s="2" t="s">
        <v>14</v>
      </c>
      <c r="D1988" s="2" t="s">
        <v>15</v>
      </c>
      <c r="E1988" s="2" t="s">
        <v>16</v>
      </c>
      <c r="F1988" s="2" t="s">
        <v>28</v>
      </c>
      <c r="G1988" s="2" t="s">
        <v>39</v>
      </c>
      <c r="H1988" s="2" t="s">
        <v>71</v>
      </c>
      <c r="I1988" s="2" t="s">
        <v>41</v>
      </c>
      <c r="J1988" s="4">
        <v>5</v>
      </c>
      <c r="K1988" s="5">
        <v>111.33</v>
      </c>
      <c r="L1988" s="6">
        <v>0</v>
      </c>
      <c r="M1988" s="5">
        <v>556.65</v>
      </c>
      <c r="P1988" t="str">
        <f>TEXT(Tableau2[[#This Row],[Date]],"mmmm aaaa")</f>
        <v>août 2026</v>
      </c>
    </row>
    <row r="1989" spans="1:16">
      <c r="A1989" s="2" t="s">
        <v>2076</v>
      </c>
      <c r="B1989" s="3">
        <v>46351</v>
      </c>
      <c r="C1989" s="2" t="s">
        <v>66</v>
      </c>
      <c r="D1989" s="2" t="s">
        <v>23</v>
      </c>
      <c r="E1989" s="2" t="s">
        <v>38</v>
      </c>
      <c r="F1989" s="2" t="s">
        <v>17</v>
      </c>
      <c r="G1989" s="2" t="s">
        <v>54</v>
      </c>
      <c r="H1989" s="2" t="s">
        <v>55</v>
      </c>
      <c r="I1989" s="2" t="s">
        <v>75</v>
      </c>
      <c r="J1989" s="4">
        <v>5</v>
      </c>
      <c r="K1989" s="5">
        <v>166.91</v>
      </c>
      <c r="L1989" s="6">
        <v>0.3</v>
      </c>
      <c r="M1989" s="5">
        <v>584.17999999999995</v>
      </c>
      <c r="P1989" t="str">
        <f>TEXT(Tableau2[[#This Row],[Date]],"mmmm aaaa")</f>
        <v>novembre 2026</v>
      </c>
    </row>
    <row r="1990" spans="1:16">
      <c r="A1990" s="2" t="s">
        <v>2077</v>
      </c>
      <c r="B1990" s="3">
        <v>46143</v>
      </c>
      <c r="C1990" s="2" t="s">
        <v>47</v>
      </c>
      <c r="D1990" s="2" t="s">
        <v>15</v>
      </c>
      <c r="E1990" s="2" t="s">
        <v>43</v>
      </c>
      <c r="F1990" s="2" t="s">
        <v>17</v>
      </c>
      <c r="G1990" s="2" t="s">
        <v>24</v>
      </c>
      <c r="H1990" s="2" t="s">
        <v>82</v>
      </c>
      <c r="I1990" s="2" t="s">
        <v>75</v>
      </c>
      <c r="J1990" s="4">
        <v>5</v>
      </c>
      <c r="K1990" s="5">
        <v>305.7</v>
      </c>
      <c r="L1990" s="6">
        <v>0</v>
      </c>
      <c r="M1990" s="5">
        <v>1528.5</v>
      </c>
      <c r="P1990" t="str">
        <f>TEXT(Tableau2[[#This Row],[Date]],"mmmm aaaa")</f>
        <v>mai 2026</v>
      </c>
    </row>
    <row r="1991" spans="1:16">
      <c r="A1991" s="2" t="s">
        <v>2078</v>
      </c>
      <c r="B1991" s="3">
        <v>46187</v>
      </c>
      <c r="C1991" s="2" t="s">
        <v>90</v>
      </c>
      <c r="D1991" s="2" t="s">
        <v>53</v>
      </c>
      <c r="E1991" s="2" t="s">
        <v>43</v>
      </c>
      <c r="F1991" s="2" t="s">
        <v>28</v>
      </c>
      <c r="G1991" s="2" t="s">
        <v>24</v>
      </c>
      <c r="H1991" s="2" t="s">
        <v>82</v>
      </c>
      <c r="I1991" s="2" t="s">
        <v>20</v>
      </c>
      <c r="J1991" s="4">
        <v>9</v>
      </c>
      <c r="K1991" s="5">
        <v>275.39999999999998</v>
      </c>
      <c r="L1991" s="6">
        <v>0</v>
      </c>
      <c r="M1991" s="5">
        <v>2478.6</v>
      </c>
      <c r="P1991" t="str">
        <f>TEXT(Tableau2[[#This Row],[Date]],"mmmm aaaa")</f>
        <v>juin 2026</v>
      </c>
    </row>
    <row r="1992" spans="1:16">
      <c r="A1992" s="2" t="s">
        <v>2079</v>
      </c>
      <c r="B1992" s="3">
        <v>46337</v>
      </c>
      <c r="C1992" s="2" t="s">
        <v>116</v>
      </c>
      <c r="D1992" s="2" t="s">
        <v>15</v>
      </c>
      <c r="E1992" s="2" t="s">
        <v>43</v>
      </c>
      <c r="F1992" s="2" t="s">
        <v>17</v>
      </c>
      <c r="G1992" s="2" t="s">
        <v>24</v>
      </c>
      <c r="H1992" s="2" t="s">
        <v>35</v>
      </c>
      <c r="I1992" s="2" t="s">
        <v>50</v>
      </c>
      <c r="J1992" s="4">
        <v>5</v>
      </c>
      <c r="K1992" s="5">
        <v>181.41</v>
      </c>
      <c r="L1992" s="6">
        <v>0</v>
      </c>
      <c r="M1992" s="5">
        <v>907.05</v>
      </c>
      <c r="P1992" t="str">
        <f>TEXT(Tableau2[[#This Row],[Date]],"mmmm aaaa")</f>
        <v>novembre 2026</v>
      </c>
    </row>
    <row r="1993" spans="1:16">
      <c r="A1993" s="2" t="s">
        <v>2080</v>
      </c>
      <c r="B1993" s="3">
        <v>46295</v>
      </c>
      <c r="C1993" s="2" t="s">
        <v>164</v>
      </c>
      <c r="D1993" s="2" t="s">
        <v>53</v>
      </c>
      <c r="E1993" s="2" t="s">
        <v>16</v>
      </c>
      <c r="F1993" s="2" t="s">
        <v>28</v>
      </c>
      <c r="G1993" s="2" t="s">
        <v>24</v>
      </c>
      <c r="H1993" s="2" t="s">
        <v>61</v>
      </c>
      <c r="I1993" s="2" t="s">
        <v>26</v>
      </c>
      <c r="J1993" s="4">
        <v>5</v>
      </c>
      <c r="K1993" s="5">
        <v>255.43</v>
      </c>
      <c r="L1993" s="6">
        <v>0</v>
      </c>
      <c r="M1993" s="5">
        <v>1277.1500000000001</v>
      </c>
      <c r="P1993" t="str">
        <f>TEXT(Tableau2[[#This Row],[Date]],"mmmm aaaa")</f>
        <v>septembre 2026</v>
      </c>
    </row>
    <row r="1994" spans="1:16">
      <c r="A1994" s="2" t="s">
        <v>2081</v>
      </c>
      <c r="B1994" s="3">
        <v>46195</v>
      </c>
      <c r="C1994" s="2" t="s">
        <v>171</v>
      </c>
      <c r="D1994" s="2" t="s">
        <v>33</v>
      </c>
      <c r="E1994" s="2" t="s">
        <v>43</v>
      </c>
      <c r="F1994" s="2" t="s">
        <v>17</v>
      </c>
      <c r="G1994" s="2" t="s">
        <v>39</v>
      </c>
      <c r="H1994" s="2" t="s">
        <v>95</v>
      </c>
      <c r="I1994" s="2" t="s">
        <v>45</v>
      </c>
      <c r="J1994" s="4">
        <v>2</v>
      </c>
      <c r="K1994" s="5">
        <v>96.33</v>
      </c>
      <c r="L1994" s="6">
        <v>0</v>
      </c>
      <c r="M1994" s="5">
        <v>192.66</v>
      </c>
      <c r="P1994" t="str">
        <f>TEXT(Tableau2[[#This Row],[Date]],"mmmm aaaa")</f>
        <v>juin 2026</v>
      </c>
    </row>
    <row r="1995" spans="1:16">
      <c r="A1995" s="2" t="s">
        <v>2082</v>
      </c>
      <c r="B1995" s="3">
        <v>46087</v>
      </c>
      <c r="C1995" s="2" t="s">
        <v>79</v>
      </c>
      <c r="D1995" s="2" t="s">
        <v>33</v>
      </c>
      <c r="E1995" s="2" t="s">
        <v>16</v>
      </c>
      <c r="F1995" s="2" t="s">
        <v>17</v>
      </c>
      <c r="G1995" s="2" t="s">
        <v>24</v>
      </c>
      <c r="H1995" s="2" t="s">
        <v>35</v>
      </c>
      <c r="I1995" s="2" t="s">
        <v>75</v>
      </c>
      <c r="J1995" s="4">
        <v>3</v>
      </c>
      <c r="K1995" s="5">
        <v>176.47</v>
      </c>
      <c r="L1995" s="6">
        <v>0</v>
      </c>
      <c r="M1995" s="5">
        <v>529.41</v>
      </c>
      <c r="P1995" t="str">
        <f>TEXT(Tableau2[[#This Row],[Date]],"mmmm aaaa")</f>
        <v>mars 2026</v>
      </c>
    </row>
    <row r="1996" spans="1:16">
      <c r="A1996" s="2" t="s">
        <v>2083</v>
      </c>
      <c r="B1996" s="3">
        <v>46175</v>
      </c>
      <c r="C1996" s="2" t="s">
        <v>63</v>
      </c>
      <c r="D1996" s="2" t="s">
        <v>33</v>
      </c>
      <c r="E1996" s="2" t="s">
        <v>34</v>
      </c>
      <c r="F1996" s="2" t="s">
        <v>17</v>
      </c>
      <c r="G1996" s="2" t="s">
        <v>18</v>
      </c>
      <c r="H1996" s="2" t="s">
        <v>158</v>
      </c>
      <c r="I1996" s="2" t="s">
        <v>36</v>
      </c>
      <c r="J1996" s="4">
        <v>1</v>
      </c>
      <c r="K1996" s="5">
        <v>48.47</v>
      </c>
      <c r="L1996" s="6">
        <v>0</v>
      </c>
      <c r="M1996" s="5">
        <v>48.47</v>
      </c>
      <c r="P1996" t="str">
        <f>TEXT(Tableau2[[#This Row],[Date]],"mmmm aaaa")</f>
        <v>juin 2026</v>
      </c>
    </row>
    <row r="1997" spans="1:16">
      <c r="A1997" s="2" t="s">
        <v>2084</v>
      </c>
      <c r="B1997" s="3">
        <v>46133</v>
      </c>
      <c r="C1997" s="2" t="s">
        <v>94</v>
      </c>
      <c r="D1997" s="2" t="s">
        <v>15</v>
      </c>
      <c r="E1997" s="2" t="s">
        <v>38</v>
      </c>
      <c r="F1997" s="2" t="s">
        <v>17</v>
      </c>
      <c r="G1997" s="2" t="s">
        <v>29</v>
      </c>
      <c r="H1997" s="2" t="s">
        <v>44</v>
      </c>
      <c r="I1997" s="2" t="s">
        <v>20</v>
      </c>
      <c r="J1997" s="4">
        <v>11</v>
      </c>
      <c r="K1997" s="5">
        <v>37.04</v>
      </c>
      <c r="L1997" s="6">
        <v>0</v>
      </c>
      <c r="M1997" s="5">
        <v>407.44</v>
      </c>
      <c r="P1997" t="str">
        <f>TEXT(Tableau2[[#This Row],[Date]],"mmmm aaaa")</f>
        <v>avril 2026</v>
      </c>
    </row>
    <row r="1998" spans="1:16">
      <c r="A1998" s="2" t="s">
        <v>2085</v>
      </c>
      <c r="B1998" s="3">
        <v>46352</v>
      </c>
      <c r="C1998" s="2" t="s">
        <v>63</v>
      </c>
      <c r="D1998" s="2" t="s">
        <v>33</v>
      </c>
      <c r="E1998" s="2" t="s">
        <v>16</v>
      </c>
      <c r="F1998" s="2" t="s">
        <v>17</v>
      </c>
      <c r="G1998" s="2" t="s">
        <v>48</v>
      </c>
      <c r="H1998" s="2" t="s">
        <v>84</v>
      </c>
      <c r="I1998" s="2" t="s">
        <v>45</v>
      </c>
      <c r="J1998" s="4">
        <v>2</v>
      </c>
      <c r="K1998" s="5">
        <v>92.06</v>
      </c>
      <c r="L1998" s="6">
        <v>0</v>
      </c>
      <c r="M1998" s="5">
        <v>184.12</v>
      </c>
      <c r="P1998" t="str">
        <f>TEXT(Tableau2[[#This Row],[Date]],"mmmm aaaa")</f>
        <v>novembre 2026</v>
      </c>
    </row>
    <row r="1999" spans="1:16">
      <c r="A1999" s="2" t="s">
        <v>2086</v>
      </c>
      <c r="B1999" s="3">
        <v>46113</v>
      </c>
      <c r="C1999" s="2" t="s">
        <v>22</v>
      </c>
      <c r="D1999" s="2" t="s">
        <v>23</v>
      </c>
      <c r="E1999" s="2" t="s">
        <v>16</v>
      </c>
      <c r="F1999" s="2" t="s">
        <v>17</v>
      </c>
      <c r="G1999" s="2" t="s">
        <v>18</v>
      </c>
      <c r="H1999" s="2" t="s">
        <v>143</v>
      </c>
      <c r="I1999" s="2" t="s">
        <v>41</v>
      </c>
      <c r="J1999" s="4">
        <v>3</v>
      </c>
      <c r="K1999" s="5">
        <v>66.319999999999993</v>
      </c>
      <c r="L1999" s="6">
        <v>0.05</v>
      </c>
      <c r="M1999" s="5">
        <v>189.01</v>
      </c>
      <c r="P1999" t="str">
        <f>TEXT(Tableau2[[#This Row],[Date]],"mmmm aaaa")</f>
        <v>avril 2026</v>
      </c>
    </row>
    <row r="2000" spans="1:16">
      <c r="A2000" s="2" t="s">
        <v>2087</v>
      </c>
      <c r="B2000" s="3">
        <v>46058</v>
      </c>
      <c r="C2000" s="2" t="s">
        <v>57</v>
      </c>
      <c r="D2000" s="2" t="s">
        <v>15</v>
      </c>
      <c r="E2000" s="2" t="s">
        <v>34</v>
      </c>
      <c r="F2000" s="2" t="s">
        <v>17</v>
      </c>
      <c r="G2000" s="2" t="s">
        <v>29</v>
      </c>
      <c r="H2000" s="2" t="s">
        <v>99</v>
      </c>
      <c r="I2000" s="2" t="s">
        <v>26</v>
      </c>
      <c r="J2000" s="4">
        <v>2</v>
      </c>
      <c r="K2000" s="5">
        <v>59.65</v>
      </c>
      <c r="L2000" s="6">
        <v>0.05</v>
      </c>
      <c r="M2000" s="5">
        <v>113.33</v>
      </c>
      <c r="P2000" t="str">
        <f>TEXT(Tableau2[[#This Row],[Date]],"mmmm aaaa")</f>
        <v>février 2026</v>
      </c>
    </row>
    <row r="2001" spans="1:16">
      <c r="A2001" s="2" t="s">
        <v>2088</v>
      </c>
      <c r="B2001" s="3">
        <v>46147</v>
      </c>
      <c r="C2001" s="2" t="s">
        <v>57</v>
      </c>
      <c r="D2001" s="2" t="s">
        <v>15</v>
      </c>
      <c r="E2001" s="2" t="s">
        <v>16</v>
      </c>
      <c r="F2001" s="2" t="s">
        <v>28</v>
      </c>
      <c r="G2001" s="2" t="s">
        <v>18</v>
      </c>
      <c r="H2001" s="2" t="s">
        <v>158</v>
      </c>
      <c r="I2001" s="2" t="s">
        <v>26</v>
      </c>
      <c r="J2001" s="4">
        <v>3</v>
      </c>
      <c r="K2001" s="5">
        <v>47.48</v>
      </c>
      <c r="L2001" s="6">
        <v>0</v>
      </c>
      <c r="M2001" s="5">
        <v>142.44</v>
      </c>
      <c r="P2001" t="str">
        <f>TEXT(Tableau2[[#This Row],[Date]],"mmmm aaaa")</f>
        <v>mai 2026</v>
      </c>
    </row>
    <row r="2004" spans="1:16">
      <c r="A2004" t="e" cm="1" vm="1">
        <f t="array" aca="1" ref="A2004" ca="1">(ROW(A3:M2002))</f>
        <v>#VALUE!</v>
      </c>
    </row>
    <row r="2005" spans="1:16">
      <c r="A2005" t="e" cm="1" vm="1">
        <f t="array" aca="1" ref="A2005" ca="1">(ROW(A4:M2003))</f>
        <v>#VALUE!</v>
      </c>
    </row>
    <row r="2006" spans="1:16">
      <c r="A2006" t="e" cm="1" vm="1">
        <f t="array" aca="1" ref="A2006" ca="1">(ROW(A5:M2004))</f>
        <v>#VALUE!</v>
      </c>
    </row>
    <row r="2007" spans="1:16">
      <c r="A2007" t="e" cm="1" vm="1">
        <f t="array" aca="1" ref="A2007" ca="1">(ROW(A6:M2005))</f>
        <v>#VALUE!</v>
      </c>
    </row>
    <row r="2008" spans="1:16">
      <c r="A2008" t="e" cm="1" vm="1">
        <f t="array" aca="1" ref="A2008" ca="1">(ROW(A7:M2006))</f>
        <v>#VALUE!</v>
      </c>
    </row>
    <row r="2009" spans="1:16">
      <c r="A2009" t="e" cm="1" vm="1">
        <f t="array" aca="1" ref="A2009" ca="1">(ROW(A8:M2007))</f>
        <v>#VALUE!</v>
      </c>
    </row>
    <row r="2010" spans="1:16">
      <c r="A2010" t="e" cm="1" vm="1">
        <f t="array" aca="1" ref="A2010" ca="1">(ROW(A9:M2008))</f>
        <v>#VALUE!</v>
      </c>
    </row>
    <row r="2011" spans="1:16">
      <c r="A2011" t="e" cm="1" vm="1">
        <f t="array" aca="1" ref="A2011" ca="1">(ROW(A10:M2009))</f>
        <v>#VALUE!</v>
      </c>
    </row>
    <row r="2012" spans="1:16">
      <c r="A2012" t="e" cm="1" vm="1">
        <f t="array" aca="1" ref="A2012" ca="1">(ROW(A11:M2010))</f>
        <v>#VALUE!</v>
      </c>
    </row>
    <row r="2013" spans="1:16">
      <c r="A2013" t="e" cm="1" vm="1">
        <f t="array" aca="1" ref="A2013" ca="1">(ROW(A12:M2011))</f>
        <v>#VALUE!</v>
      </c>
    </row>
    <row r="2014" spans="1:16">
      <c r="A2014" t="e" cm="1" vm="1">
        <f t="array" aca="1" ref="A2014" ca="1">(ROW(A13:M2012))</f>
        <v>#VALUE!</v>
      </c>
    </row>
    <row r="2015" spans="1:16">
      <c r="A2015" t="e" cm="1" vm="1">
        <f t="array" aca="1" ref="A2015" ca="1">(ROW(A14:M2013))</f>
        <v>#VALUE!</v>
      </c>
    </row>
    <row r="2016" spans="1:16">
      <c r="A2016" t="e" cm="1" vm="1">
        <f t="array" aca="1" ref="A2016" ca="1">(ROW(A15:M2014))</f>
        <v>#VALUE!</v>
      </c>
    </row>
    <row r="2017" spans="1:1">
      <c r="A2017" t="e" cm="1" vm="1">
        <f t="array" aca="1" ref="A2017" ca="1">(ROW(A16:M2015))</f>
        <v>#VALUE!</v>
      </c>
    </row>
    <row r="2018" spans="1:1">
      <c r="A2018" t="e" cm="1" vm="1">
        <f t="array" aca="1" ref="A2018" ca="1">(ROW(A17:M2016))</f>
        <v>#VALUE!</v>
      </c>
    </row>
    <row r="2019" spans="1:1">
      <c r="A2019" t="e" cm="1" vm="1">
        <f t="array" aca="1" ref="A2019" ca="1">(ROW(A18:M2017))</f>
        <v>#VALUE!</v>
      </c>
    </row>
    <row r="2020" spans="1:1">
      <c r="A2020" t="e" cm="1" vm="1">
        <f t="array" aca="1" ref="A2020" ca="1">(ROW(A19:M2018))</f>
        <v>#VALUE!</v>
      </c>
    </row>
    <row r="2021" spans="1:1">
      <c r="A2021" t="e" cm="1" vm="1">
        <f t="array" aca="1" ref="A2021" ca="1">(ROW(A20:M2019))</f>
        <v>#VALUE!</v>
      </c>
    </row>
    <row r="2022" spans="1:1">
      <c r="A2022" t="e" cm="1" vm="1">
        <f t="array" aca="1" ref="A2022" ca="1">(ROW(A21:M2020))</f>
        <v>#VALUE!</v>
      </c>
    </row>
    <row r="2023" spans="1:1">
      <c r="A2023" t="e" cm="1" vm="1">
        <f t="array" aca="1" ref="A2023" ca="1">(ROW(A22:M2021))</f>
        <v>#VALUE!</v>
      </c>
    </row>
    <row r="2024" spans="1:1">
      <c r="A2024" t="e" cm="1" vm="1">
        <f t="array" aca="1" ref="A2024" ca="1">(ROW(A23:M2022))</f>
        <v>#VALUE!</v>
      </c>
    </row>
    <row r="2025" spans="1:1">
      <c r="A2025" t="e" cm="1" vm="1">
        <f t="array" aca="1" ref="A2025" ca="1">(ROW(A24:M2023))</f>
        <v>#VALUE!</v>
      </c>
    </row>
    <row r="2026" spans="1:1">
      <c r="A2026" t="e" cm="1" vm="1">
        <f t="array" aca="1" ref="A2026" ca="1">(ROW(A25:M2024))</f>
        <v>#VALUE!</v>
      </c>
    </row>
    <row r="2027" spans="1:1">
      <c r="A2027" t="e" cm="1" vm="1">
        <f t="array" aca="1" ref="A2027" ca="1">(ROW(A26:M2025))</f>
        <v>#VALUE!</v>
      </c>
    </row>
    <row r="2028" spans="1:1">
      <c r="A2028" t="e" cm="1" vm="1">
        <f t="array" aca="1" ref="A2028" ca="1">(ROW(A27:M2026))</f>
        <v>#VALUE!</v>
      </c>
    </row>
    <row r="2029" spans="1:1">
      <c r="A2029" t="e" cm="1" vm="1">
        <f t="array" aca="1" ref="A2029" ca="1">(ROW(A28:M2027))</f>
        <v>#VALUE!</v>
      </c>
    </row>
    <row r="2030" spans="1:1">
      <c r="A2030" t="e" cm="1" vm="1">
        <f t="array" aca="1" ref="A2030" ca="1">(ROW(A29:M2028))</f>
        <v>#VALUE!</v>
      </c>
    </row>
    <row r="2031" spans="1:1">
      <c r="A2031" t="e" cm="1" vm="1">
        <f t="array" aca="1" ref="A2031" ca="1">(ROW(A30:M2029))</f>
        <v>#VALUE!</v>
      </c>
    </row>
    <row r="2032" spans="1:1">
      <c r="A2032" t="e" cm="1" vm="1">
        <f t="array" aca="1" ref="A2032" ca="1">(ROW(A31:M2030))</f>
        <v>#VALUE!</v>
      </c>
    </row>
    <row r="2033" spans="1:1">
      <c r="A2033" t="e" cm="1" vm="1">
        <f t="array" aca="1" ref="A2033" ca="1">(ROW(A32:M2031))</f>
        <v>#VALUE!</v>
      </c>
    </row>
    <row r="2034" spans="1:1">
      <c r="A2034" t="e" cm="1" vm="1">
        <f t="array" aca="1" ref="A2034" ca="1">(ROW(A33:M2032))</f>
        <v>#VALUE!</v>
      </c>
    </row>
    <row r="2035" spans="1:1">
      <c r="A2035" t="e" cm="1" vm="1">
        <f t="array" aca="1" ref="A2035" ca="1">(ROW(A34:M2033))</f>
        <v>#VALUE!</v>
      </c>
    </row>
    <row r="2036" spans="1:1">
      <c r="A2036" t="e" cm="1" vm="1">
        <f t="array" aca="1" ref="A2036" ca="1">(ROW(A35:M2034))</f>
        <v>#VALUE!</v>
      </c>
    </row>
    <row r="2037" spans="1:1">
      <c r="A2037" t="e" cm="1" vm="1">
        <f t="array" aca="1" ref="A2037" ca="1">(ROW(A36:M2035))</f>
        <v>#VALUE!</v>
      </c>
    </row>
    <row r="2038" spans="1:1">
      <c r="A2038" t="e" cm="1" vm="1">
        <f t="array" aca="1" ref="A2038" ca="1">(ROW(A37:M2036))</f>
        <v>#VALUE!</v>
      </c>
    </row>
    <row r="2039" spans="1:1">
      <c r="A2039" t="e" cm="1" vm="1">
        <f t="array" aca="1" ref="A2039" ca="1">(ROW(A38:M2037))</f>
        <v>#VALUE!</v>
      </c>
    </row>
    <row r="2040" spans="1:1">
      <c r="A2040" t="e" cm="1" vm="1">
        <f t="array" aca="1" ref="A2040" ca="1">(ROW(A39:M2038))</f>
        <v>#VALUE!</v>
      </c>
    </row>
    <row r="2041" spans="1:1">
      <c r="A2041" t="e" cm="1" vm="1">
        <f t="array" aca="1" ref="A2041" ca="1">(ROW(A40:M2039))</f>
        <v>#VALUE!</v>
      </c>
    </row>
    <row r="2042" spans="1:1">
      <c r="A2042" t="e" cm="1" vm="1">
        <f t="array" aca="1" ref="A2042" ca="1">(ROW(A41:M2040))</f>
        <v>#VALUE!</v>
      </c>
    </row>
    <row r="2043" spans="1:1">
      <c r="A2043" t="e" cm="1" vm="1">
        <f t="array" aca="1" ref="A2043" ca="1">(ROW(A42:M2041))</f>
        <v>#VALUE!</v>
      </c>
    </row>
    <row r="2044" spans="1:1">
      <c r="A2044" t="e" cm="1" vm="1">
        <f t="array" aca="1" ref="A2044" ca="1">(ROW(A43:M2042))</f>
        <v>#VALUE!</v>
      </c>
    </row>
    <row r="2045" spans="1:1">
      <c r="A2045" t="e" cm="1" vm="1">
        <f t="array" aca="1" ref="A2045" ca="1">(ROW(A44:M2043))</f>
        <v>#VALUE!</v>
      </c>
    </row>
    <row r="2046" spans="1:1">
      <c r="A2046" t="e" cm="1" vm="1">
        <f t="array" aca="1" ref="A2046" ca="1">(ROW(A45:M2044))</f>
        <v>#VALUE!</v>
      </c>
    </row>
    <row r="2047" spans="1:1">
      <c r="A2047" t="e" cm="1" vm="1">
        <f t="array" aca="1" ref="A2047" ca="1">(ROW(A46:M2045))</f>
        <v>#VALUE!</v>
      </c>
    </row>
    <row r="2048" spans="1:1">
      <c r="A2048" t="e" cm="1" vm="1">
        <f t="array" aca="1" ref="A2048" ca="1">(ROW(A47:M2046))</f>
        <v>#VALUE!</v>
      </c>
    </row>
    <row r="2049" spans="1:1">
      <c r="A2049" t="e" cm="1" vm="1">
        <f t="array" aca="1" ref="A2049" ca="1">(ROW(A48:M2047))</f>
        <v>#VALUE!</v>
      </c>
    </row>
    <row r="2050" spans="1:1">
      <c r="A2050" t="e" cm="1" vm="1">
        <f t="array" aca="1" ref="A2050" ca="1">(ROW(A49:M2048))</f>
        <v>#VALUE!</v>
      </c>
    </row>
    <row r="2051" spans="1:1">
      <c r="A2051" t="e" cm="1" vm="1">
        <f t="array" aca="1" ref="A2051" ca="1">(ROW(A50:M2049))</f>
        <v>#VALUE!</v>
      </c>
    </row>
    <row r="2052" spans="1:1">
      <c r="A2052" t="e" cm="1" vm="1">
        <f t="array" aca="1" ref="A2052" ca="1">(ROW(A51:M2050))</f>
        <v>#VALUE!</v>
      </c>
    </row>
    <row r="2053" spans="1:1">
      <c r="A2053" t="e" cm="1" vm="1">
        <f t="array" aca="1" ref="A2053" ca="1">(ROW(A52:M2051))</f>
        <v>#VALUE!</v>
      </c>
    </row>
    <row r="2054" spans="1:1">
      <c r="A2054" t="e" cm="1" vm="1">
        <f t="array" aca="1" ref="A2054" ca="1">(ROW(A53:M2052))</f>
        <v>#VALUE!</v>
      </c>
    </row>
    <row r="2055" spans="1:1">
      <c r="A2055" t="e" cm="1" vm="1">
        <f t="array" aca="1" ref="A2055" ca="1">(ROW(A54:M2053))</f>
        <v>#VALUE!</v>
      </c>
    </row>
    <row r="2056" spans="1:1">
      <c r="A2056" t="e" cm="1" vm="1">
        <f t="array" aca="1" ref="A2056" ca="1">(ROW(A55:M2054))</f>
        <v>#VALUE!</v>
      </c>
    </row>
    <row r="2057" spans="1:1">
      <c r="A2057" t="e" cm="1" vm="1">
        <f t="array" aca="1" ref="A2057" ca="1">(ROW(A56:M2055))</f>
        <v>#VALUE!</v>
      </c>
    </row>
    <row r="2058" spans="1:1">
      <c r="A2058" t="e" cm="1" vm="1">
        <f t="array" aca="1" ref="A2058" ca="1">(ROW(A57:M2056))</f>
        <v>#VALUE!</v>
      </c>
    </row>
    <row r="2059" spans="1:1">
      <c r="A2059" t="e" cm="1" vm="1">
        <f t="array" aca="1" ref="A2059" ca="1">(ROW(A58:M2057))</f>
        <v>#VALUE!</v>
      </c>
    </row>
    <row r="2060" spans="1:1">
      <c r="A2060" t="e" cm="1" vm="1">
        <f t="array" aca="1" ref="A2060" ca="1">(ROW(A59:M2058))</f>
        <v>#VALUE!</v>
      </c>
    </row>
    <row r="2061" spans="1:1">
      <c r="A2061" t="e" cm="1" vm="1">
        <f t="array" aca="1" ref="A2061" ca="1">(ROW(A60:M2059))</f>
        <v>#VALUE!</v>
      </c>
    </row>
    <row r="2062" spans="1:1">
      <c r="A2062" t="e" cm="1" vm="1">
        <f t="array" aca="1" ref="A2062" ca="1">(ROW(A61:M2060))</f>
        <v>#VALUE!</v>
      </c>
    </row>
    <row r="2063" spans="1:1">
      <c r="A2063" t="e" cm="1" vm="1">
        <f t="array" aca="1" ref="A2063" ca="1">(ROW(A62:M2061))</f>
        <v>#VALUE!</v>
      </c>
    </row>
    <row r="2064" spans="1:1">
      <c r="A2064" t="e" cm="1" vm="1">
        <f t="array" aca="1" ref="A2064" ca="1">(ROW(A63:M2062))</f>
        <v>#VALUE!</v>
      </c>
    </row>
    <row r="2065" spans="1:1">
      <c r="A2065" t="e" cm="1" vm="1">
        <f t="array" aca="1" ref="A2065" ca="1">(ROW(A64:M2063))</f>
        <v>#VALUE!</v>
      </c>
    </row>
    <row r="2066" spans="1:1">
      <c r="A2066" t="e" cm="1" vm="1">
        <f t="array" aca="1" ref="A2066" ca="1">(ROW(A65:M2064))</f>
        <v>#VALUE!</v>
      </c>
    </row>
    <row r="2067" spans="1:1">
      <c r="A2067" t="e" cm="1" vm="1">
        <f t="array" aca="1" ref="A2067" ca="1">(ROW(A66:M2065))</f>
        <v>#VALUE!</v>
      </c>
    </row>
    <row r="2068" spans="1:1">
      <c r="A2068" t="e" cm="1" vm="1">
        <f t="array" aca="1" ref="A2068" ca="1">(ROW(A67:M2066))</f>
        <v>#VALUE!</v>
      </c>
    </row>
    <row r="2069" spans="1:1">
      <c r="A2069" t="e" cm="1" vm="1">
        <f t="array" aca="1" ref="A2069" ca="1">(ROW(A68:M2067))</f>
        <v>#VALUE!</v>
      </c>
    </row>
    <row r="2070" spans="1:1">
      <c r="A2070" t="e" cm="1" vm="1">
        <f t="array" aca="1" ref="A2070" ca="1">(ROW(A69:M2068))</f>
        <v>#VALUE!</v>
      </c>
    </row>
    <row r="2071" spans="1:1">
      <c r="A2071" t="e" cm="1" vm="1">
        <f t="array" aca="1" ref="A2071" ca="1">(ROW(A70:M2069))</f>
        <v>#VALUE!</v>
      </c>
    </row>
    <row r="2072" spans="1:1">
      <c r="A2072" t="e" cm="1" vm="1">
        <f t="array" aca="1" ref="A2072" ca="1">(ROW(A71:M2070))</f>
        <v>#VALUE!</v>
      </c>
    </row>
    <row r="2073" spans="1:1">
      <c r="A2073" t="e" cm="1" vm="1">
        <f t="array" aca="1" ref="A2073" ca="1">(ROW(A72:M2071))</f>
        <v>#VALUE!</v>
      </c>
    </row>
    <row r="2074" spans="1:1">
      <c r="A2074" t="e" cm="1" vm="1">
        <f t="array" aca="1" ref="A2074" ca="1">(ROW(A73:M2072))</f>
        <v>#VALUE!</v>
      </c>
    </row>
    <row r="2075" spans="1:1">
      <c r="A2075" t="e" cm="1" vm="1">
        <f t="array" aca="1" ref="A2075" ca="1">(ROW(A74:M2073))</f>
        <v>#VALUE!</v>
      </c>
    </row>
    <row r="2076" spans="1:1">
      <c r="A2076" t="e" cm="1" vm="1">
        <f t="array" aca="1" ref="A2076" ca="1">(ROW(A75:M2074))</f>
        <v>#VALUE!</v>
      </c>
    </row>
    <row r="2077" spans="1:1">
      <c r="A2077" t="e" cm="1" vm="1">
        <f t="array" aca="1" ref="A2077" ca="1">(ROW(A76:M2075))</f>
        <v>#VALUE!</v>
      </c>
    </row>
    <row r="2078" spans="1:1">
      <c r="A2078" t="e" cm="1" vm="1">
        <f t="array" aca="1" ref="A2078" ca="1">(ROW(A77:M2076))</f>
        <v>#VALUE!</v>
      </c>
    </row>
    <row r="2079" spans="1:1">
      <c r="A2079" t="e" cm="1" vm="1">
        <f t="array" aca="1" ref="A2079" ca="1">(ROW(A78:M2077))</f>
        <v>#VALUE!</v>
      </c>
    </row>
    <row r="2080" spans="1:1">
      <c r="A2080" t="e" cm="1" vm="1">
        <f t="array" aca="1" ref="A2080" ca="1">(ROW(A79:M2078))</f>
        <v>#VALUE!</v>
      </c>
    </row>
    <row r="2081" spans="1:1">
      <c r="A2081" t="e" cm="1" vm="1">
        <f t="array" aca="1" ref="A2081" ca="1">(ROW(A80:M2079))</f>
        <v>#VALUE!</v>
      </c>
    </row>
    <row r="2082" spans="1:1">
      <c r="A2082" t="e" cm="1" vm="1">
        <f t="array" aca="1" ref="A2082" ca="1">(ROW(A81:M2080))</f>
        <v>#VALUE!</v>
      </c>
    </row>
    <row r="2083" spans="1:1">
      <c r="A2083" t="e" cm="1" vm="1">
        <f t="array" aca="1" ref="A2083" ca="1">(ROW(A82:M2081))</f>
        <v>#VALUE!</v>
      </c>
    </row>
    <row r="2084" spans="1:1">
      <c r="A2084" t="e" cm="1" vm="1">
        <f t="array" aca="1" ref="A2084" ca="1">(ROW(A83:M2082))</f>
        <v>#VALUE!</v>
      </c>
    </row>
    <row r="2085" spans="1:1">
      <c r="A2085" t="e" cm="1" vm="1">
        <f t="array" aca="1" ref="A2085" ca="1">(ROW(A84:M2083))</f>
        <v>#VALUE!</v>
      </c>
    </row>
    <row r="2086" spans="1:1">
      <c r="A2086" t="e" cm="1" vm="1">
        <f t="array" aca="1" ref="A2086" ca="1">(ROW(A85:M2084))</f>
        <v>#VALUE!</v>
      </c>
    </row>
    <row r="2087" spans="1:1">
      <c r="A2087" t="e" cm="1" vm="1">
        <f t="array" aca="1" ref="A2087" ca="1">(ROW(A86:M2085))</f>
        <v>#VALUE!</v>
      </c>
    </row>
    <row r="2088" spans="1:1">
      <c r="A2088" t="e" cm="1" vm="1">
        <f t="array" aca="1" ref="A2088" ca="1">(ROW(A87:M2086))</f>
        <v>#VALUE!</v>
      </c>
    </row>
    <row r="2089" spans="1:1">
      <c r="A2089" t="e" cm="1" vm="1">
        <f t="array" aca="1" ref="A2089" ca="1">(ROW(A88:M2087))</f>
        <v>#VALUE!</v>
      </c>
    </row>
    <row r="2090" spans="1:1">
      <c r="A2090" t="e" cm="1" vm="1">
        <f t="array" aca="1" ref="A2090" ca="1">(ROW(A89:M2088))</f>
        <v>#VALUE!</v>
      </c>
    </row>
    <row r="2091" spans="1:1">
      <c r="A2091" t="e" cm="1" vm="1">
        <f t="array" aca="1" ref="A2091" ca="1">(ROW(A90:M2089))</f>
        <v>#VALUE!</v>
      </c>
    </row>
    <row r="2092" spans="1:1">
      <c r="A2092" t="e" cm="1" vm="1">
        <f t="array" aca="1" ref="A2092" ca="1">(ROW(A91:M2090))</f>
        <v>#VALUE!</v>
      </c>
    </row>
    <row r="2093" spans="1:1">
      <c r="A2093" t="e" cm="1" vm="1">
        <f t="array" aca="1" ref="A2093" ca="1">(ROW(A92:M2091))</f>
        <v>#VALUE!</v>
      </c>
    </row>
    <row r="2094" spans="1:1">
      <c r="A2094" t="e" cm="1" vm="1">
        <f t="array" aca="1" ref="A2094" ca="1">(ROW(A93:M2092))</f>
        <v>#VALUE!</v>
      </c>
    </row>
    <row r="2095" spans="1:1">
      <c r="A2095" t="e" cm="1" vm="1">
        <f t="array" aca="1" ref="A2095" ca="1">(ROW(A94:M2093))</f>
        <v>#VALUE!</v>
      </c>
    </row>
    <row r="2096" spans="1:1">
      <c r="A2096" t="e" cm="1" vm="1">
        <f t="array" aca="1" ref="A2096" ca="1">(ROW(A95:M2094))</f>
        <v>#VALUE!</v>
      </c>
    </row>
    <row r="2097" spans="1:1">
      <c r="A2097" t="e" cm="1" vm="1">
        <f t="array" aca="1" ref="A2097" ca="1">(ROW(A96:M2095))</f>
        <v>#VALUE!</v>
      </c>
    </row>
    <row r="2098" spans="1:1">
      <c r="A2098" t="e" cm="1" vm="1">
        <f t="array" aca="1" ref="A2098" ca="1">(ROW(A97:M2096))</f>
        <v>#VALUE!</v>
      </c>
    </row>
    <row r="2099" spans="1:1">
      <c r="A2099" t="e" cm="1" vm="1">
        <f t="array" aca="1" ref="A2099" ca="1">(ROW(A98:M2097))</f>
        <v>#VALUE!</v>
      </c>
    </row>
    <row r="2100" spans="1:1">
      <c r="A2100" t="e" cm="1" vm="1">
        <f t="array" aca="1" ref="A2100" ca="1">(ROW(A99:M2098))</f>
        <v>#VALUE!</v>
      </c>
    </row>
    <row r="2101" spans="1:1">
      <c r="A2101" t="e" cm="1" vm="1">
        <f t="array" aca="1" ref="A2101" ca="1">(ROW(A100:M2099))</f>
        <v>#VALUE!</v>
      </c>
    </row>
    <row r="2102" spans="1:1">
      <c r="A2102" t="e" cm="1" vm="1">
        <f t="array" aca="1" ref="A2102" ca="1">(ROW(A101:M2100))</f>
        <v>#VALUE!</v>
      </c>
    </row>
    <row r="2103" spans="1:1">
      <c r="A2103" t="e" cm="1" vm="1">
        <f t="array" aca="1" ref="A2103" ca="1">(ROW(A102:M2101))</f>
        <v>#VALUE!</v>
      </c>
    </row>
    <row r="2104" spans="1:1">
      <c r="A2104" t="e" cm="1" vm="1">
        <f t="array" aca="1" ref="A2104" ca="1">(ROW(A103:M2102))</f>
        <v>#VALUE!</v>
      </c>
    </row>
    <row r="2105" spans="1:1">
      <c r="A2105" t="e" cm="1" vm="1">
        <f t="array" aca="1" ref="A2105" ca="1">(ROW(A104:M2103))</f>
        <v>#VALUE!</v>
      </c>
    </row>
    <row r="2106" spans="1:1">
      <c r="A2106" t="e" cm="1" vm="1">
        <f t="array" aca="1" ref="A2106" ca="1">(ROW(A105:M2104))</f>
        <v>#VALUE!</v>
      </c>
    </row>
    <row r="2107" spans="1:1">
      <c r="A2107" t="e" cm="1" vm="1">
        <f t="array" aca="1" ref="A2107" ca="1">(ROW(A106:M2105))</f>
        <v>#VALUE!</v>
      </c>
    </row>
    <row r="2108" spans="1:1">
      <c r="A2108" t="e" cm="1" vm="1">
        <f t="array" aca="1" ref="A2108" ca="1">(ROW(A107:M2106))</f>
        <v>#VALUE!</v>
      </c>
    </row>
    <row r="2109" spans="1:1">
      <c r="A2109" t="e" cm="1" vm="1">
        <f t="array" aca="1" ref="A2109" ca="1">(ROW(A108:M2107))</f>
        <v>#VALUE!</v>
      </c>
    </row>
    <row r="2110" spans="1:1">
      <c r="A2110" t="e" cm="1" vm="1">
        <f t="array" aca="1" ref="A2110" ca="1">(ROW(A109:M2108))</f>
        <v>#VALUE!</v>
      </c>
    </row>
    <row r="2111" spans="1:1">
      <c r="A2111" t="e" cm="1" vm="1">
        <f t="array" aca="1" ref="A2111" ca="1">(ROW(A110:M2109))</f>
        <v>#VALUE!</v>
      </c>
    </row>
    <row r="2112" spans="1:1">
      <c r="A2112" t="e" cm="1" vm="1">
        <f t="array" aca="1" ref="A2112" ca="1">(ROW(A111:M2110))</f>
        <v>#VALUE!</v>
      </c>
    </row>
    <row r="2113" spans="1:1">
      <c r="A2113" t="e" cm="1" vm="1">
        <f t="array" aca="1" ref="A2113" ca="1">(ROW(A112:M2111))</f>
        <v>#VALUE!</v>
      </c>
    </row>
    <row r="2114" spans="1:1">
      <c r="A2114" t="e" cm="1" vm="1">
        <f t="array" aca="1" ref="A2114" ca="1">(ROW(A113:M2112))</f>
        <v>#VALUE!</v>
      </c>
    </row>
    <row r="2115" spans="1:1">
      <c r="A2115" t="e" cm="1" vm="1">
        <f t="array" aca="1" ref="A2115" ca="1">(ROW(A114:M2113))</f>
        <v>#VALUE!</v>
      </c>
    </row>
    <row r="2116" spans="1:1">
      <c r="A2116" t="e" cm="1" vm="1">
        <f t="array" aca="1" ref="A2116" ca="1">(ROW(A115:M2114))</f>
        <v>#VALUE!</v>
      </c>
    </row>
    <row r="2117" spans="1:1">
      <c r="A2117" t="e" cm="1" vm="1">
        <f t="array" aca="1" ref="A2117" ca="1">(ROW(A116:M2115))</f>
        <v>#VALUE!</v>
      </c>
    </row>
    <row r="2118" spans="1:1">
      <c r="A2118" t="e" cm="1" vm="1">
        <f t="array" aca="1" ref="A2118" ca="1">(ROW(A117:M2116))</f>
        <v>#VALUE!</v>
      </c>
    </row>
    <row r="2119" spans="1:1">
      <c r="A2119" t="e" cm="1" vm="1">
        <f t="array" aca="1" ref="A2119" ca="1">(ROW(A118:M2117))</f>
        <v>#VALUE!</v>
      </c>
    </row>
    <row r="2120" spans="1:1">
      <c r="A2120" t="e" cm="1" vm="1">
        <f t="array" aca="1" ref="A2120" ca="1">(ROW(A119:M2118))</f>
        <v>#VALUE!</v>
      </c>
    </row>
    <row r="2121" spans="1:1">
      <c r="A2121" t="e" cm="1" vm="1">
        <f t="array" aca="1" ref="A2121" ca="1">(ROW(A120:M2119))</f>
        <v>#VALUE!</v>
      </c>
    </row>
    <row r="2122" spans="1:1">
      <c r="A2122" t="e" cm="1" vm="1">
        <f t="array" aca="1" ref="A2122" ca="1">(ROW(A121:M2120))</f>
        <v>#VALUE!</v>
      </c>
    </row>
    <row r="2123" spans="1:1">
      <c r="A2123" t="e" cm="1" vm="1">
        <f t="array" aca="1" ref="A2123" ca="1">(ROW(A122:M2121))</f>
        <v>#VALUE!</v>
      </c>
    </row>
    <row r="2124" spans="1:1">
      <c r="A2124" t="e" cm="1" vm="1">
        <f t="array" aca="1" ref="A2124" ca="1">(ROW(A123:M2122))</f>
        <v>#VALUE!</v>
      </c>
    </row>
    <row r="2125" spans="1:1">
      <c r="A2125" t="e" cm="1" vm="1">
        <f t="array" aca="1" ref="A2125" ca="1">(ROW(A124:M2123))</f>
        <v>#VALUE!</v>
      </c>
    </row>
    <row r="2126" spans="1:1">
      <c r="A2126" t="e" cm="1" vm="1">
        <f t="array" aca="1" ref="A2126" ca="1">(ROW(A125:M2124))</f>
        <v>#VALUE!</v>
      </c>
    </row>
    <row r="2127" spans="1:1">
      <c r="A2127" t="e" cm="1" vm="1">
        <f t="array" aca="1" ref="A2127" ca="1">(ROW(A126:M2125))</f>
        <v>#VALUE!</v>
      </c>
    </row>
    <row r="2128" spans="1:1">
      <c r="A2128" t="e" cm="1" vm="1">
        <f t="array" aca="1" ref="A2128" ca="1">(ROW(A127:M2126))</f>
        <v>#VALUE!</v>
      </c>
    </row>
    <row r="2129" spans="1:1">
      <c r="A2129" t="e" cm="1" vm="1">
        <f t="array" aca="1" ref="A2129" ca="1">(ROW(A128:M2127))</f>
        <v>#VALUE!</v>
      </c>
    </row>
    <row r="2130" spans="1:1">
      <c r="A2130" t="e" cm="1" vm="1">
        <f t="array" aca="1" ref="A2130" ca="1">(ROW(A129:M2128))</f>
        <v>#VALUE!</v>
      </c>
    </row>
    <row r="2131" spans="1:1">
      <c r="A2131" t="e" cm="1" vm="1">
        <f t="array" aca="1" ref="A2131" ca="1">(ROW(A130:M2129))</f>
        <v>#VALUE!</v>
      </c>
    </row>
    <row r="2132" spans="1:1">
      <c r="A2132" t="e" cm="1" vm="1">
        <f t="array" aca="1" ref="A2132" ca="1">(ROW(A131:M2130))</f>
        <v>#VALUE!</v>
      </c>
    </row>
    <row r="2133" spans="1:1">
      <c r="A2133" t="e" cm="1" vm="1">
        <f t="array" aca="1" ref="A2133" ca="1">(ROW(A132:M2131))</f>
        <v>#VALUE!</v>
      </c>
    </row>
    <row r="2134" spans="1:1">
      <c r="A2134" t="e" cm="1" vm="1">
        <f t="array" aca="1" ref="A2134" ca="1">(ROW(A133:M2132))</f>
        <v>#VALUE!</v>
      </c>
    </row>
    <row r="2135" spans="1:1">
      <c r="A2135" t="e" cm="1" vm="1">
        <f t="array" aca="1" ref="A2135" ca="1">(ROW(A134:M2133))</f>
        <v>#VALUE!</v>
      </c>
    </row>
    <row r="2136" spans="1:1">
      <c r="A2136" t="e" cm="1" vm="1">
        <f t="array" aca="1" ref="A2136" ca="1">(ROW(A135:M2134))</f>
        <v>#VALUE!</v>
      </c>
    </row>
    <row r="2137" spans="1:1">
      <c r="A2137" t="e" cm="1" vm="1">
        <f t="array" aca="1" ref="A2137" ca="1">(ROW(A136:M2135))</f>
        <v>#VALUE!</v>
      </c>
    </row>
    <row r="2138" spans="1:1">
      <c r="A2138" t="e" cm="1" vm="1">
        <f t="array" aca="1" ref="A2138" ca="1">(ROW(A137:M2136))</f>
        <v>#VALUE!</v>
      </c>
    </row>
    <row r="2139" spans="1:1">
      <c r="A2139" t="e" cm="1" vm="1">
        <f t="array" aca="1" ref="A2139" ca="1">(ROW(A138:M2137))</f>
        <v>#VALUE!</v>
      </c>
    </row>
    <row r="2140" spans="1:1">
      <c r="A2140" t="e" cm="1" vm="1">
        <f t="array" aca="1" ref="A2140" ca="1">(ROW(A139:M2138))</f>
        <v>#VALUE!</v>
      </c>
    </row>
    <row r="2141" spans="1:1">
      <c r="A2141" t="e" cm="1" vm="1">
        <f t="array" aca="1" ref="A2141" ca="1">(ROW(A140:M2139))</f>
        <v>#VALUE!</v>
      </c>
    </row>
    <row r="2142" spans="1:1">
      <c r="A2142" t="e" cm="1" vm="1">
        <f t="array" aca="1" ref="A2142" ca="1">(ROW(A141:M2140))</f>
        <v>#VALUE!</v>
      </c>
    </row>
    <row r="2143" spans="1:1">
      <c r="A2143" t="e" cm="1" vm="1">
        <f t="array" aca="1" ref="A2143" ca="1">(ROW(A142:M2141))</f>
        <v>#VALUE!</v>
      </c>
    </row>
    <row r="2144" spans="1:1">
      <c r="A2144" t="e" cm="1" vm="1">
        <f t="array" aca="1" ref="A2144" ca="1">(ROW(A143:M2142))</f>
        <v>#VALUE!</v>
      </c>
    </row>
    <row r="2145" spans="1:1">
      <c r="A2145" t="e" cm="1" vm="1">
        <f t="array" aca="1" ref="A2145" ca="1">(ROW(A144:M2143))</f>
        <v>#VALUE!</v>
      </c>
    </row>
    <row r="2146" spans="1:1">
      <c r="A2146" t="e" cm="1" vm="1">
        <f t="array" aca="1" ref="A2146" ca="1">(ROW(A145:M2144))</f>
        <v>#VALUE!</v>
      </c>
    </row>
    <row r="2147" spans="1:1">
      <c r="A2147" t="e" cm="1" vm="1">
        <f t="array" aca="1" ref="A2147" ca="1">(ROW(A146:M2145))</f>
        <v>#VALUE!</v>
      </c>
    </row>
    <row r="2148" spans="1:1">
      <c r="A2148" t="e" cm="1" vm="1">
        <f t="array" aca="1" ref="A2148" ca="1">(ROW(A147:M2146))</f>
        <v>#VALUE!</v>
      </c>
    </row>
    <row r="2149" spans="1:1">
      <c r="A2149" t="e" cm="1" vm="1">
        <f t="array" aca="1" ref="A2149" ca="1">(ROW(A148:M2147))</f>
        <v>#VALUE!</v>
      </c>
    </row>
    <row r="2150" spans="1:1">
      <c r="A2150" t="e" cm="1" vm="1">
        <f t="array" aca="1" ref="A2150" ca="1">(ROW(A149:M2148))</f>
        <v>#VALUE!</v>
      </c>
    </row>
    <row r="2151" spans="1:1">
      <c r="A2151" t="e" cm="1" vm="1">
        <f t="array" aca="1" ref="A2151" ca="1">(ROW(A150:M2149))</f>
        <v>#VALUE!</v>
      </c>
    </row>
    <row r="2152" spans="1:1">
      <c r="A2152" t="e" cm="1" vm="1">
        <f t="array" aca="1" ref="A2152" ca="1">(ROW(A151:M2150))</f>
        <v>#VALUE!</v>
      </c>
    </row>
    <row r="2153" spans="1:1">
      <c r="A2153" t="e" cm="1" vm="1">
        <f t="array" aca="1" ref="A2153" ca="1">(ROW(A152:M2151))</f>
        <v>#VALUE!</v>
      </c>
    </row>
    <row r="2154" spans="1:1">
      <c r="A2154" t="e" cm="1" vm="1">
        <f t="array" aca="1" ref="A2154" ca="1">(ROW(A153:M2152))</f>
        <v>#VALUE!</v>
      </c>
    </row>
    <row r="2155" spans="1:1">
      <c r="A2155" t="e" cm="1" vm="1">
        <f t="array" aca="1" ref="A2155" ca="1">(ROW(A154:M2153))</f>
        <v>#VALUE!</v>
      </c>
    </row>
    <row r="2156" spans="1:1">
      <c r="A2156" t="e" cm="1" vm="1">
        <f t="array" aca="1" ref="A2156" ca="1">(ROW(A155:M2154))</f>
        <v>#VALUE!</v>
      </c>
    </row>
    <row r="2157" spans="1:1">
      <c r="A2157" t="e" cm="1" vm="1">
        <f t="array" aca="1" ref="A2157" ca="1">(ROW(A156:M2155))</f>
        <v>#VALUE!</v>
      </c>
    </row>
    <row r="2158" spans="1:1">
      <c r="A2158" t="e" cm="1" vm="1">
        <f t="array" aca="1" ref="A2158" ca="1">(ROW(A157:M2156))</f>
        <v>#VALUE!</v>
      </c>
    </row>
    <row r="2159" spans="1:1">
      <c r="A2159" t="e" cm="1" vm="1">
        <f t="array" aca="1" ref="A2159" ca="1">(ROW(A158:M2157))</f>
        <v>#VALUE!</v>
      </c>
    </row>
    <row r="2160" spans="1:1">
      <c r="A2160" t="e" cm="1" vm="1">
        <f t="array" aca="1" ref="A2160" ca="1">(ROW(A159:M2158))</f>
        <v>#VALUE!</v>
      </c>
    </row>
    <row r="2161" spans="1:1">
      <c r="A2161" t="e" cm="1" vm="1">
        <f t="array" aca="1" ref="A2161" ca="1">(ROW(A160:M2159))</f>
        <v>#VALUE!</v>
      </c>
    </row>
    <row r="2162" spans="1:1">
      <c r="A2162" t="e" cm="1" vm="1">
        <f t="array" aca="1" ref="A2162" ca="1">(ROW(A161:M2160))</f>
        <v>#VALUE!</v>
      </c>
    </row>
    <row r="2163" spans="1:1">
      <c r="A2163" t="e" cm="1" vm="1">
        <f t="array" aca="1" ref="A2163" ca="1">(ROW(A162:M2161))</f>
        <v>#VALUE!</v>
      </c>
    </row>
    <row r="2164" spans="1:1">
      <c r="A2164" t="e" cm="1" vm="1">
        <f t="array" aca="1" ref="A2164" ca="1">(ROW(A163:M2162))</f>
        <v>#VALUE!</v>
      </c>
    </row>
    <row r="2165" spans="1:1">
      <c r="A2165" t="e" cm="1" vm="1">
        <f t="array" aca="1" ref="A2165" ca="1">(ROW(A164:M2163))</f>
        <v>#VALUE!</v>
      </c>
    </row>
    <row r="2166" spans="1:1">
      <c r="A2166" t="e" cm="1" vm="1">
        <f t="array" aca="1" ref="A2166" ca="1">(ROW(A165:M2164))</f>
        <v>#VALUE!</v>
      </c>
    </row>
    <row r="2167" spans="1:1">
      <c r="A2167" t="e" cm="1" vm="1">
        <f t="array" aca="1" ref="A2167" ca="1">(ROW(A166:M2165))</f>
        <v>#VALUE!</v>
      </c>
    </row>
    <row r="2168" spans="1:1">
      <c r="A2168" t="e" cm="1" vm="1">
        <f t="array" aca="1" ref="A2168" ca="1">(ROW(A167:M2166))</f>
        <v>#VALUE!</v>
      </c>
    </row>
    <row r="2169" spans="1:1">
      <c r="A2169" t="e" cm="1" vm="1">
        <f t="array" aca="1" ref="A2169" ca="1">(ROW(A168:M2167))</f>
        <v>#VALUE!</v>
      </c>
    </row>
    <row r="2170" spans="1:1">
      <c r="A2170" t="e" cm="1" vm="1">
        <f t="array" aca="1" ref="A2170" ca="1">(ROW(A169:M2168))</f>
        <v>#VALUE!</v>
      </c>
    </row>
    <row r="2171" spans="1:1">
      <c r="A2171" t="e" cm="1" vm="1">
        <f t="array" aca="1" ref="A2171" ca="1">(ROW(A170:M2169))</f>
        <v>#VALUE!</v>
      </c>
    </row>
    <row r="2172" spans="1:1">
      <c r="A2172" t="e" cm="1" vm="1">
        <f t="array" aca="1" ref="A2172" ca="1">(ROW(A171:M2170))</f>
        <v>#VALUE!</v>
      </c>
    </row>
    <row r="2173" spans="1:1">
      <c r="A2173" t="e" cm="1" vm="1">
        <f t="array" aca="1" ref="A2173" ca="1">(ROW(A172:M2171))</f>
        <v>#VALUE!</v>
      </c>
    </row>
    <row r="2174" spans="1:1">
      <c r="A2174" t="e" cm="1" vm="1">
        <f t="array" aca="1" ref="A2174" ca="1">(ROW(A173:M2172))</f>
        <v>#VALUE!</v>
      </c>
    </row>
    <row r="2175" spans="1:1">
      <c r="A2175" t="e" cm="1" vm="1">
        <f t="array" aca="1" ref="A2175" ca="1">(ROW(A174:M2173))</f>
        <v>#VALUE!</v>
      </c>
    </row>
    <row r="2176" spans="1:1">
      <c r="A2176" t="e" cm="1" vm="1">
        <f t="array" aca="1" ref="A2176" ca="1">(ROW(A175:M2174))</f>
        <v>#VALUE!</v>
      </c>
    </row>
    <row r="2177" spans="1:1">
      <c r="A2177" t="e" cm="1" vm="1">
        <f t="array" aca="1" ref="A2177" ca="1">(ROW(A176:M2175))</f>
        <v>#VALUE!</v>
      </c>
    </row>
    <row r="2178" spans="1:1">
      <c r="A2178" t="e" cm="1" vm="1">
        <f t="array" aca="1" ref="A2178" ca="1">(ROW(A177:M2176))</f>
        <v>#VALUE!</v>
      </c>
    </row>
    <row r="2179" spans="1:1">
      <c r="A2179" t="e" cm="1" vm="1">
        <f t="array" aca="1" ref="A2179" ca="1">(ROW(A178:M2177))</f>
        <v>#VALUE!</v>
      </c>
    </row>
    <row r="2180" spans="1:1">
      <c r="A2180" t="e" cm="1" vm="1">
        <f t="array" aca="1" ref="A2180" ca="1">(ROW(A179:M2178))</f>
        <v>#VALUE!</v>
      </c>
    </row>
    <row r="2181" spans="1:1">
      <c r="A2181" t="e" cm="1" vm="1">
        <f t="array" aca="1" ref="A2181" ca="1">(ROW(A180:M2179))</f>
        <v>#VALUE!</v>
      </c>
    </row>
    <row r="2182" spans="1:1">
      <c r="A2182" t="e" cm="1" vm="1">
        <f t="array" aca="1" ref="A2182" ca="1">(ROW(A181:M2180))</f>
        <v>#VALUE!</v>
      </c>
    </row>
    <row r="2183" spans="1:1">
      <c r="A2183" t="e" cm="1" vm="1">
        <f t="array" aca="1" ref="A2183" ca="1">(ROW(A182:M2181))</f>
        <v>#VALUE!</v>
      </c>
    </row>
    <row r="2184" spans="1:1">
      <c r="A2184" t="e" cm="1" vm="1">
        <f t="array" aca="1" ref="A2184" ca="1">(ROW(A183:M2182))</f>
        <v>#VALUE!</v>
      </c>
    </row>
    <row r="2185" spans="1:1">
      <c r="A2185" t="e" cm="1" vm="1">
        <f t="array" aca="1" ref="A2185" ca="1">(ROW(A184:M2183))</f>
        <v>#VALUE!</v>
      </c>
    </row>
    <row r="2186" spans="1:1">
      <c r="A2186" t="e" cm="1" vm="1">
        <f t="array" aca="1" ref="A2186" ca="1">(ROW(A185:M2184))</f>
        <v>#VALUE!</v>
      </c>
    </row>
    <row r="2187" spans="1:1">
      <c r="A2187" t="e" cm="1" vm="1">
        <f t="array" aca="1" ref="A2187" ca="1">(ROW(A186:M2185))</f>
        <v>#VALUE!</v>
      </c>
    </row>
    <row r="2188" spans="1:1">
      <c r="A2188" t="e" cm="1" vm="1">
        <f t="array" aca="1" ref="A2188" ca="1">(ROW(A187:M2186))</f>
        <v>#VALUE!</v>
      </c>
    </row>
    <row r="2189" spans="1:1">
      <c r="A2189" t="e" cm="1" vm="1">
        <f t="array" aca="1" ref="A2189" ca="1">(ROW(A188:M2187))</f>
        <v>#VALUE!</v>
      </c>
    </row>
    <row r="2190" spans="1:1">
      <c r="A2190" t="e" cm="1" vm="1">
        <f t="array" aca="1" ref="A2190" ca="1">(ROW(A189:M2188))</f>
        <v>#VALUE!</v>
      </c>
    </row>
    <row r="2191" spans="1:1">
      <c r="A2191" t="e" cm="1" vm="1">
        <f t="array" aca="1" ref="A2191" ca="1">(ROW(A190:M2189))</f>
        <v>#VALUE!</v>
      </c>
    </row>
    <row r="2192" spans="1:1">
      <c r="A2192" t="e" cm="1" vm="1">
        <f t="array" aca="1" ref="A2192" ca="1">(ROW(A191:M2190))</f>
        <v>#VALUE!</v>
      </c>
    </row>
    <row r="2193" spans="1:1">
      <c r="A2193" t="e" cm="1" vm="1">
        <f t="array" aca="1" ref="A2193" ca="1">(ROW(A192:M2191))</f>
        <v>#VALUE!</v>
      </c>
    </row>
    <row r="2194" spans="1:1">
      <c r="A2194" t="e" cm="1" vm="1">
        <f t="array" aca="1" ref="A2194" ca="1">(ROW(A193:M2192))</f>
        <v>#VALUE!</v>
      </c>
    </row>
    <row r="2195" spans="1:1">
      <c r="A2195" t="e" cm="1" vm="1">
        <f t="array" aca="1" ref="A2195" ca="1">(ROW(A194:M2193))</f>
        <v>#VALUE!</v>
      </c>
    </row>
    <row r="2196" spans="1:1">
      <c r="A2196" t="e" cm="1" vm="1">
        <f t="array" aca="1" ref="A2196" ca="1">(ROW(A195:M2194))</f>
        <v>#VALUE!</v>
      </c>
    </row>
    <row r="2197" spans="1:1">
      <c r="A2197" t="e" cm="1" vm="1">
        <f t="array" aca="1" ref="A2197" ca="1">(ROW(A196:M2195))</f>
        <v>#VALUE!</v>
      </c>
    </row>
    <row r="2198" spans="1:1">
      <c r="A2198" t="e" cm="1" vm="1">
        <f t="array" aca="1" ref="A2198" ca="1">(ROW(A197:M2196))</f>
        <v>#VALUE!</v>
      </c>
    </row>
    <row r="2199" spans="1:1">
      <c r="A2199" t="e" cm="1" vm="1">
        <f t="array" aca="1" ref="A2199" ca="1">(ROW(A198:M2197))</f>
        <v>#VALUE!</v>
      </c>
    </row>
    <row r="2200" spans="1:1">
      <c r="A2200" t="e" cm="1" vm="1">
        <f t="array" aca="1" ref="A2200" ca="1">(ROW(A199:M2198))</f>
        <v>#VALUE!</v>
      </c>
    </row>
    <row r="2201" spans="1:1">
      <c r="A2201" t="e" cm="1" vm="1">
        <f t="array" aca="1" ref="A2201" ca="1">(ROW(A200:M2199))</f>
        <v>#VALUE!</v>
      </c>
    </row>
    <row r="2202" spans="1:1">
      <c r="A2202" t="e" cm="1" vm="1">
        <f t="array" aca="1" ref="A2202" ca="1">(ROW(A201:M2200))</f>
        <v>#VALUE!</v>
      </c>
    </row>
    <row r="2203" spans="1:1">
      <c r="A2203" t="e" cm="1" vm="1">
        <f t="array" aca="1" ref="A2203" ca="1">(ROW(A202:M2201))</f>
        <v>#VALUE!</v>
      </c>
    </row>
    <row r="2204" spans="1:1">
      <c r="A2204" t="e" cm="1" vm="1">
        <f t="array" aca="1" ref="A2204" ca="1">(ROW(A203:M2202))</f>
        <v>#VALUE!</v>
      </c>
    </row>
    <row r="2205" spans="1:1">
      <c r="A2205" t="e" cm="1" vm="1">
        <f t="array" aca="1" ref="A2205" ca="1">(ROW(A204:M2203))</f>
        <v>#VALUE!</v>
      </c>
    </row>
    <row r="2206" spans="1:1">
      <c r="A2206" t="e" cm="1" vm="1">
        <f t="array" aca="1" ref="A2206" ca="1">(ROW(A205:M2204))</f>
        <v>#VALUE!</v>
      </c>
    </row>
    <row r="2207" spans="1:1">
      <c r="A2207" t="e" cm="1" vm="1">
        <f t="array" aca="1" ref="A2207" ca="1">(ROW(A206:M2205))</f>
        <v>#VALUE!</v>
      </c>
    </row>
    <row r="2208" spans="1:1">
      <c r="A2208" t="e" cm="1" vm="1">
        <f t="array" aca="1" ref="A2208" ca="1">(ROW(A207:M2206))</f>
        <v>#VALUE!</v>
      </c>
    </row>
    <row r="2209" spans="1:1">
      <c r="A2209" t="e" cm="1" vm="1">
        <f t="array" aca="1" ref="A2209" ca="1">(ROW(A208:M2207))</f>
        <v>#VALUE!</v>
      </c>
    </row>
    <row r="2210" spans="1:1">
      <c r="A2210" t="e" cm="1" vm="1">
        <f t="array" aca="1" ref="A2210" ca="1">(ROW(A209:M2208))</f>
        <v>#VALUE!</v>
      </c>
    </row>
    <row r="2211" spans="1:1">
      <c r="A2211" t="e" cm="1" vm="1">
        <f t="array" aca="1" ref="A2211" ca="1">(ROW(A210:M2209))</f>
        <v>#VALUE!</v>
      </c>
    </row>
    <row r="2212" spans="1:1">
      <c r="A2212" t="e" cm="1" vm="1">
        <f t="array" aca="1" ref="A2212" ca="1">(ROW(A211:M2210))</f>
        <v>#VALUE!</v>
      </c>
    </row>
    <row r="2213" spans="1:1">
      <c r="A2213" t="e" cm="1" vm="1">
        <f t="array" aca="1" ref="A2213" ca="1">(ROW(A212:M2211))</f>
        <v>#VALUE!</v>
      </c>
    </row>
    <row r="2214" spans="1:1">
      <c r="A2214" t="e" cm="1" vm="1">
        <f t="array" aca="1" ref="A2214" ca="1">(ROW(A213:M2212))</f>
        <v>#VALUE!</v>
      </c>
    </row>
    <row r="2215" spans="1:1">
      <c r="A2215" t="e" cm="1" vm="1">
        <f t="array" aca="1" ref="A2215" ca="1">(ROW(A214:M2213))</f>
        <v>#VALUE!</v>
      </c>
    </row>
    <row r="2216" spans="1:1">
      <c r="A2216" t="e" cm="1" vm="1">
        <f t="array" aca="1" ref="A2216" ca="1">(ROW(A215:M2214))</f>
        <v>#VALUE!</v>
      </c>
    </row>
    <row r="2217" spans="1:1">
      <c r="A2217" t="e" cm="1" vm="1">
        <f t="array" aca="1" ref="A2217" ca="1">(ROW(A216:M2215))</f>
        <v>#VALUE!</v>
      </c>
    </row>
    <row r="2218" spans="1:1">
      <c r="A2218" t="e" cm="1" vm="1">
        <f t="array" aca="1" ref="A2218" ca="1">(ROW(A217:M2216))</f>
        <v>#VALUE!</v>
      </c>
    </row>
    <row r="2219" spans="1:1">
      <c r="A2219" t="e" cm="1" vm="1">
        <f t="array" aca="1" ref="A2219" ca="1">(ROW(A218:M2217))</f>
        <v>#VALUE!</v>
      </c>
    </row>
    <row r="2220" spans="1:1">
      <c r="A2220" t="e" cm="1" vm="1">
        <f t="array" aca="1" ref="A2220" ca="1">(ROW(A219:M2218))</f>
        <v>#VALUE!</v>
      </c>
    </row>
    <row r="2221" spans="1:1">
      <c r="A2221" t="e" cm="1" vm="1">
        <f t="array" aca="1" ref="A2221" ca="1">(ROW(A220:M2219))</f>
        <v>#VALUE!</v>
      </c>
    </row>
    <row r="2222" spans="1:1">
      <c r="A2222" t="e" cm="1" vm="1">
        <f t="array" aca="1" ref="A2222" ca="1">(ROW(A221:M2220))</f>
        <v>#VALUE!</v>
      </c>
    </row>
    <row r="2223" spans="1:1">
      <c r="A2223" t="e" cm="1" vm="1">
        <f t="array" aca="1" ref="A2223" ca="1">(ROW(A222:M2221))</f>
        <v>#VALUE!</v>
      </c>
    </row>
    <row r="2224" spans="1:1">
      <c r="A2224" t="e" cm="1" vm="1">
        <f t="array" aca="1" ref="A2224" ca="1">(ROW(A223:M2222))</f>
        <v>#VALUE!</v>
      </c>
    </row>
    <row r="2225" spans="1:1">
      <c r="A2225" t="e" cm="1" vm="1">
        <f t="array" aca="1" ref="A2225" ca="1">(ROW(A224:M2223))</f>
        <v>#VALUE!</v>
      </c>
    </row>
    <row r="2226" spans="1:1">
      <c r="A2226" t="e" cm="1" vm="1">
        <f t="array" aca="1" ref="A2226" ca="1">(ROW(A225:M2224))</f>
        <v>#VALUE!</v>
      </c>
    </row>
    <row r="2227" spans="1:1">
      <c r="A2227" t="e" cm="1" vm="1">
        <f t="array" aca="1" ref="A2227" ca="1">(ROW(A226:M2225))</f>
        <v>#VALUE!</v>
      </c>
    </row>
    <row r="2228" spans="1:1">
      <c r="A2228" t="e" cm="1" vm="1">
        <f t="array" aca="1" ref="A2228" ca="1">(ROW(A227:M2226))</f>
        <v>#VALUE!</v>
      </c>
    </row>
    <row r="2229" spans="1:1">
      <c r="A2229" t="e" cm="1" vm="1">
        <f t="array" aca="1" ref="A2229" ca="1">(ROW(A228:M2227))</f>
        <v>#VALUE!</v>
      </c>
    </row>
    <row r="2230" spans="1:1">
      <c r="A2230" t="e" cm="1" vm="1">
        <f t="array" aca="1" ref="A2230" ca="1">(ROW(A229:M2228))</f>
        <v>#VALUE!</v>
      </c>
    </row>
    <row r="2231" spans="1:1">
      <c r="A2231" t="e" cm="1" vm="1">
        <f t="array" aca="1" ref="A2231" ca="1">(ROW(A230:M2229))</f>
        <v>#VALUE!</v>
      </c>
    </row>
    <row r="2232" spans="1:1">
      <c r="A2232" t="e" cm="1" vm="1">
        <f t="array" aca="1" ref="A2232" ca="1">(ROW(A231:M2230))</f>
        <v>#VALUE!</v>
      </c>
    </row>
    <row r="2233" spans="1:1">
      <c r="A2233" t="e" cm="1" vm="1">
        <f t="array" aca="1" ref="A2233" ca="1">(ROW(A232:M2231))</f>
        <v>#VALUE!</v>
      </c>
    </row>
    <row r="2234" spans="1:1">
      <c r="A2234" t="e" cm="1" vm="1">
        <f t="array" aca="1" ref="A2234" ca="1">(ROW(A233:M2232))</f>
        <v>#VALUE!</v>
      </c>
    </row>
    <row r="2235" spans="1:1">
      <c r="A2235" t="e" cm="1" vm="1">
        <f t="array" aca="1" ref="A2235" ca="1">(ROW(A234:M2233))</f>
        <v>#VALUE!</v>
      </c>
    </row>
    <row r="2236" spans="1:1">
      <c r="A2236" t="e" cm="1" vm="1">
        <f t="array" aca="1" ref="A2236" ca="1">(ROW(A235:M2234))</f>
        <v>#VALUE!</v>
      </c>
    </row>
    <row r="2237" spans="1:1">
      <c r="A2237" t="e" cm="1" vm="1">
        <f t="array" aca="1" ref="A2237" ca="1">(ROW(A236:M2235))</f>
        <v>#VALUE!</v>
      </c>
    </row>
    <row r="2238" spans="1:1">
      <c r="A2238" t="e" cm="1" vm="1">
        <f t="array" aca="1" ref="A2238" ca="1">(ROW(A237:M2236))</f>
        <v>#VALUE!</v>
      </c>
    </row>
    <row r="2239" spans="1:1">
      <c r="A2239" t="e" cm="1" vm="1">
        <f t="array" aca="1" ref="A2239" ca="1">(ROW(A238:M2237))</f>
        <v>#VALUE!</v>
      </c>
    </row>
    <row r="2240" spans="1:1">
      <c r="A2240" t="e" cm="1" vm="1">
        <f t="array" aca="1" ref="A2240" ca="1">(ROW(A239:M2238))</f>
        <v>#VALUE!</v>
      </c>
    </row>
    <row r="2241" spans="1:1">
      <c r="A2241" t="e" cm="1" vm="1">
        <f t="array" aca="1" ref="A2241" ca="1">(ROW(A240:M2239))</f>
        <v>#VALUE!</v>
      </c>
    </row>
    <row r="2242" spans="1:1">
      <c r="A2242" t="e" cm="1" vm="1">
        <f t="array" aca="1" ref="A2242" ca="1">(ROW(A241:M2240))</f>
        <v>#VALUE!</v>
      </c>
    </row>
    <row r="2243" spans="1:1">
      <c r="A2243" t="e" cm="1" vm="1">
        <f t="array" aca="1" ref="A2243" ca="1">(ROW(A242:M2241))</f>
        <v>#VALUE!</v>
      </c>
    </row>
    <row r="2244" spans="1:1">
      <c r="A2244" t="e" cm="1" vm="1">
        <f t="array" aca="1" ref="A2244" ca="1">(ROW(A243:M2242))</f>
        <v>#VALUE!</v>
      </c>
    </row>
    <row r="2245" spans="1:1">
      <c r="A2245" t="e" cm="1" vm="1">
        <f t="array" aca="1" ref="A2245" ca="1">(ROW(A244:M2243))</f>
        <v>#VALUE!</v>
      </c>
    </row>
    <row r="2246" spans="1:1">
      <c r="A2246" t="e" cm="1" vm="1">
        <f t="array" aca="1" ref="A2246" ca="1">(ROW(A245:M2244))</f>
        <v>#VALUE!</v>
      </c>
    </row>
    <row r="2247" spans="1:1">
      <c r="A2247" t="e" cm="1" vm="1">
        <f t="array" aca="1" ref="A2247" ca="1">(ROW(A246:M2245))</f>
        <v>#VALUE!</v>
      </c>
    </row>
    <row r="2248" spans="1:1">
      <c r="A2248" t="e" cm="1" vm="1">
        <f t="array" aca="1" ref="A2248" ca="1">(ROW(A247:M2246))</f>
        <v>#VALUE!</v>
      </c>
    </row>
    <row r="2249" spans="1:1">
      <c r="A2249" t="e" cm="1" vm="1">
        <f t="array" aca="1" ref="A2249" ca="1">(ROW(A248:M2247))</f>
        <v>#VALUE!</v>
      </c>
    </row>
    <row r="2250" spans="1:1">
      <c r="A2250" t="e" cm="1" vm="1">
        <f t="array" aca="1" ref="A2250" ca="1">(ROW(A249:M2248))</f>
        <v>#VALUE!</v>
      </c>
    </row>
    <row r="2251" spans="1:1">
      <c r="A2251" t="e" cm="1" vm="1">
        <f t="array" aca="1" ref="A2251" ca="1">(ROW(A250:M2249))</f>
        <v>#VALUE!</v>
      </c>
    </row>
    <row r="2252" spans="1:1">
      <c r="A2252" t="e" cm="1" vm="1">
        <f t="array" aca="1" ref="A2252" ca="1">(ROW(A251:M2250))</f>
        <v>#VALUE!</v>
      </c>
    </row>
    <row r="2253" spans="1:1">
      <c r="A2253" t="e" cm="1" vm="1">
        <f t="array" aca="1" ref="A2253" ca="1">(ROW(A252:M2251))</f>
        <v>#VALUE!</v>
      </c>
    </row>
    <row r="2254" spans="1:1">
      <c r="A2254" t="e" cm="1" vm="1">
        <f t="array" aca="1" ref="A2254" ca="1">(ROW(A253:M2252))</f>
        <v>#VALUE!</v>
      </c>
    </row>
    <row r="2255" spans="1:1">
      <c r="A2255" t="e" cm="1" vm="1">
        <f t="array" aca="1" ref="A2255" ca="1">(ROW(A254:M2253))</f>
        <v>#VALUE!</v>
      </c>
    </row>
    <row r="2256" spans="1:1">
      <c r="A2256" t="e" cm="1" vm="1">
        <f t="array" aca="1" ref="A2256" ca="1">(ROW(A255:M2254))</f>
        <v>#VALUE!</v>
      </c>
    </row>
    <row r="2257" spans="1:1">
      <c r="A2257" t="e" cm="1" vm="1">
        <f t="array" aca="1" ref="A2257" ca="1">(ROW(A256:M2255))</f>
        <v>#VALUE!</v>
      </c>
    </row>
    <row r="2258" spans="1:1">
      <c r="A2258" t="e" cm="1" vm="1">
        <f t="array" aca="1" ref="A2258" ca="1">(ROW(A257:M2256))</f>
        <v>#VALUE!</v>
      </c>
    </row>
    <row r="2259" spans="1:1">
      <c r="A2259" t="e" cm="1" vm="1">
        <f t="array" aca="1" ref="A2259" ca="1">(ROW(A258:M2257))</f>
        <v>#VALUE!</v>
      </c>
    </row>
    <row r="2260" spans="1:1">
      <c r="A2260" t="e" cm="1" vm="1">
        <f t="array" aca="1" ref="A2260" ca="1">(ROW(A259:M2258))</f>
        <v>#VALUE!</v>
      </c>
    </row>
    <row r="2261" spans="1:1">
      <c r="A2261" t="e" cm="1" vm="1">
        <f t="array" aca="1" ref="A2261" ca="1">(ROW(A260:M2259))</f>
        <v>#VALUE!</v>
      </c>
    </row>
    <row r="2262" spans="1:1">
      <c r="A2262" t="e" cm="1" vm="1">
        <f t="array" aca="1" ref="A2262" ca="1">(ROW(A261:M2260))</f>
        <v>#VALUE!</v>
      </c>
    </row>
    <row r="2263" spans="1:1">
      <c r="A2263" t="e" cm="1" vm="1">
        <f t="array" aca="1" ref="A2263" ca="1">(ROW(A262:M2261))</f>
        <v>#VALUE!</v>
      </c>
    </row>
    <row r="2264" spans="1:1">
      <c r="A2264" t="e" cm="1" vm="1">
        <f t="array" aca="1" ref="A2264" ca="1">(ROW(A263:M2262))</f>
        <v>#VALUE!</v>
      </c>
    </row>
    <row r="2265" spans="1:1">
      <c r="A2265" t="e" cm="1" vm="1">
        <f t="array" aca="1" ref="A2265" ca="1">(ROW(A264:M2263))</f>
        <v>#VALUE!</v>
      </c>
    </row>
    <row r="2266" spans="1:1">
      <c r="A2266" t="e" cm="1" vm="1">
        <f t="array" aca="1" ref="A2266" ca="1">(ROW(A265:M2264))</f>
        <v>#VALUE!</v>
      </c>
    </row>
    <row r="2267" spans="1:1">
      <c r="A2267" t="e" cm="1" vm="1">
        <f t="array" aca="1" ref="A2267" ca="1">(ROW(A266:M2265))</f>
        <v>#VALUE!</v>
      </c>
    </row>
    <row r="2268" spans="1:1">
      <c r="A2268" t="e" cm="1" vm="1">
        <f t="array" aca="1" ref="A2268" ca="1">(ROW(A267:M2266))</f>
        <v>#VALUE!</v>
      </c>
    </row>
    <row r="2269" spans="1:1">
      <c r="A2269" t="e" cm="1" vm="1">
        <f t="array" aca="1" ref="A2269" ca="1">(ROW(A268:M2267))</f>
        <v>#VALUE!</v>
      </c>
    </row>
    <row r="2270" spans="1:1">
      <c r="A2270" t="e" cm="1" vm="1">
        <f t="array" aca="1" ref="A2270" ca="1">(ROW(A269:M2268))</f>
        <v>#VALUE!</v>
      </c>
    </row>
    <row r="2271" spans="1:1">
      <c r="A2271" t="e" cm="1" vm="1">
        <f t="array" aca="1" ref="A2271" ca="1">(ROW(A270:M2269))</f>
        <v>#VALUE!</v>
      </c>
    </row>
    <row r="2272" spans="1:1">
      <c r="A2272" t="e" cm="1" vm="1">
        <f t="array" aca="1" ref="A2272" ca="1">(ROW(A271:M2270))</f>
        <v>#VALUE!</v>
      </c>
    </row>
    <row r="2273" spans="1:1">
      <c r="A2273" t="e" cm="1" vm="1">
        <f t="array" aca="1" ref="A2273" ca="1">(ROW(A272:M2271))</f>
        <v>#VALUE!</v>
      </c>
    </row>
    <row r="2274" spans="1:1">
      <c r="A2274" t="e" cm="1" vm="1">
        <f t="array" aca="1" ref="A2274" ca="1">(ROW(A273:M2272))</f>
        <v>#VALUE!</v>
      </c>
    </row>
    <row r="2275" spans="1:1">
      <c r="A2275" t="e" cm="1" vm="1">
        <f t="array" aca="1" ref="A2275" ca="1">(ROW(A274:M2273))</f>
        <v>#VALUE!</v>
      </c>
    </row>
    <row r="2276" spans="1:1">
      <c r="A2276" t="e" cm="1" vm="1">
        <f t="array" aca="1" ref="A2276" ca="1">(ROW(A275:M2274))</f>
        <v>#VALUE!</v>
      </c>
    </row>
    <row r="2277" spans="1:1">
      <c r="A2277" t="e" cm="1" vm="1">
        <f t="array" aca="1" ref="A2277" ca="1">(ROW(A276:M2275))</f>
        <v>#VALUE!</v>
      </c>
    </row>
    <row r="2278" spans="1:1">
      <c r="A2278" t="e" cm="1" vm="1">
        <f t="array" aca="1" ref="A2278" ca="1">(ROW(A277:M2276))</f>
        <v>#VALUE!</v>
      </c>
    </row>
    <row r="2279" spans="1:1">
      <c r="A2279" t="e" cm="1" vm="1">
        <f t="array" aca="1" ref="A2279" ca="1">(ROW(A278:M2277))</f>
        <v>#VALUE!</v>
      </c>
    </row>
    <row r="2280" spans="1:1">
      <c r="A2280" t="e" cm="1" vm="1">
        <f t="array" aca="1" ref="A2280" ca="1">(ROW(A279:M2278))</f>
        <v>#VALUE!</v>
      </c>
    </row>
    <row r="2281" spans="1:1">
      <c r="A2281" t="e" cm="1" vm="1">
        <f t="array" aca="1" ref="A2281" ca="1">(ROW(A280:M2279))</f>
        <v>#VALUE!</v>
      </c>
    </row>
    <row r="2282" spans="1:1">
      <c r="A2282" t="e" cm="1" vm="1">
        <f t="array" aca="1" ref="A2282" ca="1">(ROW(A281:M2280))</f>
        <v>#VALUE!</v>
      </c>
    </row>
    <row r="2283" spans="1:1">
      <c r="A2283" t="e" cm="1" vm="1">
        <f t="array" aca="1" ref="A2283" ca="1">(ROW(A282:M2281))</f>
        <v>#VALUE!</v>
      </c>
    </row>
    <row r="2284" spans="1:1">
      <c r="A2284" t="e" cm="1" vm="1">
        <f t="array" aca="1" ref="A2284" ca="1">(ROW(A283:M2282))</f>
        <v>#VALUE!</v>
      </c>
    </row>
    <row r="2285" spans="1:1">
      <c r="A2285" t="e" cm="1" vm="1">
        <f t="array" aca="1" ref="A2285" ca="1">(ROW(A284:M2283))</f>
        <v>#VALUE!</v>
      </c>
    </row>
    <row r="2286" spans="1:1">
      <c r="A2286" t="e" cm="1" vm="1">
        <f t="array" aca="1" ref="A2286" ca="1">(ROW(A285:M2284))</f>
        <v>#VALUE!</v>
      </c>
    </row>
    <row r="2287" spans="1:1">
      <c r="A2287" t="e" cm="1" vm="1">
        <f t="array" aca="1" ref="A2287" ca="1">(ROW(A286:M2285))</f>
        <v>#VALUE!</v>
      </c>
    </row>
    <row r="2288" spans="1:1">
      <c r="A2288" t="e" cm="1" vm="1">
        <f t="array" aca="1" ref="A2288" ca="1">(ROW(A287:M2286))</f>
        <v>#VALUE!</v>
      </c>
    </row>
    <row r="2289" spans="1:1">
      <c r="A2289" t="e" cm="1" vm="1">
        <f t="array" aca="1" ref="A2289" ca="1">(ROW(A288:M2287))</f>
        <v>#VALUE!</v>
      </c>
    </row>
    <row r="2290" spans="1:1">
      <c r="A2290" t="e" cm="1" vm="1">
        <f t="array" aca="1" ref="A2290" ca="1">(ROW(A289:M2288))</f>
        <v>#VALUE!</v>
      </c>
    </row>
    <row r="2291" spans="1:1">
      <c r="A2291" t="e" cm="1" vm="1">
        <f t="array" aca="1" ref="A2291" ca="1">(ROW(A290:M2289))</f>
        <v>#VALUE!</v>
      </c>
    </row>
    <row r="2292" spans="1:1">
      <c r="A2292" t="e" cm="1" vm="1">
        <f t="array" aca="1" ref="A2292" ca="1">(ROW(A291:M2290))</f>
        <v>#VALUE!</v>
      </c>
    </row>
    <row r="2293" spans="1:1">
      <c r="A2293" t="e" cm="1" vm="1">
        <f t="array" aca="1" ref="A2293" ca="1">(ROW(A292:M2291))</f>
        <v>#VALUE!</v>
      </c>
    </row>
    <row r="2294" spans="1:1">
      <c r="A2294" t="e" cm="1" vm="1">
        <f t="array" aca="1" ref="A2294" ca="1">(ROW(A293:M2292))</f>
        <v>#VALUE!</v>
      </c>
    </row>
    <row r="2295" spans="1:1">
      <c r="A2295" t="e" cm="1" vm="1">
        <f t="array" aca="1" ref="A2295" ca="1">(ROW(A294:M2293))</f>
        <v>#VALUE!</v>
      </c>
    </row>
    <row r="2296" spans="1:1">
      <c r="A2296" t="e" cm="1" vm="1">
        <f t="array" aca="1" ref="A2296" ca="1">(ROW(A295:M2294))</f>
        <v>#VALUE!</v>
      </c>
    </row>
    <row r="2297" spans="1:1">
      <c r="A2297" t="e" cm="1" vm="1">
        <f t="array" aca="1" ref="A2297" ca="1">(ROW(A296:M2295))</f>
        <v>#VALUE!</v>
      </c>
    </row>
    <row r="2298" spans="1:1">
      <c r="A2298" t="e" cm="1" vm="1">
        <f t="array" aca="1" ref="A2298" ca="1">(ROW(A297:M2296))</f>
        <v>#VALUE!</v>
      </c>
    </row>
    <row r="2299" spans="1:1">
      <c r="A2299" t="e" cm="1" vm="1">
        <f t="array" aca="1" ref="A2299" ca="1">(ROW(A298:M2297))</f>
        <v>#VALUE!</v>
      </c>
    </row>
    <row r="2300" spans="1:1">
      <c r="A2300" t="e" cm="1" vm="1">
        <f t="array" aca="1" ref="A2300" ca="1">(ROW(A299:M2298))</f>
        <v>#VALUE!</v>
      </c>
    </row>
    <row r="2301" spans="1:1">
      <c r="A2301" t="e" cm="1" vm="1">
        <f t="array" aca="1" ref="A2301" ca="1">(ROW(A300:M2299))</f>
        <v>#VALUE!</v>
      </c>
    </row>
    <row r="2302" spans="1:1">
      <c r="A2302" t="e" cm="1" vm="1">
        <f t="array" aca="1" ref="A2302" ca="1">(ROW(A301:M2300))</f>
        <v>#VALUE!</v>
      </c>
    </row>
    <row r="2303" spans="1:1">
      <c r="A2303" t="e" cm="1" vm="1">
        <f t="array" aca="1" ref="A2303" ca="1">(ROW(A302:M2301))</f>
        <v>#VALUE!</v>
      </c>
    </row>
    <row r="2304" spans="1:1">
      <c r="A2304" t="e" cm="1" vm="1">
        <f t="array" aca="1" ref="A2304" ca="1">(ROW(A303:M2302))</f>
        <v>#VALUE!</v>
      </c>
    </row>
    <row r="2305" spans="1:1">
      <c r="A2305" t="e" cm="1" vm="1">
        <f t="array" aca="1" ref="A2305" ca="1">(ROW(A304:M2303))</f>
        <v>#VALUE!</v>
      </c>
    </row>
    <row r="2306" spans="1:1">
      <c r="A2306" t="e" cm="1" vm="1">
        <f t="array" aca="1" ref="A2306" ca="1">(ROW(A305:M2304))</f>
        <v>#VALUE!</v>
      </c>
    </row>
    <row r="2307" spans="1:1">
      <c r="A2307" t="e" cm="1" vm="1">
        <f t="array" aca="1" ref="A2307" ca="1">(ROW(A306:M2305))</f>
        <v>#VALUE!</v>
      </c>
    </row>
    <row r="2308" spans="1:1">
      <c r="A2308" t="e" cm="1" vm="1">
        <f t="array" aca="1" ref="A2308" ca="1">(ROW(A307:M2306))</f>
        <v>#VALUE!</v>
      </c>
    </row>
    <row r="2309" spans="1:1">
      <c r="A2309" t="e" cm="1" vm="1">
        <f t="array" aca="1" ref="A2309" ca="1">(ROW(A308:M2307))</f>
        <v>#VALUE!</v>
      </c>
    </row>
    <row r="2310" spans="1:1">
      <c r="A2310" t="e" cm="1" vm="1">
        <f t="array" aca="1" ref="A2310" ca="1">(ROW(A309:M2308))</f>
        <v>#VALUE!</v>
      </c>
    </row>
    <row r="2311" spans="1:1">
      <c r="A2311" t="e" cm="1" vm="1">
        <f t="array" aca="1" ref="A2311" ca="1">(ROW(A310:M2309))</f>
        <v>#VALUE!</v>
      </c>
    </row>
    <row r="2312" spans="1:1">
      <c r="A2312" t="e" cm="1" vm="1">
        <f t="array" aca="1" ref="A2312" ca="1">(ROW(A311:M2310))</f>
        <v>#VALUE!</v>
      </c>
    </row>
    <row r="2313" spans="1:1">
      <c r="A2313" t="e" cm="1" vm="1">
        <f t="array" aca="1" ref="A2313" ca="1">(ROW(A312:M2311))</f>
        <v>#VALUE!</v>
      </c>
    </row>
    <row r="2314" spans="1:1">
      <c r="A2314" t="e" cm="1" vm="1">
        <f t="array" aca="1" ref="A2314" ca="1">(ROW(A313:M2312))</f>
        <v>#VALUE!</v>
      </c>
    </row>
    <row r="2315" spans="1:1">
      <c r="A2315" t="e" cm="1" vm="1">
        <f t="array" aca="1" ref="A2315" ca="1">(ROW(A314:M2313))</f>
        <v>#VALUE!</v>
      </c>
    </row>
    <row r="2316" spans="1:1">
      <c r="A2316" t="e" cm="1" vm="1">
        <f t="array" aca="1" ref="A2316" ca="1">(ROW(A315:M2314))</f>
        <v>#VALUE!</v>
      </c>
    </row>
    <row r="2317" spans="1:1">
      <c r="A2317" t="e" cm="1" vm="1">
        <f t="array" aca="1" ref="A2317" ca="1">(ROW(A316:M2315))</f>
        <v>#VALUE!</v>
      </c>
    </row>
    <row r="2318" spans="1:1">
      <c r="A2318" t="e" cm="1" vm="1">
        <f t="array" aca="1" ref="A2318" ca="1">(ROW(A317:M2316))</f>
        <v>#VALUE!</v>
      </c>
    </row>
    <row r="2319" spans="1:1">
      <c r="A2319" t="e" cm="1" vm="1">
        <f t="array" aca="1" ref="A2319" ca="1">(ROW(A318:M2317))</f>
        <v>#VALUE!</v>
      </c>
    </row>
    <row r="2320" spans="1:1">
      <c r="A2320" t="e" cm="1" vm="1">
        <f t="array" aca="1" ref="A2320" ca="1">(ROW(A319:M2318))</f>
        <v>#VALUE!</v>
      </c>
    </row>
    <row r="2321" spans="1:1">
      <c r="A2321" t="e" cm="1" vm="1">
        <f t="array" aca="1" ref="A2321" ca="1">(ROW(A320:M2319))</f>
        <v>#VALUE!</v>
      </c>
    </row>
    <row r="2322" spans="1:1">
      <c r="A2322" t="e" cm="1" vm="1">
        <f t="array" aca="1" ref="A2322" ca="1">(ROW(A321:M2320))</f>
        <v>#VALUE!</v>
      </c>
    </row>
    <row r="2323" spans="1:1">
      <c r="A2323" t="e" cm="1" vm="1">
        <f t="array" aca="1" ref="A2323" ca="1">(ROW(A322:M2321))</f>
        <v>#VALUE!</v>
      </c>
    </row>
    <row r="2324" spans="1:1">
      <c r="A2324" t="e" cm="1" vm="1">
        <f t="array" aca="1" ref="A2324" ca="1">(ROW(A323:M2322))</f>
        <v>#VALUE!</v>
      </c>
    </row>
    <row r="2325" spans="1:1">
      <c r="A2325" t="e" cm="1" vm="1">
        <f t="array" aca="1" ref="A2325" ca="1">(ROW(A324:M2323))</f>
        <v>#VALUE!</v>
      </c>
    </row>
    <row r="2326" spans="1:1">
      <c r="A2326" t="e" cm="1" vm="1">
        <f t="array" aca="1" ref="A2326" ca="1">(ROW(A325:M2324))</f>
        <v>#VALUE!</v>
      </c>
    </row>
    <row r="2327" spans="1:1">
      <c r="A2327" t="e" cm="1" vm="1">
        <f t="array" aca="1" ref="A2327" ca="1">(ROW(A326:M2325))</f>
        <v>#VALUE!</v>
      </c>
    </row>
    <row r="2328" spans="1:1">
      <c r="A2328" t="e" cm="1" vm="1">
        <f t="array" aca="1" ref="A2328" ca="1">(ROW(A327:M2326))</f>
        <v>#VALUE!</v>
      </c>
    </row>
    <row r="2329" spans="1:1">
      <c r="A2329" t="e" cm="1" vm="1">
        <f t="array" aca="1" ref="A2329" ca="1">(ROW(A328:M2327))</f>
        <v>#VALUE!</v>
      </c>
    </row>
    <row r="2330" spans="1:1">
      <c r="A2330" t="e" cm="1" vm="1">
        <f t="array" aca="1" ref="A2330" ca="1">(ROW(A329:M2328))</f>
        <v>#VALUE!</v>
      </c>
    </row>
    <row r="2331" spans="1:1">
      <c r="A2331" t="e" cm="1" vm="1">
        <f t="array" aca="1" ref="A2331" ca="1">(ROW(A330:M2329))</f>
        <v>#VALUE!</v>
      </c>
    </row>
    <row r="2332" spans="1:1">
      <c r="A2332" t="e" cm="1" vm="1">
        <f t="array" aca="1" ref="A2332" ca="1">(ROW(A331:M2330))</f>
        <v>#VALUE!</v>
      </c>
    </row>
    <row r="2333" spans="1:1">
      <c r="A2333" t="e" cm="1" vm="1">
        <f t="array" aca="1" ref="A2333" ca="1">(ROW(A332:M2331))</f>
        <v>#VALUE!</v>
      </c>
    </row>
    <row r="2334" spans="1:1">
      <c r="A2334" t="e" cm="1" vm="1">
        <f t="array" aca="1" ref="A2334" ca="1">(ROW(A333:M2332))</f>
        <v>#VALUE!</v>
      </c>
    </row>
    <row r="2335" spans="1:1">
      <c r="A2335" t="e" cm="1" vm="1">
        <f t="array" aca="1" ref="A2335" ca="1">(ROW(A334:M2333))</f>
        <v>#VALUE!</v>
      </c>
    </row>
    <row r="2336" spans="1:1">
      <c r="A2336" t="e" cm="1" vm="1">
        <f t="array" aca="1" ref="A2336" ca="1">(ROW(A335:M2334))</f>
        <v>#VALUE!</v>
      </c>
    </row>
    <row r="2337" spans="1:1">
      <c r="A2337" t="e" cm="1" vm="1">
        <f t="array" aca="1" ref="A2337" ca="1">(ROW(A336:M2335))</f>
        <v>#VALUE!</v>
      </c>
    </row>
    <row r="2338" spans="1:1">
      <c r="A2338" t="e" cm="1" vm="1">
        <f t="array" aca="1" ref="A2338" ca="1">(ROW(A337:M2336))</f>
        <v>#VALUE!</v>
      </c>
    </row>
    <row r="2339" spans="1:1">
      <c r="A2339" t="e" cm="1" vm="1">
        <f t="array" aca="1" ref="A2339" ca="1">(ROW(A338:M2337))</f>
        <v>#VALUE!</v>
      </c>
    </row>
    <row r="2340" spans="1:1">
      <c r="A2340" t="e" cm="1" vm="1">
        <f t="array" aca="1" ref="A2340" ca="1">(ROW(A339:M2338))</f>
        <v>#VALUE!</v>
      </c>
    </row>
    <row r="2341" spans="1:1">
      <c r="A2341" t="e" cm="1" vm="1">
        <f t="array" aca="1" ref="A2341" ca="1">(ROW(A340:M2339))</f>
        <v>#VALUE!</v>
      </c>
    </row>
    <row r="2342" spans="1:1">
      <c r="A2342" t="e" cm="1" vm="1">
        <f t="array" aca="1" ref="A2342" ca="1">(ROW(A341:M2340))</f>
        <v>#VALUE!</v>
      </c>
    </row>
    <row r="2343" spans="1:1">
      <c r="A2343" t="e" cm="1" vm="1">
        <f t="array" aca="1" ref="A2343" ca="1">(ROW(A342:M2341))</f>
        <v>#VALUE!</v>
      </c>
    </row>
    <row r="2344" spans="1:1">
      <c r="A2344" t="e" cm="1" vm="1">
        <f t="array" aca="1" ref="A2344" ca="1">(ROW(A343:M2342))</f>
        <v>#VALUE!</v>
      </c>
    </row>
    <row r="2345" spans="1:1">
      <c r="A2345" t="e" cm="1" vm="1">
        <f t="array" aca="1" ref="A2345" ca="1">(ROW(A344:M2343))</f>
        <v>#VALUE!</v>
      </c>
    </row>
    <row r="2346" spans="1:1">
      <c r="A2346" t="e" cm="1" vm="1">
        <f t="array" aca="1" ref="A2346" ca="1">(ROW(A345:M2344))</f>
        <v>#VALUE!</v>
      </c>
    </row>
    <row r="2347" spans="1:1">
      <c r="A2347" t="e" cm="1" vm="1">
        <f t="array" aca="1" ref="A2347" ca="1">(ROW(A346:M2345))</f>
        <v>#VALUE!</v>
      </c>
    </row>
    <row r="2348" spans="1:1">
      <c r="A2348" t="e" cm="1" vm="1">
        <f t="array" aca="1" ref="A2348" ca="1">(ROW(A347:M2346))</f>
        <v>#VALUE!</v>
      </c>
    </row>
    <row r="2349" spans="1:1">
      <c r="A2349" t="e" cm="1" vm="1">
        <f t="array" aca="1" ref="A2349" ca="1">(ROW(A348:M2347))</f>
        <v>#VALUE!</v>
      </c>
    </row>
    <row r="2350" spans="1:1">
      <c r="A2350" t="e" cm="1" vm="1">
        <f t="array" aca="1" ref="A2350" ca="1">(ROW(A349:M2348))</f>
        <v>#VALUE!</v>
      </c>
    </row>
    <row r="2351" spans="1:1">
      <c r="A2351" t="e" cm="1" vm="1">
        <f t="array" aca="1" ref="A2351" ca="1">(ROW(A350:M2349))</f>
        <v>#VALUE!</v>
      </c>
    </row>
    <row r="2352" spans="1:1">
      <c r="A2352" t="e" cm="1" vm="1">
        <f t="array" aca="1" ref="A2352" ca="1">(ROW(A351:M2350))</f>
        <v>#VALUE!</v>
      </c>
    </row>
    <row r="2353" spans="1:1">
      <c r="A2353" t="e" cm="1" vm="1">
        <f t="array" aca="1" ref="A2353" ca="1">(ROW(A352:M2351))</f>
        <v>#VALUE!</v>
      </c>
    </row>
    <row r="2354" spans="1:1">
      <c r="A2354" t="e" cm="1" vm="1">
        <f t="array" aca="1" ref="A2354" ca="1">(ROW(A353:M2352))</f>
        <v>#VALUE!</v>
      </c>
    </row>
    <row r="2355" spans="1:1">
      <c r="A2355" t="e" cm="1" vm="1">
        <f t="array" aca="1" ref="A2355" ca="1">(ROW(A354:M2353))</f>
        <v>#VALUE!</v>
      </c>
    </row>
    <row r="2356" spans="1:1">
      <c r="A2356" t="e" cm="1" vm="1">
        <f t="array" aca="1" ref="A2356" ca="1">(ROW(A355:M2354))</f>
        <v>#VALUE!</v>
      </c>
    </row>
    <row r="2357" spans="1:1">
      <c r="A2357" t="e" cm="1" vm="1">
        <f t="array" aca="1" ref="A2357" ca="1">(ROW(A356:M2355))</f>
        <v>#VALUE!</v>
      </c>
    </row>
    <row r="2358" spans="1:1">
      <c r="A2358" t="e" cm="1" vm="1">
        <f t="array" aca="1" ref="A2358" ca="1">(ROW(A357:M2356))</f>
        <v>#VALUE!</v>
      </c>
    </row>
    <row r="2359" spans="1:1">
      <c r="A2359" t="e" cm="1" vm="1">
        <f t="array" aca="1" ref="A2359" ca="1">(ROW(A358:M2357))</f>
        <v>#VALUE!</v>
      </c>
    </row>
    <row r="2360" spans="1:1">
      <c r="A2360" t="e" cm="1" vm="1">
        <f t="array" aca="1" ref="A2360" ca="1">(ROW(A359:M2358))</f>
        <v>#VALUE!</v>
      </c>
    </row>
    <row r="2361" spans="1:1">
      <c r="A2361" t="e" cm="1" vm="1">
        <f t="array" aca="1" ref="A2361" ca="1">(ROW(A360:M2359))</f>
        <v>#VALUE!</v>
      </c>
    </row>
    <row r="2362" spans="1:1">
      <c r="A2362" t="e" cm="1" vm="1">
        <f t="array" aca="1" ref="A2362" ca="1">(ROW(A361:M2360))</f>
        <v>#VALUE!</v>
      </c>
    </row>
    <row r="2363" spans="1:1">
      <c r="A2363" t="e" cm="1" vm="1">
        <f t="array" aca="1" ref="A2363" ca="1">(ROW(A362:M2361))</f>
        <v>#VALUE!</v>
      </c>
    </row>
    <row r="2364" spans="1:1">
      <c r="A2364" t="e" cm="1" vm="1">
        <f t="array" aca="1" ref="A2364" ca="1">(ROW(A363:M2362))</f>
        <v>#VALUE!</v>
      </c>
    </row>
    <row r="2365" spans="1:1">
      <c r="A2365" t="e" cm="1" vm="1">
        <f t="array" aca="1" ref="A2365" ca="1">(ROW(A364:M2363))</f>
        <v>#VALUE!</v>
      </c>
    </row>
    <row r="2366" spans="1:1">
      <c r="A2366" t="e" cm="1" vm="1">
        <f t="array" aca="1" ref="A2366" ca="1">(ROW(A365:M2364))</f>
        <v>#VALUE!</v>
      </c>
    </row>
    <row r="2367" spans="1:1">
      <c r="A2367" t="e" cm="1" vm="1">
        <f t="array" aca="1" ref="A2367" ca="1">(ROW(A366:M2365))</f>
        <v>#VALUE!</v>
      </c>
    </row>
    <row r="2368" spans="1:1">
      <c r="A2368" t="e" cm="1" vm="1">
        <f t="array" aca="1" ref="A2368" ca="1">(ROW(A367:M2366))</f>
        <v>#VALUE!</v>
      </c>
    </row>
    <row r="2369" spans="1:1">
      <c r="A2369" t="e" cm="1" vm="1">
        <f t="array" aca="1" ref="A2369" ca="1">(ROW(A368:M2367))</f>
        <v>#VALUE!</v>
      </c>
    </row>
    <row r="2370" spans="1:1">
      <c r="A2370" t="e" cm="1" vm="1">
        <f t="array" aca="1" ref="A2370" ca="1">(ROW(A369:M2368))</f>
        <v>#VALUE!</v>
      </c>
    </row>
    <row r="2371" spans="1:1">
      <c r="A2371" t="e" cm="1" vm="1">
        <f t="array" aca="1" ref="A2371" ca="1">(ROW(A370:M2369))</f>
        <v>#VALUE!</v>
      </c>
    </row>
    <row r="2372" spans="1:1">
      <c r="A2372" t="e" cm="1" vm="1">
        <f t="array" aca="1" ref="A2372" ca="1">(ROW(A371:M2370))</f>
        <v>#VALUE!</v>
      </c>
    </row>
    <row r="2373" spans="1:1">
      <c r="A2373" t="e" cm="1" vm="1">
        <f t="array" aca="1" ref="A2373" ca="1">(ROW(A372:M2371))</f>
        <v>#VALUE!</v>
      </c>
    </row>
    <row r="2374" spans="1:1">
      <c r="A2374" t="e" cm="1" vm="1">
        <f t="array" aca="1" ref="A2374" ca="1">(ROW(A373:M2372))</f>
        <v>#VALUE!</v>
      </c>
    </row>
    <row r="2375" spans="1:1">
      <c r="A2375" t="e" cm="1" vm="1">
        <f t="array" aca="1" ref="A2375" ca="1">(ROW(A374:M2373))</f>
        <v>#VALUE!</v>
      </c>
    </row>
    <row r="2376" spans="1:1">
      <c r="A2376" t="e" cm="1" vm="1">
        <f t="array" aca="1" ref="A2376" ca="1">(ROW(A375:M2374))</f>
        <v>#VALUE!</v>
      </c>
    </row>
    <row r="2377" spans="1:1">
      <c r="A2377" t="e" cm="1" vm="1">
        <f t="array" aca="1" ref="A2377" ca="1">(ROW(A376:M2375))</f>
        <v>#VALUE!</v>
      </c>
    </row>
    <row r="2378" spans="1:1">
      <c r="A2378" t="e" cm="1" vm="1">
        <f t="array" aca="1" ref="A2378" ca="1">(ROW(A377:M2376))</f>
        <v>#VALUE!</v>
      </c>
    </row>
    <row r="2379" spans="1:1">
      <c r="A2379" t="e" cm="1" vm="1">
        <f t="array" aca="1" ref="A2379" ca="1">(ROW(A378:M2377))</f>
        <v>#VALUE!</v>
      </c>
    </row>
    <row r="2380" spans="1:1">
      <c r="A2380" t="e" cm="1" vm="1">
        <f t="array" aca="1" ref="A2380" ca="1">(ROW(A379:M2378))</f>
        <v>#VALUE!</v>
      </c>
    </row>
    <row r="2381" spans="1:1">
      <c r="A2381" t="e" cm="1" vm="1">
        <f t="array" aca="1" ref="A2381" ca="1">(ROW(A380:M2379))</f>
        <v>#VALUE!</v>
      </c>
    </row>
    <row r="2382" spans="1:1">
      <c r="A2382" t="e" cm="1" vm="1">
        <f t="array" aca="1" ref="A2382" ca="1">(ROW(A381:M2380))</f>
        <v>#VALUE!</v>
      </c>
    </row>
    <row r="2383" spans="1:1">
      <c r="A2383" t="e" cm="1" vm="1">
        <f t="array" aca="1" ref="A2383" ca="1">(ROW(A382:M2381))</f>
        <v>#VALUE!</v>
      </c>
    </row>
    <row r="2384" spans="1:1">
      <c r="A2384" t="e" cm="1" vm="1">
        <f t="array" aca="1" ref="A2384" ca="1">(ROW(A383:M2382))</f>
        <v>#VALUE!</v>
      </c>
    </row>
    <row r="2385" spans="1:1">
      <c r="A2385" t="e" cm="1" vm="1">
        <f t="array" aca="1" ref="A2385" ca="1">(ROW(A384:M2383))</f>
        <v>#VALUE!</v>
      </c>
    </row>
    <row r="2386" spans="1:1">
      <c r="A2386" t="e" cm="1" vm="1">
        <f t="array" aca="1" ref="A2386" ca="1">(ROW(A385:M2384))</f>
        <v>#VALUE!</v>
      </c>
    </row>
    <row r="2387" spans="1:1">
      <c r="A2387" t="e" cm="1" vm="1">
        <f t="array" aca="1" ref="A2387" ca="1">(ROW(A386:M2385))</f>
        <v>#VALUE!</v>
      </c>
    </row>
    <row r="2388" spans="1:1">
      <c r="A2388" t="e" cm="1" vm="1">
        <f t="array" aca="1" ref="A2388" ca="1">(ROW(A387:M2386))</f>
        <v>#VALUE!</v>
      </c>
    </row>
    <row r="2389" spans="1:1">
      <c r="A2389" t="e" cm="1" vm="1">
        <f t="array" aca="1" ref="A2389" ca="1">(ROW(A388:M2387))</f>
        <v>#VALUE!</v>
      </c>
    </row>
    <row r="2390" spans="1:1">
      <c r="A2390" t="e" cm="1" vm="1">
        <f t="array" aca="1" ref="A2390" ca="1">(ROW(A389:M2388))</f>
        <v>#VALUE!</v>
      </c>
    </row>
    <row r="2391" spans="1:1">
      <c r="A2391" t="e" cm="1" vm="1">
        <f t="array" aca="1" ref="A2391" ca="1">(ROW(A390:M2389))</f>
        <v>#VALUE!</v>
      </c>
    </row>
    <row r="2392" spans="1:1">
      <c r="A2392" t="e" cm="1" vm="1">
        <f t="array" aca="1" ref="A2392" ca="1">(ROW(A391:M2390))</f>
        <v>#VALUE!</v>
      </c>
    </row>
    <row r="2393" spans="1:1">
      <c r="A2393" t="e" cm="1" vm="1">
        <f t="array" aca="1" ref="A2393" ca="1">(ROW(A392:M2391))</f>
        <v>#VALUE!</v>
      </c>
    </row>
    <row r="2394" spans="1:1">
      <c r="A2394" t="e" cm="1" vm="1">
        <f t="array" aca="1" ref="A2394" ca="1">(ROW(A393:M2392))</f>
        <v>#VALUE!</v>
      </c>
    </row>
    <row r="2395" spans="1:1">
      <c r="A2395" t="e" cm="1" vm="1">
        <f t="array" aca="1" ref="A2395" ca="1">(ROW(A394:M2393))</f>
        <v>#VALUE!</v>
      </c>
    </row>
    <row r="2396" spans="1:1">
      <c r="A2396" t="e" cm="1" vm="1">
        <f t="array" aca="1" ref="A2396" ca="1">(ROW(A395:M2394))</f>
        <v>#VALUE!</v>
      </c>
    </row>
    <row r="2397" spans="1:1">
      <c r="A2397" t="e" cm="1" vm="1">
        <f t="array" aca="1" ref="A2397" ca="1">(ROW(A396:M2395))</f>
        <v>#VALUE!</v>
      </c>
    </row>
    <row r="2398" spans="1:1">
      <c r="A2398" t="e" cm="1" vm="1">
        <f t="array" aca="1" ref="A2398" ca="1">(ROW(A397:M2396))</f>
        <v>#VALUE!</v>
      </c>
    </row>
    <row r="2399" spans="1:1">
      <c r="A2399" t="e" cm="1" vm="1">
        <f t="array" aca="1" ref="A2399" ca="1">(ROW(A398:M2397))</f>
        <v>#VALUE!</v>
      </c>
    </row>
    <row r="2400" spans="1:1">
      <c r="A2400" t="e" cm="1" vm="1">
        <f t="array" aca="1" ref="A2400" ca="1">(ROW(A399:M2398))</f>
        <v>#VALUE!</v>
      </c>
    </row>
    <row r="2401" spans="1:1">
      <c r="A2401" t="e" cm="1" vm="1">
        <f t="array" aca="1" ref="A2401" ca="1">(ROW(A400:M2399))</f>
        <v>#VALUE!</v>
      </c>
    </row>
    <row r="2402" spans="1:1">
      <c r="A2402" t="e" cm="1" vm="1">
        <f t="array" aca="1" ref="A2402" ca="1">(ROW(A401:M2400))</f>
        <v>#VALUE!</v>
      </c>
    </row>
    <row r="2403" spans="1:1">
      <c r="A2403" t="e" cm="1" vm="1">
        <f t="array" aca="1" ref="A2403" ca="1">(ROW(A402:M2401))</f>
        <v>#VALUE!</v>
      </c>
    </row>
    <row r="2404" spans="1:1">
      <c r="A2404" t="e" cm="1" vm="1">
        <f t="array" aca="1" ref="A2404" ca="1">(ROW(A403:M2402))</f>
        <v>#VALUE!</v>
      </c>
    </row>
    <row r="2405" spans="1:1">
      <c r="A2405" t="e" cm="1" vm="1">
        <f t="array" aca="1" ref="A2405" ca="1">(ROW(A404:M2403))</f>
        <v>#VALUE!</v>
      </c>
    </row>
    <row r="2406" spans="1:1">
      <c r="A2406" t="e" cm="1" vm="1">
        <f t="array" aca="1" ref="A2406" ca="1">(ROW(A405:M2404))</f>
        <v>#VALUE!</v>
      </c>
    </row>
    <row r="2407" spans="1:1">
      <c r="A2407" t="e" cm="1" vm="1">
        <f t="array" aca="1" ref="A2407" ca="1">(ROW(A406:M2405))</f>
        <v>#VALUE!</v>
      </c>
    </row>
    <row r="2408" spans="1:1">
      <c r="A2408" t="e" cm="1" vm="1">
        <f t="array" aca="1" ref="A2408" ca="1">(ROW(A407:M2406))</f>
        <v>#VALUE!</v>
      </c>
    </row>
    <row r="2409" spans="1:1">
      <c r="A2409" t="e" cm="1" vm="1">
        <f t="array" aca="1" ref="A2409" ca="1">(ROW(A408:M2407))</f>
        <v>#VALUE!</v>
      </c>
    </row>
    <row r="2410" spans="1:1">
      <c r="A2410" t="e" cm="1" vm="1">
        <f t="array" aca="1" ref="A2410" ca="1">(ROW(A409:M2408))</f>
        <v>#VALUE!</v>
      </c>
    </row>
    <row r="2411" spans="1:1">
      <c r="A2411" t="e" cm="1" vm="1">
        <f t="array" aca="1" ref="A2411" ca="1">(ROW(A410:M2409))</f>
        <v>#VALUE!</v>
      </c>
    </row>
    <row r="2412" spans="1:1">
      <c r="A2412" t="e" cm="1" vm="1">
        <f t="array" aca="1" ref="A2412" ca="1">(ROW(A411:M2410))</f>
        <v>#VALUE!</v>
      </c>
    </row>
    <row r="2413" spans="1:1">
      <c r="A2413" t="e" cm="1" vm="1">
        <f t="array" aca="1" ref="A2413" ca="1">(ROW(A412:M2411))</f>
        <v>#VALUE!</v>
      </c>
    </row>
    <row r="2414" spans="1:1">
      <c r="A2414" t="e" cm="1" vm="1">
        <f t="array" aca="1" ref="A2414" ca="1">(ROW(A413:M2412))</f>
        <v>#VALUE!</v>
      </c>
    </row>
    <row r="2415" spans="1:1">
      <c r="A2415" t="e" cm="1" vm="1">
        <f t="array" aca="1" ref="A2415" ca="1">(ROW(A414:M2413))</f>
        <v>#VALUE!</v>
      </c>
    </row>
    <row r="2416" spans="1:1">
      <c r="A2416" t="e" cm="1" vm="1">
        <f t="array" aca="1" ref="A2416" ca="1">(ROW(A415:M2414))</f>
        <v>#VALUE!</v>
      </c>
    </row>
    <row r="2417" spans="1:1">
      <c r="A2417" t="e" cm="1" vm="1">
        <f t="array" aca="1" ref="A2417" ca="1">(ROW(A416:M2415))</f>
        <v>#VALUE!</v>
      </c>
    </row>
    <row r="2418" spans="1:1">
      <c r="A2418" t="e" cm="1" vm="1">
        <f t="array" aca="1" ref="A2418" ca="1">(ROW(A417:M2416))</f>
        <v>#VALUE!</v>
      </c>
    </row>
    <row r="2419" spans="1:1">
      <c r="A2419" t="e" cm="1" vm="1">
        <f t="array" aca="1" ref="A2419" ca="1">(ROW(A418:M2417))</f>
        <v>#VALUE!</v>
      </c>
    </row>
    <row r="2420" spans="1:1">
      <c r="A2420" t="e" cm="1" vm="1">
        <f t="array" aca="1" ref="A2420" ca="1">(ROW(A419:M2418))</f>
        <v>#VALUE!</v>
      </c>
    </row>
    <row r="2421" spans="1:1">
      <c r="A2421" t="e" cm="1" vm="1">
        <f t="array" aca="1" ref="A2421" ca="1">(ROW(A420:M2419))</f>
        <v>#VALUE!</v>
      </c>
    </row>
    <row r="2422" spans="1:1">
      <c r="A2422" t="e" cm="1" vm="1">
        <f t="array" aca="1" ref="A2422" ca="1">(ROW(A421:M2420))</f>
        <v>#VALUE!</v>
      </c>
    </row>
    <row r="2423" spans="1:1">
      <c r="A2423" t="e" cm="1" vm="1">
        <f t="array" aca="1" ref="A2423" ca="1">(ROW(A422:M2421))</f>
        <v>#VALUE!</v>
      </c>
    </row>
    <row r="2424" spans="1:1">
      <c r="A2424" t="e" cm="1" vm="1">
        <f t="array" aca="1" ref="A2424" ca="1">(ROW(A423:M2422))</f>
        <v>#VALUE!</v>
      </c>
    </row>
    <row r="2425" spans="1:1">
      <c r="A2425" t="e" cm="1" vm="1">
        <f t="array" aca="1" ref="A2425" ca="1">(ROW(A424:M2423))</f>
        <v>#VALUE!</v>
      </c>
    </row>
    <row r="2426" spans="1:1">
      <c r="A2426" t="e" cm="1" vm="1">
        <f t="array" aca="1" ref="A2426" ca="1">(ROW(A425:M2424))</f>
        <v>#VALUE!</v>
      </c>
    </row>
    <row r="2427" spans="1:1">
      <c r="A2427" t="e" cm="1" vm="1">
        <f t="array" aca="1" ref="A2427" ca="1">(ROW(A426:M2425))</f>
        <v>#VALUE!</v>
      </c>
    </row>
    <row r="2428" spans="1:1">
      <c r="A2428" t="e" cm="1" vm="1">
        <f t="array" aca="1" ref="A2428" ca="1">(ROW(A427:M2426))</f>
        <v>#VALUE!</v>
      </c>
    </row>
    <row r="2429" spans="1:1">
      <c r="A2429" t="e" cm="1" vm="1">
        <f t="array" aca="1" ref="A2429" ca="1">(ROW(A428:M2427))</f>
        <v>#VALUE!</v>
      </c>
    </row>
    <row r="2430" spans="1:1">
      <c r="A2430" t="e" cm="1" vm="1">
        <f t="array" aca="1" ref="A2430" ca="1">(ROW(A429:M2428))</f>
        <v>#VALUE!</v>
      </c>
    </row>
    <row r="2431" spans="1:1">
      <c r="A2431" t="e" cm="1" vm="1">
        <f t="array" aca="1" ref="A2431" ca="1">(ROW(A430:M2429))</f>
        <v>#VALUE!</v>
      </c>
    </row>
    <row r="2432" spans="1:1">
      <c r="A2432" t="e" cm="1" vm="1">
        <f t="array" aca="1" ref="A2432" ca="1">(ROW(A431:M2430))</f>
        <v>#VALUE!</v>
      </c>
    </row>
    <row r="2433" spans="1:1">
      <c r="A2433" t="e" cm="1" vm="1">
        <f t="array" aca="1" ref="A2433" ca="1">(ROW(A432:M2431))</f>
        <v>#VALUE!</v>
      </c>
    </row>
    <row r="2434" spans="1:1">
      <c r="A2434" t="e" cm="1" vm="1">
        <f t="array" aca="1" ref="A2434" ca="1">(ROW(A433:M2432))</f>
        <v>#VALUE!</v>
      </c>
    </row>
    <row r="2435" spans="1:1">
      <c r="A2435" t="e" cm="1" vm="1">
        <f t="array" aca="1" ref="A2435" ca="1">(ROW(A434:M2433))</f>
        <v>#VALUE!</v>
      </c>
    </row>
    <row r="2436" spans="1:1">
      <c r="A2436" t="e" cm="1" vm="1">
        <f t="array" aca="1" ref="A2436" ca="1">(ROW(A435:M2434))</f>
        <v>#VALUE!</v>
      </c>
    </row>
    <row r="2437" spans="1:1">
      <c r="A2437" t="e" cm="1" vm="1">
        <f t="array" aca="1" ref="A2437" ca="1">(ROW(A436:M2435))</f>
        <v>#VALUE!</v>
      </c>
    </row>
    <row r="2438" spans="1:1">
      <c r="A2438" t="e" cm="1" vm="1">
        <f t="array" aca="1" ref="A2438" ca="1">(ROW(A437:M2436))</f>
        <v>#VALUE!</v>
      </c>
    </row>
    <row r="2439" spans="1:1">
      <c r="A2439" t="e" cm="1" vm="1">
        <f t="array" aca="1" ref="A2439" ca="1">(ROW(A438:M2437))</f>
        <v>#VALUE!</v>
      </c>
    </row>
    <row r="2440" spans="1:1">
      <c r="A2440" t="e" cm="1" vm="1">
        <f t="array" aca="1" ref="A2440" ca="1">(ROW(A439:M2438))</f>
        <v>#VALUE!</v>
      </c>
    </row>
    <row r="2441" spans="1:1">
      <c r="A2441" t="e" cm="1" vm="1">
        <f t="array" aca="1" ref="A2441" ca="1">(ROW(A440:M2439))</f>
        <v>#VALUE!</v>
      </c>
    </row>
    <row r="2442" spans="1:1">
      <c r="A2442" t="e" cm="1" vm="1">
        <f t="array" aca="1" ref="A2442" ca="1">(ROW(A441:M2440))</f>
        <v>#VALUE!</v>
      </c>
    </row>
    <row r="2443" spans="1:1">
      <c r="A2443" t="e" cm="1" vm="1">
        <f t="array" aca="1" ref="A2443" ca="1">(ROW(A442:M2441))</f>
        <v>#VALUE!</v>
      </c>
    </row>
    <row r="2444" spans="1:1">
      <c r="A2444" t="e" cm="1" vm="1">
        <f t="array" aca="1" ref="A2444" ca="1">(ROW(A443:M2442))</f>
        <v>#VALUE!</v>
      </c>
    </row>
    <row r="2445" spans="1:1">
      <c r="A2445" t="e" cm="1" vm="1">
        <f t="array" aca="1" ref="A2445" ca="1">(ROW(A444:M2443))</f>
        <v>#VALUE!</v>
      </c>
    </row>
    <row r="2446" spans="1:1">
      <c r="A2446" t="e" cm="1" vm="1">
        <f t="array" aca="1" ref="A2446" ca="1">(ROW(A445:M2444))</f>
        <v>#VALUE!</v>
      </c>
    </row>
    <row r="2447" spans="1:1">
      <c r="A2447" t="e" cm="1" vm="1">
        <f t="array" aca="1" ref="A2447" ca="1">(ROW(A446:M2445))</f>
        <v>#VALUE!</v>
      </c>
    </row>
    <row r="2448" spans="1:1">
      <c r="A2448" t="e" cm="1" vm="1">
        <f t="array" aca="1" ref="A2448" ca="1">(ROW(A447:M2446))</f>
        <v>#VALUE!</v>
      </c>
    </row>
    <row r="2449" spans="1:1">
      <c r="A2449" t="e" cm="1" vm="1">
        <f t="array" aca="1" ref="A2449" ca="1">(ROW(A448:M2447))</f>
        <v>#VALUE!</v>
      </c>
    </row>
    <row r="2450" spans="1:1">
      <c r="A2450" t="e" cm="1" vm="1">
        <f t="array" aca="1" ref="A2450" ca="1">(ROW(A449:M2448))</f>
        <v>#VALUE!</v>
      </c>
    </row>
    <row r="2451" spans="1:1">
      <c r="A2451" t="e" cm="1" vm="1">
        <f t="array" aca="1" ref="A2451" ca="1">(ROW(A450:M2449))</f>
        <v>#VALUE!</v>
      </c>
    </row>
    <row r="2452" spans="1:1">
      <c r="A2452" t="e" cm="1" vm="1">
        <f t="array" aca="1" ref="A2452" ca="1">(ROW(A451:M2450))</f>
        <v>#VALUE!</v>
      </c>
    </row>
    <row r="2453" spans="1:1">
      <c r="A2453" t="e" cm="1" vm="1">
        <f t="array" aca="1" ref="A2453" ca="1">(ROW(A452:M2451))</f>
        <v>#VALUE!</v>
      </c>
    </row>
    <row r="2454" spans="1:1">
      <c r="A2454" t="e" cm="1" vm="1">
        <f t="array" aca="1" ref="A2454" ca="1">(ROW(A453:M2452))</f>
        <v>#VALUE!</v>
      </c>
    </row>
    <row r="2455" spans="1:1">
      <c r="A2455" t="e" cm="1" vm="1">
        <f t="array" aca="1" ref="A2455" ca="1">(ROW(A454:M2453))</f>
        <v>#VALUE!</v>
      </c>
    </row>
    <row r="2456" spans="1:1">
      <c r="A2456" t="e" cm="1" vm="1">
        <f t="array" aca="1" ref="A2456" ca="1">(ROW(A455:M2454))</f>
        <v>#VALUE!</v>
      </c>
    </row>
    <row r="2457" spans="1:1">
      <c r="A2457" t="e" cm="1" vm="1">
        <f t="array" aca="1" ref="A2457" ca="1">(ROW(A456:M2455))</f>
        <v>#VALUE!</v>
      </c>
    </row>
    <row r="2458" spans="1:1">
      <c r="A2458" t="e" cm="1" vm="1">
        <f t="array" aca="1" ref="A2458" ca="1">(ROW(A457:M2456))</f>
        <v>#VALUE!</v>
      </c>
    </row>
    <row r="2459" spans="1:1">
      <c r="A2459" t="e" cm="1" vm="1">
        <f t="array" aca="1" ref="A2459" ca="1">(ROW(A458:M2457))</f>
        <v>#VALUE!</v>
      </c>
    </row>
    <row r="2460" spans="1:1">
      <c r="A2460" t="e" cm="1" vm="1">
        <f t="array" aca="1" ref="A2460" ca="1">(ROW(A459:M2458))</f>
        <v>#VALUE!</v>
      </c>
    </row>
    <row r="2461" spans="1:1">
      <c r="A2461" t="e" cm="1" vm="1">
        <f t="array" aca="1" ref="A2461" ca="1">(ROW(A460:M2459))</f>
        <v>#VALUE!</v>
      </c>
    </row>
    <row r="2462" spans="1:1">
      <c r="A2462" t="e" cm="1" vm="1">
        <f t="array" aca="1" ref="A2462" ca="1">(ROW(A461:M2460))</f>
        <v>#VALUE!</v>
      </c>
    </row>
    <row r="2463" spans="1:1">
      <c r="A2463" t="e" cm="1" vm="1">
        <f t="array" aca="1" ref="A2463" ca="1">(ROW(A462:M2461))</f>
        <v>#VALUE!</v>
      </c>
    </row>
    <row r="2464" spans="1:1">
      <c r="A2464" t="e" cm="1" vm="1">
        <f t="array" aca="1" ref="A2464" ca="1">(ROW(A463:M2462))</f>
        <v>#VALUE!</v>
      </c>
    </row>
    <row r="2465" spans="1:1">
      <c r="A2465" t="e" cm="1" vm="1">
        <f t="array" aca="1" ref="A2465" ca="1">(ROW(A464:M2463))</f>
        <v>#VALUE!</v>
      </c>
    </row>
    <row r="2466" spans="1:1">
      <c r="A2466" t="e" cm="1" vm="1">
        <f t="array" aca="1" ref="A2466" ca="1">(ROW(A465:M2464))</f>
        <v>#VALUE!</v>
      </c>
    </row>
    <row r="2467" spans="1:1">
      <c r="A2467" t="e" cm="1" vm="1">
        <f t="array" aca="1" ref="A2467" ca="1">(ROW(A466:M2465))</f>
        <v>#VALUE!</v>
      </c>
    </row>
    <row r="2468" spans="1:1">
      <c r="A2468" t="e" cm="1" vm="1">
        <f t="array" aca="1" ref="A2468" ca="1">(ROW(A467:M2466))</f>
        <v>#VALUE!</v>
      </c>
    </row>
    <row r="2469" spans="1:1">
      <c r="A2469" t="e" cm="1" vm="1">
        <f t="array" aca="1" ref="A2469" ca="1">(ROW(A468:M2467))</f>
        <v>#VALUE!</v>
      </c>
    </row>
    <row r="2470" spans="1:1">
      <c r="A2470" t="e" cm="1" vm="1">
        <f t="array" aca="1" ref="A2470" ca="1">(ROW(A469:M2468))</f>
        <v>#VALUE!</v>
      </c>
    </row>
    <row r="2471" spans="1:1">
      <c r="A2471" t="e" cm="1" vm="1">
        <f t="array" aca="1" ref="A2471" ca="1">(ROW(A470:M2469))</f>
        <v>#VALUE!</v>
      </c>
    </row>
    <row r="2472" spans="1:1">
      <c r="A2472" t="e" cm="1" vm="1">
        <f t="array" aca="1" ref="A2472" ca="1">(ROW(A471:M2470))</f>
        <v>#VALUE!</v>
      </c>
    </row>
    <row r="2473" spans="1:1">
      <c r="A2473" t="e" cm="1" vm="1">
        <f t="array" aca="1" ref="A2473" ca="1">(ROW(A472:M2471))</f>
        <v>#VALUE!</v>
      </c>
    </row>
    <row r="2474" spans="1:1">
      <c r="A2474" t="e" cm="1" vm="1">
        <f t="array" aca="1" ref="A2474" ca="1">(ROW(A473:M2472))</f>
        <v>#VALUE!</v>
      </c>
    </row>
    <row r="2475" spans="1:1">
      <c r="A2475" t="e" cm="1" vm="1">
        <f t="array" aca="1" ref="A2475" ca="1">(ROW(A474:M2473))</f>
        <v>#VALUE!</v>
      </c>
    </row>
    <row r="2476" spans="1:1">
      <c r="A2476" t="e" cm="1" vm="1">
        <f t="array" aca="1" ref="A2476" ca="1">(ROW(A475:M2474))</f>
        <v>#VALUE!</v>
      </c>
    </row>
    <row r="2477" spans="1:1">
      <c r="A2477" t="e" cm="1" vm="1">
        <f t="array" aca="1" ref="A2477" ca="1">(ROW(A476:M2475))</f>
        <v>#VALUE!</v>
      </c>
    </row>
    <row r="2478" spans="1:1">
      <c r="A2478" t="e" cm="1" vm="1">
        <f t="array" aca="1" ref="A2478" ca="1">(ROW(A477:M2476))</f>
        <v>#VALUE!</v>
      </c>
    </row>
    <row r="2479" spans="1:1">
      <c r="A2479" t="e" cm="1" vm="1">
        <f t="array" aca="1" ref="A2479" ca="1">(ROW(A478:M2477))</f>
        <v>#VALUE!</v>
      </c>
    </row>
    <row r="2480" spans="1:1">
      <c r="A2480" t="e" cm="1" vm="1">
        <f t="array" aca="1" ref="A2480" ca="1">(ROW(A479:M2478))</f>
        <v>#VALUE!</v>
      </c>
    </row>
    <row r="2481" spans="1:1">
      <c r="A2481" t="e" cm="1" vm="1">
        <f t="array" aca="1" ref="A2481" ca="1">(ROW(A480:M2479))</f>
        <v>#VALUE!</v>
      </c>
    </row>
    <row r="2482" spans="1:1">
      <c r="A2482" t="e" cm="1" vm="1">
        <f t="array" aca="1" ref="A2482" ca="1">(ROW(A481:M2480))</f>
        <v>#VALUE!</v>
      </c>
    </row>
    <row r="2483" spans="1:1">
      <c r="A2483" t="e" cm="1" vm="1">
        <f t="array" aca="1" ref="A2483" ca="1">(ROW(A482:M2481))</f>
        <v>#VALUE!</v>
      </c>
    </row>
    <row r="2484" spans="1:1">
      <c r="A2484" t="e" cm="1" vm="1">
        <f t="array" aca="1" ref="A2484" ca="1">(ROW(A483:M2482))</f>
        <v>#VALUE!</v>
      </c>
    </row>
    <row r="2485" spans="1:1">
      <c r="A2485" t="e" cm="1" vm="1">
        <f t="array" aca="1" ref="A2485" ca="1">(ROW(A484:M2483))</f>
        <v>#VALUE!</v>
      </c>
    </row>
    <row r="2486" spans="1:1">
      <c r="A2486" t="e" cm="1" vm="1">
        <f t="array" aca="1" ref="A2486" ca="1">(ROW(A485:M2484))</f>
        <v>#VALUE!</v>
      </c>
    </row>
    <row r="2487" spans="1:1">
      <c r="A2487" t="e" cm="1" vm="1">
        <f t="array" aca="1" ref="A2487" ca="1">(ROW(A486:M2485))</f>
        <v>#VALUE!</v>
      </c>
    </row>
    <row r="2488" spans="1:1">
      <c r="A2488" t="e" cm="1" vm="1">
        <f t="array" aca="1" ref="A2488" ca="1">(ROW(A487:M2486))</f>
        <v>#VALUE!</v>
      </c>
    </row>
    <row r="2489" spans="1:1">
      <c r="A2489" t="e" cm="1" vm="1">
        <f t="array" aca="1" ref="A2489" ca="1">(ROW(A488:M2487))</f>
        <v>#VALUE!</v>
      </c>
    </row>
    <row r="2490" spans="1:1">
      <c r="A2490" t="e" cm="1" vm="1">
        <f t="array" aca="1" ref="A2490" ca="1">(ROW(A489:M2488))</f>
        <v>#VALUE!</v>
      </c>
    </row>
    <row r="2491" spans="1:1">
      <c r="A2491" t="e" cm="1" vm="1">
        <f t="array" aca="1" ref="A2491" ca="1">(ROW(A490:M2489))</f>
        <v>#VALUE!</v>
      </c>
    </row>
    <row r="2492" spans="1:1">
      <c r="A2492" t="e" cm="1" vm="1">
        <f t="array" aca="1" ref="A2492" ca="1">(ROW(A491:M2490))</f>
        <v>#VALUE!</v>
      </c>
    </row>
    <row r="2493" spans="1:1">
      <c r="A2493" t="e" cm="1" vm="1">
        <f t="array" aca="1" ref="A2493" ca="1">(ROW(A492:M2491))</f>
        <v>#VALUE!</v>
      </c>
    </row>
    <row r="2494" spans="1:1">
      <c r="A2494" t="e" cm="1" vm="1">
        <f t="array" aca="1" ref="A2494" ca="1">(ROW(A493:M2492))</f>
        <v>#VALUE!</v>
      </c>
    </row>
    <row r="2495" spans="1:1">
      <c r="A2495" t="e" cm="1" vm="1">
        <f t="array" aca="1" ref="A2495" ca="1">(ROW(A494:M2493))</f>
        <v>#VALUE!</v>
      </c>
    </row>
    <row r="2496" spans="1:1">
      <c r="A2496" t="e" cm="1" vm="1">
        <f t="array" aca="1" ref="A2496" ca="1">(ROW(A495:M2494))</f>
        <v>#VALUE!</v>
      </c>
    </row>
    <row r="2497" spans="1:1">
      <c r="A2497" t="e" cm="1" vm="1">
        <f t="array" aca="1" ref="A2497" ca="1">(ROW(A496:M2495))</f>
        <v>#VALUE!</v>
      </c>
    </row>
    <row r="2498" spans="1:1">
      <c r="A2498" t="e" cm="1" vm="1">
        <f t="array" aca="1" ref="A2498" ca="1">(ROW(A497:M2496))</f>
        <v>#VALUE!</v>
      </c>
    </row>
    <row r="2499" spans="1:1">
      <c r="A2499" t="e" cm="1" vm="1">
        <f t="array" aca="1" ref="A2499" ca="1">(ROW(A498:M2497))</f>
        <v>#VALUE!</v>
      </c>
    </row>
    <row r="2500" spans="1:1">
      <c r="A2500" t="e" cm="1" vm="1">
        <f t="array" aca="1" ref="A2500" ca="1">(ROW(A499:M2498))</f>
        <v>#VALUE!</v>
      </c>
    </row>
    <row r="2501" spans="1:1">
      <c r="A2501" t="e" cm="1" vm="1">
        <f t="array" aca="1" ref="A2501" ca="1">(ROW(A500:M2499))</f>
        <v>#VALUE!</v>
      </c>
    </row>
    <row r="2502" spans="1:1">
      <c r="A2502" t="e" cm="1" vm="1">
        <f t="array" aca="1" ref="A2502" ca="1">(ROW(A501:M2500))</f>
        <v>#VALUE!</v>
      </c>
    </row>
    <row r="2503" spans="1:1">
      <c r="A2503" t="e" cm="1" vm="1">
        <f t="array" aca="1" ref="A2503" ca="1">(ROW(A502:M2501))</f>
        <v>#VALUE!</v>
      </c>
    </row>
    <row r="2504" spans="1:1">
      <c r="A2504" t="e" cm="1" vm="1">
        <f t="array" aca="1" ref="A2504" ca="1">(ROW(A503:M2502))</f>
        <v>#VALUE!</v>
      </c>
    </row>
    <row r="2505" spans="1:1">
      <c r="A2505" t="e" cm="1" vm="1">
        <f t="array" aca="1" ref="A2505" ca="1">(ROW(A504:M2503))</f>
        <v>#VALUE!</v>
      </c>
    </row>
    <row r="2506" spans="1:1">
      <c r="A2506" t="e" cm="1" vm="1">
        <f t="array" aca="1" ref="A2506" ca="1">(ROW(A505:M2504))</f>
        <v>#VALUE!</v>
      </c>
    </row>
    <row r="2507" spans="1:1">
      <c r="A2507" t="e" cm="1" vm="1">
        <f t="array" aca="1" ref="A2507" ca="1">(ROW(A506:M2505))</f>
        <v>#VALUE!</v>
      </c>
    </row>
    <row r="2508" spans="1:1">
      <c r="A2508" t="e" cm="1" vm="1">
        <f t="array" aca="1" ref="A2508" ca="1">(ROW(A507:M2506))</f>
        <v>#VALUE!</v>
      </c>
    </row>
    <row r="2509" spans="1:1">
      <c r="A2509" t="e" cm="1" vm="1">
        <f t="array" aca="1" ref="A2509" ca="1">(ROW(A508:M2507))</f>
        <v>#VALUE!</v>
      </c>
    </row>
    <row r="2510" spans="1:1">
      <c r="A2510" t="e" cm="1" vm="1">
        <f t="array" aca="1" ref="A2510" ca="1">(ROW(A509:M2508))</f>
        <v>#VALUE!</v>
      </c>
    </row>
    <row r="2511" spans="1:1">
      <c r="A2511" t="e" cm="1" vm="1">
        <f t="array" aca="1" ref="A2511" ca="1">(ROW(A510:M2509))</f>
        <v>#VALUE!</v>
      </c>
    </row>
    <row r="2512" spans="1:1">
      <c r="A2512" t="e" cm="1" vm="1">
        <f t="array" aca="1" ref="A2512" ca="1">(ROW(A511:M2510))</f>
        <v>#VALUE!</v>
      </c>
    </row>
    <row r="2513" spans="1:1">
      <c r="A2513" t="e" cm="1" vm="1">
        <f t="array" aca="1" ref="A2513" ca="1">(ROW(A512:M2511))</f>
        <v>#VALUE!</v>
      </c>
    </row>
    <row r="2514" spans="1:1">
      <c r="A2514" t="e" cm="1" vm="1">
        <f t="array" aca="1" ref="A2514" ca="1">(ROW(A513:M2512))</f>
        <v>#VALUE!</v>
      </c>
    </row>
    <row r="2515" spans="1:1">
      <c r="A2515" t="e" cm="1" vm="1">
        <f t="array" aca="1" ref="A2515" ca="1">(ROW(A514:M2513))</f>
        <v>#VALUE!</v>
      </c>
    </row>
    <row r="2516" spans="1:1">
      <c r="A2516" t="e" cm="1" vm="1">
        <f t="array" aca="1" ref="A2516" ca="1">(ROW(A515:M2514))</f>
        <v>#VALUE!</v>
      </c>
    </row>
    <row r="2517" spans="1:1">
      <c r="A2517" t="e" cm="1" vm="1">
        <f t="array" aca="1" ref="A2517" ca="1">(ROW(A516:M2515))</f>
        <v>#VALUE!</v>
      </c>
    </row>
    <row r="2518" spans="1:1">
      <c r="A2518" t="e" cm="1" vm="1">
        <f t="array" aca="1" ref="A2518" ca="1">(ROW(A517:M2516))</f>
        <v>#VALUE!</v>
      </c>
    </row>
    <row r="2519" spans="1:1">
      <c r="A2519" t="e" cm="1" vm="1">
        <f t="array" aca="1" ref="A2519" ca="1">(ROW(A518:M2517))</f>
        <v>#VALUE!</v>
      </c>
    </row>
    <row r="2520" spans="1:1">
      <c r="A2520" t="e" cm="1" vm="1">
        <f t="array" aca="1" ref="A2520" ca="1">(ROW(A519:M2518))</f>
        <v>#VALUE!</v>
      </c>
    </row>
    <row r="2521" spans="1:1">
      <c r="A2521" t="e" cm="1" vm="1">
        <f t="array" aca="1" ref="A2521" ca="1">(ROW(A520:M2519))</f>
        <v>#VALUE!</v>
      </c>
    </row>
    <row r="2522" spans="1:1">
      <c r="A2522" t="e" cm="1" vm="1">
        <f t="array" aca="1" ref="A2522" ca="1">(ROW(A521:M2520))</f>
        <v>#VALUE!</v>
      </c>
    </row>
    <row r="2523" spans="1:1">
      <c r="A2523" t="e" cm="1" vm="1">
        <f t="array" aca="1" ref="A2523" ca="1">(ROW(A522:M2521))</f>
        <v>#VALUE!</v>
      </c>
    </row>
    <row r="2524" spans="1:1">
      <c r="A2524" t="e" cm="1" vm="1">
        <f t="array" aca="1" ref="A2524" ca="1">(ROW(A523:M2522))</f>
        <v>#VALUE!</v>
      </c>
    </row>
    <row r="2525" spans="1:1">
      <c r="A2525" t="e" cm="1" vm="1">
        <f t="array" aca="1" ref="A2525" ca="1">(ROW(A524:M2523))</f>
        <v>#VALUE!</v>
      </c>
    </row>
    <row r="2526" spans="1:1">
      <c r="A2526" t="e" cm="1" vm="1">
        <f t="array" aca="1" ref="A2526" ca="1">(ROW(A525:M2524))</f>
        <v>#VALUE!</v>
      </c>
    </row>
    <row r="2527" spans="1:1">
      <c r="A2527" t="e" cm="1" vm="1">
        <f t="array" aca="1" ref="A2527" ca="1">(ROW(A526:M2525))</f>
        <v>#VALUE!</v>
      </c>
    </row>
    <row r="2528" spans="1:1">
      <c r="A2528" t="e" cm="1" vm="1">
        <f t="array" aca="1" ref="A2528" ca="1">(ROW(A527:M2526))</f>
        <v>#VALUE!</v>
      </c>
    </row>
    <row r="2529" spans="1:1">
      <c r="A2529" t="e" cm="1" vm="1">
        <f t="array" aca="1" ref="A2529" ca="1">(ROW(A528:M2527))</f>
        <v>#VALUE!</v>
      </c>
    </row>
    <row r="2530" spans="1:1">
      <c r="A2530" t="e" cm="1" vm="1">
        <f t="array" aca="1" ref="A2530" ca="1">(ROW(A529:M2528))</f>
        <v>#VALUE!</v>
      </c>
    </row>
    <row r="2531" spans="1:1">
      <c r="A2531" t="e" cm="1" vm="1">
        <f t="array" aca="1" ref="A2531" ca="1">(ROW(A530:M2529))</f>
        <v>#VALUE!</v>
      </c>
    </row>
    <row r="2532" spans="1:1">
      <c r="A2532" t="e" cm="1" vm="1">
        <f t="array" aca="1" ref="A2532" ca="1">(ROW(A531:M2530))</f>
        <v>#VALUE!</v>
      </c>
    </row>
    <row r="2533" spans="1:1">
      <c r="A2533" t="e" cm="1" vm="1">
        <f t="array" aca="1" ref="A2533" ca="1">(ROW(A532:M2531))</f>
        <v>#VALUE!</v>
      </c>
    </row>
    <row r="2534" spans="1:1">
      <c r="A2534" t="e" cm="1" vm="1">
        <f t="array" aca="1" ref="A2534" ca="1">(ROW(A533:M2532))</f>
        <v>#VALUE!</v>
      </c>
    </row>
    <row r="2535" spans="1:1">
      <c r="A2535" t="e" cm="1" vm="1">
        <f t="array" aca="1" ref="A2535" ca="1">(ROW(A534:M2533))</f>
        <v>#VALUE!</v>
      </c>
    </row>
    <row r="2536" spans="1:1">
      <c r="A2536" t="e" cm="1" vm="1">
        <f t="array" aca="1" ref="A2536" ca="1">(ROW(A535:M2534))</f>
        <v>#VALUE!</v>
      </c>
    </row>
    <row r="2537" spans="1:1">
      <c r="A2537" t="e" cm="1" vm="1">
        <f t="array" aca="1" ref="A2537" ca="1">(ROW(A536:M2535))</f>
        <v>#VALUE!</v>
      </c>
    </row>
    <row r="2538" spans="1:1">
      <c r="A2538" t="e" cm="1" vm="1">
        <f t="array" aca="1" ref="A2538" ca="1">(ROW(A537:M2536))</f>
        <v>#VALUE!</v>
      </c>
    </row>
    <row r="2539" spans="1:1">
      <c r="A2539" t="e" cm="1" vm="1">
        <f t="array" aca="1" ref="A2539" ca="1">(ROW(A538:M2537))</f>
        <v>#VALUE!</v>
      </c>
    </row>
    <row r="2540" spans="1:1">
      <c r="A2540" t="e" cm="1" vm="1">
        <f t="array" aca="1" ref="A2540" ca="1">(ROW(A539:M2538))</f>
        <v>#VALUE!</v>
      </c>
    </row>
    <row r="2541" spans="1:1">
      <c r="A2541" t="e" cm="1" vm="1">
        <f t="array" aca="1" ref="A2541" ca="1">(ROW(A540:M2539))</f>
        <v>#VALUE!</v>
      </c>
    </row>
    <row r="2542" spans="1:1">
      <c r="A2542" t="e" cm="1" vm="1">
        <f t="array" aca="1" ref="A2542" ca="1">(ROW(A541:M2540))</f>
        <v>#VALUE!</v>
      </c>
    </row>
    <row r="2543" spans="1:1">
      <c r="A2543" t="e" cm="1" vm="1">
        <f t="array" aca="1" ref="A2543" ca="1">(ROW(A542:M2541))</f>
        <v>#VALUE!</v>
      </c>
    </row>
    <row r="2544" spans="1:1">
      <c r="A2544" t="e" cm="1" vm="1">
        <f t="array" aca="1" ref="A2544" ca="1">(ROW(A543:M2542))</f>
        <v>#VALUE!</v>
      </c>
    </row>
    <row r="2545" spans="1:1">
      <c r="A2545" t="e" cm="1" vm="1">
        <f t="array" aca="1" ref="A2545" ca="1">(ROW(A544:M2543))</f>
        <v>#VALUE!</v>
      </c>
    </row>
    <row r="2546" spans="1:1">
      <c r="A2546" t="e" cm="1" vm="1">
        <f t="array" aca="1" ref="A2546" ca="1">(ROW(A545:M2544))</f>
        <v>#VALUE!</v>
      </c>
    </row>
    <row r="2547" spans="1:1">
      <c r="A2547" t="e" cm="1" vm="1">
        <f t="array" aca="1" ref="A2547" ca="1">(ROW(A546:M2545))</f>
        <v>#VALUE!</v>
      </c>
    </row>
    <row r="2548" spans="1:1">
      <c r="A2548" t="e" cm="1" vm="1">
        <f t="array" aca="1" ref="A2548" ca="1">(ROW(A547:M2546))</f>
        <v>#VALUE!</v>
      </c>
    </row>
    <row r="2549" spans="1:1">
      <c r="A2549" t="e" cm="1" vm="1">
        <f t="array" aca="1" ref="A2549" ca="1">(ROW(A548:M2547))</f>
        <v>#VALUE!</v>
      </c>
    </row>
    <row r="2550" spans="1:1">
      <c r="A2550" t="e" cm="1" vm="1">
        <f t="array" aca="1" ref="A2550" ca="1">(ROW(A549:M2548))</f>
        <v>#VALUE!</v>
      </c>
    </row>
    <row r="2551" spans="1:1">
      <c r="A2551" t="e" cm="1" vm="1">
        <f t="array" aca="1" ref="A2551" ca="1">(ROW(A550:M2549))</f>
        <v>#VALUE!</v>
      </c>
    </row>
    <row r="2552" spans="1:1">
      <c r="A2552" t="e" cm="1" vm="1">
        <f t="array" aca="1" ref="A2552" ca="1">(ROW(A551:M2550))</f>
        <v>#VALUE!</v>
      </c>
    </row>
    <row r="2553" spans="1:1">
      <c r="A2553" t="e" cm="1" vm="1">
        <f t="array" aca="1" ref="A2553" ca="1">(ROW(A552:M2551))</f>
        <v>#VALUE!</v>
      </c>
    </row>
    <row r="2554" spans="1:1">
      <c r="A2554" t="e" cm="1" vm="1">
        <f t="array" aca="1" ref="A2554" ca="1">(ROW(A553:M2552))</f>
        <v>#VALUE!</v>
      </c>
    </row>
    <row r="2555" spans="1:1">
      <c r="A2555" t="e" cm="1" vm="1">
        <f t="array" aca="1" ref="A2555" ca="1">(ROW(A554:M2553))</f>
        <v>#VALUE!</v>
      </c>
    </row>
    <row r="2556" spans="1:1">
      <c r="A2556" t="e" cm="1" vm="1">
        <f t="array" aca="1" ref="A2556" ca="1">(ROW(A555:M2554))</f>
        <v>#VALUE!</v>
      </c>
    </row>
    <row r="2557" spans="1:1">
      <c r="A2557" t="e" cm="1" vm="1">
        <f t="array" aca="1" ref="A2557" ca="1">(ROW(A556:M2555))</f>
        <v>#VALUE!</v>
      </c>
    </row>
    <row r="2558" spans="1:1">
      <c r="A2558" t="e" cm="1" vm="1">
        <f t="array" aca="1" ref="A2558" ca="1">(ROW(A557:M2556))</f>
        <v>#VALUE!</v>
      </c>
    </row>
    <row r="2559" spans="1:1">
      <c r="A2559" t="e" cm="1" vm="1">
        <f t="array" aca="1" ref="A2559" ca="1">(ROW(A558:M2557))</f>
        <v>#VALUE!</v>
      </c>
    </row>
    <row r="2560" spans="1:1">
      <c r="A2560" t="e" cm="1" vm="1">
        <f t="array" aca="1" ref="A2560" ca="1">(ROW(A559:M2558))</f>
        <v>#VALUE!</v>
      </c>
    </row>
    <row r="2561" spans="1:1">
      <c r="A2561" t="e" cm="1" vm="1">
        <f t="array" aca="1" ref="A2561" ca="1">(ROW(A560:M2559))</f>
        <v>#VALUE!</v>
      </c>
    </row>
    <row r="2562" spans="1:1">
      <c r="A2562" t="e" cm="1" vm="1">
        <f t="array" aca="1" ref="A2562" ca="1">(ROW(A561:M2560))</f>
        <v>#VALUE!</v>
      </c>
    </row>
    <row r="2563" spans="1:1">
      <c r="A2563" t="e" cm="1" vm="1">
        <f t="array" aca="1" ref="A2563" ca="1">(ROW(A562:M2561))</f>
        <v>#VALUE!</v>
      </c>
    </row>
    <row r="2564" spans="1:1">
      <c r="A2564" t="e" cm="1" vm="1">
        <f t="array" aca="1" ref="A2564" ca="1">(ROW(A563:M2562))</f>
        <v>#VALUE!</v>
      </c>
    </row>
    <row r="2565" spans="1:1">
      <c r="A2565" t="e" cm="1" vm="1">
        <f t="array" aca="1" ref="A2565" ca="1">(ROW(A564:M2563))</f>
        <v>#VALUE!</v>
      </c>
    </row>
    <row r="2566" spans="1:1">
      <c r="A2566" t="e" cm="1" vm="1">
        <f t="array" aca="1" ref="A2566" ca="1">(ROW(A565:M2564))</f>
        <v>#VALUE!</v>
      </c>
    </row>
    <row r="2567" spans="1:1">
      <c r="A2567" t="e" cm="1" vm="1">
        <f t="array" aca="1" ref="A2567" ca="1">(ROW(A566:M2565))</f>
        <v>#VALUE!</v>
      </c>
    </row>
    <row r="2568" spans="1:1">
      <c r="A2568" t="e" cm="1" vm="1">
        <f t="array" aca="1" ref="A2568" ca="1">(ROW(A567:M2566))</f>
        <v>#VALUE!</v>
      </c>
    </row>
    <row r="2569" spans="1:1">
      <c r="A2569" t="e" cm="1" vm="1">
        <f t="array" aca="1" ref="A2569" ca="1">(ROW(A568:M2567))</f>
        <v>#VALUE!</v>
      </c>
    </row>
    <row r="2570" spans="1:1">
      <c r="A2570" t="e" cm="1" vm="1">
        <f t="array" aca="1" ref="A2570" ca="1">(ROW(A569:M2568))</f>
        <v>#VALUE!</v>
      </c>
    </row>
    <row r="2571" spans="1:1">
      <c r="A2571" t="e" cm="1" vm="1">
        <f t="array" aca="1" ref="A2571" ca="1">(ROW(A570:M2569))</f>
        <v>#VALUE!</v>
      </c>
    </row>
    <row r="2572" spans="1:1">
      <c r="A2572" t="e" cm="1" vm="1">
        <f t="array" aca="1" ref="A2572" ca="1">(ROW(A571:M2570))</f>
        <v>#VALUE!</v>
      </c>
    </row>
    <row r="2573" spans="1:1">
      <c r="A2573" t="e" cm="1" vm="1">
        <f t="array" aca="1" ref="A2573" ca="1">(ROW(A572:M2571))</f>
        <v>#VALUE!</v>
      </c>
    </row>
    <row r="2574" spans="1:1">
      <c r="A2574" t="e" cm="1" vm="1">
        <f t="array" aca="1" ref="A2574" ca="1">(ROW(A573:M2572))</f>
        <v>#VALUE!</v>
      </c>
    </row>
    <row r="2575" spans="1:1">
      <c r="A2575" t="e" cm="1" vm="1">
        <f t="array" aca="1" ref="A2575" ca="1">(ROW(A574:M2573))</f>
        <v>#VALUE!</v>
      </c>
    </row>
    <row r="2576" spans="1:1">
      <c r="A2576" t="e" cm="1" vm="1">
        <f t="array" aca="1" ref="A2576" ca="1">(ROW(A575:M2574))</f>
        <v>#VALUE!</v>
      </c>
    </row>
    <row r="2577" spans="1:1">
      <c r="A2577" t="e" cm="1" vm="1">
        <f t="array" aca="1" ref="A2577" ca="1">(ROW(A576:M2575))</f>
        <v>#VALUE!</v>
      </c>
    </row>
    <row r="2578" spans="1:1">
      <c r="A2578" t="e" cm="1" vm="1">
        <f t="array" aca="1" ref="A2578" ca="1">(ROW(A577:M2576))</f>
        <v>#VALUE!</v>
      </c>
    </row>
    <row r="2579" spans="1:1">
      <c r="A2579" t="e" cm="1" vm="1">
        <f t="array" aca="1" ref="A2579" ca="1">(ROW(A578:M2577))</f>
        <v>#VALUE!</v>
      </c>
    </row>
    <row r="2580" spans="1:1">
      <c r="A2580" t="e" cm="1" vm="1">
        <f t="array" aca="1" ref="A2580" ca="1">(ROW(A579:M2578))</f>
        <v>#VALUE!</v>
      </c>
    </row>
    <row r="2581" spans="1:1">
      <c r="A2581" t="e" cm="1" vm="1">
        <f t="array" aca="1" ref="A2581" ca="1">(ROW(A580:M2579))</f>
        <v>#VALUE!</v>
      </c>
    </row>
    <row r="2582" spans="1:1">
      <c r="A2582" t="e" cm="1" vm="1">
        <f t="array" aca="1" ref="A2582" ca="1">(ROW(A581:M2580))</f>
        <v>#VALUE!</v>
      </c>
    </row>
    <row r="2583" spans="1:1">
      <c r="A2583" t="e" cm="1" vm="1">
        <f t="array" aca="1" ref="A2583" ca="1">(ROW(A582:M2581))</f>
        <v>#VALUE!</v>
      </c>
    </row>
    <row r="2584" spans="1:1">
      <c r="A2584" t="e" cm="1" vm="1">
        <f t="array" aca="1" ref="A2584" ca="1">(ROW(A583:M2582))</f>
        <v>#VALUE!</v>
      </c>
    </row>
    <row r="2585" spans="1:1">
      <c r="A2585" t="e" cm="1" vm="1">
        <f t="array" aca="1" ref="A2585" ca="1">(ROW(A584:M2583))</f>
        <v>#VALUE!</v>
      </c>
    </row>
    <row r="2586" spans="1:1">
      <c r="A2586" t="e" cm="1" vm="1">
        <f t="array" aca="1" ref="A2586" ca="1">(ROW(A585:M2584))</f>
        <v>#VALUE!</v>
      </c>
    </row>
    <row r="2587" spans="1:1">
      <c r="A2587" t="e" cm="1" vm="1">
        <f t="array" aca="1" ref="A2587" ca="1">(ROW(A586:M2585))</f>
        <v>#VALUE!</v>
      </c>
    </row>
    <row r="2588" spans="1:1">
      <c r="A2588" t="e" cm="1" vm="1">
        <f t="array" aca="1" ref="A2588" ca="1">(ROW(A587:M2586))</f>
        <v>#VALUE!</v>
      </c>
    </row>
    <row r="2589" spans="1:1">
      <c r="A2589" t="e" cm="1" vm="1">
        <f t="array" aca="1" ref="A2589" ca="1">(ROW(A588:M2587))</f>
        <v>#VALUE!</v>
      </c>
    </row>
    <row r="2590" spans="1:1">
      <c r="A2590" t="e" cm="1" vm="1">
        <f t="array" aca="1" ref="A2590" ca="1">(ROW(A589:M2588))</f>
        <v>#VALUE!</v>
      </c>
    </row>
    <row r="2591" spans="1:1">
      <c r="A2591" t="e" cm="1" vm="1">
        <f t="array" aca="1" ref="A2591" ca="1">(ROW(A590:M2589))</f>
        <v>#VALUE!</v>
      </c>
    </row>
    <row r="2592" spans="1:1">
      <c r="A2592" t="e" cm="1" vm="1">
        <f t="array" aca="1" ref="A2592" ca="1">(ROW(A591:M2590))</f>
        <v>#VALUE!</v>
      </c>
    </row>
    <row r="2593" spans="1:1">
      <c r="A2593" t="e" cm="1" vm="1">
        <f t="array" aca="1" ref="A2593" ca="1">(ROW(A592:M2591))</f>
        <v>#VALUE!</v>
      </c>
    </row>
    <row r="2594" spans="1:1">
      <c r="A2594" t="e" cm="1" vm="1">
        <f t="array" aca="1" ref="A2594" ca="1">(ROW(A593:M2592))</f>
        <v>#VALUE!</v>
      </c>
    </row>
    <row r="2595" spans="1:1">
      <c r="A2595" t="e" cm="1" vm="1">
        <f t="array" aca="1" ref="A2595" ca="1">(ROW(A594:M2593))</f>
        <v>#VALUE!</v>
      </c>
    </row>
    <row r="2596" spans="1:1">
      <c r="A2596" t="e" cm="1" vm="1">
        <f t="array" aca="1" ref="A2596" ca="1">(ROW(A595:M2594))</f>
        <v>#VALUE!</v>
      </c>
    </row>
    <row r="2597" spans="1:1">
      <c r="A2597" t="e" cm="1" vm="1">
        <f t="array" aca="1" ref="A2597" ca="1">(ROW(A596:M2595))</f>
        <v>#VALUE!</v>
      </c>
    </row>
    <row r="2598" spans="1:1">
      <c r="A2598" t="e" cm="1" vm="1">
        <f t="array" aca="1" ref="A2598" ca="1">(ROW(A597:M2596))</f>
        <v>#VALUE!</v>
      </c>
    </row>
    <row r="2599" spans="1:1">
      <c r="A2599" t="e" cm="1" vm="1">
        <f t="array" aca="1" ref="A2599" ca="1">(ROW(A598:M2597))</f>
        <v>#VALUE!</v>
      </c>
    </row>
    <row r="2600" spans="1:1">
      <c r="A2600" t="e" cm="1" vm="1">
        <f t="array" aca="1" ref="A2600" ca="1">(ROW(A599:M2598))</f>
        <v>#VALUE!</v>
      </c>
    </row>
    <row r="2601" spans="1:1">
      <c r="A2601" t="e" cm="1" vm="1">
        <f t="array" aca="1" ref="A2601" ca="1">(ROW(A600:M2599))</f>
        <v>#VALUE!</v>
      </c>
    </row>
    <row r="2602" spans="1:1">
      <c r="A2602" t="e" cm="1" vm="1">
        <f t="array" aca="1" ref="A2602" ca="1">(ROW(A601:M2600))</f>
        <v>#VALUE!</v>
      </c>
    </row>
    <row r="2603" spans="1:1">
      <c r="A2603" t="e" cm="1" vm="1">
        <f t="array" aca="1" ref="A2603" ca="1">(ROW(A602:M2601))</f>
        <v>#VALUE!</v>
      </c>
    </row>
    <row r="2604" spans="1:1">
      <c r="A2604" t="e" cm="1" vm="1">
        <f t="array" aca="1" ref="A2604" ca="1">(ROW(A603:M2602))</f>
        <v>#VALUE!</v>
      </c>
    </row>
    <row r="2605" spans="1:1">
      <c r="A2605" t="e" cm="1" vm="1">
        <f t="array" aca="1" ref="A2605" ca="1">(ROW(A604:M2603))</f>
        <v>#VALUE!</v>
      </c>
    </row>
    <row r="2606" spans="1:1">
      <c r="A2606" t="e" cm="1" vm="1">
        <f t="array" aca="1" ref="A2606" ca="1">(ROW(A605:M2604))</f>
        <v>#VALUE!</v>
      </c>
    </row>
    <row r="2607" spans="1:1">
      <c r="A2607" t="e" cm="1" vm="1">
        <f t="array" aca="1" ref="A2607" ca="1">(ROW(A606:M2605))</f>
        <v>#VALUE!</v>
      </c>
    </row>
    <row r="2608" spans="1:1">
      <c r="A2608" t="e" cm="1" vm="1">
        <f t="array" aca="1" ref="A2608" ca="1">(ROW(A607:M2606))</f>
        <v>#VALUE!</v>
      </c>
    </row>
    <row r="2609" spans="1:1">
      <c r="A2609" t="e" cm="1" vm="1">
        <f t="array" aca="1" ref="A2609" ca="1">(ROW(A608:M2607))</f>
        <v>#VALUE!</v>
      </c>
    </row>
    <row r="2610" spans="1:1">
      <c r="A2610" t="e" cm="1" vm="1">
        <f t="array" aca="1" ref="A2610" ca="1">(ROW(A609:M2608))</f>
        <v>#VALUE!</v>
      </c>
    </row>
    <row r="2611" spans="1:1">
      <c r="A2611" t="e" cm="1" vm="1">
        <f t="array" aca="1" ref="A2611" ca="1">(ROW(A610:M2609))</f>
        <v>#VALUE!</v>
      </c>
    </row>
    <row r="2612" spans="1:1">
      <c r="A2612" t="e" cm="1" vm="1">
        <f t="array" aca="1" ref="A2612" ca="1">(ROW(A611:M2610))</f>
        <v>#VALUE!</v>
      </c>
    </row>
    <row r="2613" spans="1:1">
      <c r="A2613" t="e" cm="1" vm="1">
        <f t="array" aca="1" ref="A2613" ca="1">(ROW(A612:M2611))</f>
        <v>#VALUE!</v>
      </c>
    </row>
    <row r="2614" spans="1:1">
      <c r="A2614" t="e" cm="1" vm="1">
        <f t="array" aca="1" ref="A2614" ca="1">(ROW(A613:M2612))</f>
        <v>#VALUE!</v>
      </c>
    </row>
    <row r="2615" spans="1:1">
      <c r="A2615" t="e" cm="1" vm="1">
        <f t="array" aca="1" ref="A2615" ca="1">(ROW(A614:M2613))</f>
        <v>#VALUE!</v>
      </c>
    </row>
    <row r="2616" spans="1:1">
      <c r="A2616" t="e" cm="1" vm="1">
        <f t="array" aca="1" ref="A2616" ca="1">(ROW(A615:M2614))</f>
        <v>#VALUE!</v>
      </c>
    </row>
    <row r="2617" spans="1:1">
      <c r="A2617" t="e" cm="1" vm="1">
        <f t="array" aca="1" ref="A2617" ca="1">(ROW(A616:M2615))</f>
        <v>#VALUE!</v>
      </c>
    </row>
    <row r="2618" spans="1:1">
      <c r="A2618" t="e" cm="1" vm="1">
        <f t="array" aca="1" ref="A2618" ca="1">(ROW(A617:M2616))</f>
        <v>#VALUE!</v>
      </c>
    </row>
    <row r="2619" spans="1:1">
      <c r="A2619" t="e" cm="1" vm="1">
        <f t="array" aca="1" ref="A2619" ca="1">(ROW(A618:M2617))</f>
        <v>#VALUE!</v>
      </c>
    </row>
    <row r="2620" spans="1:1">
      <c r="A2620" t="e" cm="1" vm="1">
        <f t="array" aca="1" ref="A2620" ca="1">(ROW(A619:M2618))</f>
        <v>#VALUE!</v>
      </c>
    </row>
    <row r="2621" spans="1:1">
      <c r="A2621" t="e" cm="1" vm="1">
        <f t="array" aca="1" ref="A2621" ca="1">(ROW(A620:M2619))</f>
        <v>#VALUE!</v>
      </c>
    </row>
    <row r="2622" spans="1:1">
      <c r="A2622" t="e" cm="1" vm="1">
        <f t="array" aca="1" ref="A2622" ca="1">(ROW(A621:M2620))</f>
        <v>#VALUE!</v>
      </c>
    </row>
    <row r="2623" spans="1:1">
      <c r="A2623" t="e" cm="1" vm="1">
        <f t="array" aca="1" ref="A2623" ca="1">(ROW(A622:M2621))</f>
        <v>#VALUE!</v>
      </c>
    </row>
    <row r="2624" spans="1:1">
      <c r="A2624" t="e" cm="1" vm="1">
        <f t="array" aca="1" ref="A2624" ca="1">(ROW(A623:M2622))</f>
        <v>#VALUE!</v>
      </c>
    </row>
    <row r="2625" spans="1:1">
      <c r="A2625" t="e" cm="1" vm="1">
        <f t="array" aca="1" ref="A2625" ca="1">(ROW(A624:M2623))</f>
        <v>#VALUE!</v>
      </c>
    </row>
    <row r="2626" spans="1:1">
      <c r="A2626" t="e" cm="1" vm="1">
        <f t="array" aca="1" ref="A2626" ca="1">(ROW(A625:M2624))</f>
        <v>#VALUE!</v>
      </c>
    </row>
    <row r="2627" spans="1:1">
      <c r="A2627" t="e" cm="1" vm="1">
        <f t="array" aca="1" ref="A2627" ca="1">(ROW(A626:M2625))</f>
        <v>#VALUE!</v>
      </c>
    </row>
    <row r="2628" spans="1:1">
      <c r="A2628" t="e" cm="1" vm="1">
        <f t="array" aca="1" ref="A2628" ca="1">(ROW(A627:M2626))</f>
        <v>#VALUE!</v>
      </c>
    </row>
    <row r="2629" spans="1:1">
      <c r="A2629" t="e" cm="1" vm="1">
        <f t="array" aca="1" ref="A2629" ca="1">(ROW(A628:M2627))</f>
        <v>#VALUE!</v>
      </c>
    </row>
    <row r="2630" spans="1:1">
      <c r="A2630" t="e" cm="1" vm="1">
        <f t="array" aca="1" ref="A2630" ca="1">(ROW(A629:M2628))</f>
        <v>#VALUE!</v>
      </c>
    </row>
    <row r="2631" spans="1:1">
      <c r="A2631" t="e" cm="1" vm="1">
        <f t="array" aca="1" ref="A2631" ca="1">(ROW(A630:M2629))</f>
        <v>#VALUE!</v>
      </c>
    </row>
    <row r="2632" spans="1:1">
      <c r="A2632" t="e" cm="1" vm="1">
        <f t="array" aca="1" ref="A2632" ca="1">(ROW(A631:M2630))</f>
        <v>#VALUE!</v>
      </c>
    </row>
    <row r="2633" spans="1:1">
      <c r="A2633" t="e" cm="1" vm="1">
        <f t="array" aca="1" ref="A2633" ca="1">(ROW(A632:M2631))</f>
        <v>#VALUE!</v>
      </c>
    </row>
    <row r="2634" spans="1:1">
      <c r="A2634" t="e" cm="1" vm="1">
        <f t="array" aca="1" ref="A2634" ca="1">(ROW(A633:M2632))</f>
        <v>#VALUE!</v>
      </c>
    </row>
    <row r="2635" spans="1:1">
      <c r="A2635" t="e" cm="1" vm="1">
        <f t="array" aca="1" ref="A2635" ca="1">(ROW(A634:M2633))</f>
        <v>#VALUE!</v>
      </c>
    </row>
    <row r="2636" spans="1:1">
      <c r="A2636" t="e" cm="1" vm="1">
        <f t="array" aca="1" ref="A2636" ca="1">(ROW(A635:M2634))</f>
        <v>#VALUE!</v>
      </c>
    </row>
    <row r="2637" spans="1:1">
      <c r="A2637" t="e" cm="1" vm="1">
        <f t="array" aca="1" ref="A2637" ca="1">(ROW(A636:M2635))</f>
        <v>#VALUE!</v>
      </c>
    </row>
    <row r="2638" spans="1:1">
      <c r="A2638" t="e" cm="1" vm="1">
        <f t="array" aca="1" ref="A2638" ca="1">(ROW(A637:M2636))</f>
        <v>#VALUE!</v>
      </c>
    </row>
    <row r="2639" spans="1:1">
      <c r="A2639" t="e" cm="1" vm="1">
        <f t="array" aca="1" ref="A2639" ca="1">(ROW(A638:M2637))</f>
        <v>#VALUE!</v>
      </c>
    </row>
    <row r="2640" spans="1:1">
      <c r="A2640" t="e" cm="1" vm="1">
        <f t="array" aca="1" ref="A2640" ca="1">(ROW(A639:M2638))</f>
        <v>#VALUE!</v>
      </c>
    </row>
    <row r="2641" spans="1:1">
      <c r="A2641" t="e" cm="1" vm="1">
        <f t="array" aca="1" ref="A2641" ca="1">(ROW(A640:M2639))</f>
        <v>#VALUE!</v>
      </c>
    </row>
    <row r="2642" spans="1:1">
      <c r="A2642" t="e" cm="1" vm="1">
        <f t="array" aca="1" ref="A2642" ca="1">(ROW(A641:M2640))</f>
        <v>#VALUE!</v>
      </c>
    </row>
    <row r="2643" spans="1:1">
      <c r="A2643" t="e" cm="1" vm="1">
        <f t="array" aca="1" ref="A2643" ca="1">(ROW(A642:M2641))</f>
        <v>#VALUE!</v>
      </c>
    </row>
    <row r="2644" spans="1:1">
      <c r="A2644" t="e" cm="1" vm="1">
        <f t="array" aca="1" ref="A2644" ca="1">(ROW(A643:M2642))</f>
        <v>#VALUE!</v>
      </c>
    </row>
    <row r="2645" spans="1:1">
      <c r="A2645" t="e" cm="1" vm="1">
        <f t="array" aca="1" ref="A2645" ca="1">(ROW(A644:M2643))</f>
        <v>#VALUE!</v>
      </c>
    </row>
    <row r="2646" spans="1:1">
      <c r="A2646" t="e" cm="1" vm="1">
        <f t="array" aca="1" ref="A2646" ca="1">(ROW(A645:M2644))</f>
        <v>#VALUE!</v>
      </c>
    </row>
    <row r="2647" spans="1:1">
      <c r="A2647" t="e" cm="1" vm="1">
        <f t="array" aca="1" ref="A2647" ca="1">(ROW(A646:M2645))</f>
        <v>#VALUE!</v>
      </c>
    </row>
    <row r="2648" spans="1:1">
      <c r="A2648" t="e" cm="1" vm="1">
        <f t="array" aca="1" ref="A2648" ca="1">(ROW(A647:M2646))</f>
        <v>#VALUE!</v>
      </c>
    </row>
    <row r="2649" spans="1:1">
      <c r="A2649" t="e" cm="1" vm="1">
        <f t="array" aca="1" ref="A2649" ca="1">(ROW(A648:M2647))</f>
        <v>#VALUE!</v>
      </c>
    </row>
    <row r="2650" spans="1:1">
      <c r="A2650" t="e" cm="1" vm="1">
        <f t="array" aca="1" ref="A2650" ca="1">(ROW(A649:M2648))</f>
        <v>#VALUE!</v>
      </c>
    </row>
    <row r="2651" spans="1:1">
      <c r="A2651" t="e" cm="1" vm="1">
        <f t="array" aca="1" ref="A2651" ca="1">(ROW(A650:M2649))</f>
        <v>#VALUE!</v>
      </c>
    </row>
    <row r="2652" spans="1:1">
      <c r="A2652" t="e" cm="1" vm="1">
        <f t="array" aca="1" ref="A2652" ca="1">(ROW(A651:M2650))</f>
        <v>#VALUE!</v>
      </c>
    </row>
    <row r="2653" spans="1:1">
      <c r="A2653" t="e" cm="1" vm="1">
        <f t="array" aca="1" ref="A2653" ca="1">(ROW(A652:M2651))</f>
        <v>#VALUE!</v>
      </c>
    </row>
    <row r="2654" spans="1:1">
      <c r="A2654" t="e" cm="1" vm="1">
        <f t="array" aca="1" ref="A2654" ca="1">(ROW(A653:M2652))</f>
        <v>#VALUE!</v>
      </c>
    </row>
    <row r="2655" spans="1:1">
      <c r="A2655" t="e" cm="1" vm="1">
        <f t="array" aca="1" ref="A2655" ca="1">(ROW(A654:M2653))</f>
        <v>#VALUE!</v>
      </c>
    </row>
    <row r="2656" spans="1:1">
      <c r="A2656" t="e" cm="1" vm="1">
        <f t="array" aca="1" ref="A2656" ca="1">(ROW(A655:M2654))</f>
        <v>#VALUE!</v>
      </c>
    </row>
    <row r="2657" spans="1:1">
      <c r="A2657" t="e" cm="1" vm="1">
        <f t="array" aca="1" ref="A2657" ca="1">(ROW(A656:M2655))</f>
        <v>#VALUE!</v>
      </c>
    </row>
    <row r="2658" spans="1:1">
      <c r="A2658" t="e" cm="1" vm="1">
        <f t="array" aca="1" ref="A2658" ca="1">(ROW(A657:M2656))</f>
        <v>#VALUE!</v>
      </c>
    </row>
    <row r="2659" spans="1:1">
      <c r="A2659" t="e" cm="1" vm="1">
        <f t="array" aca="1" ref="A2659" ca="1">(ROW(A658:M2657))</f>
        <v>#VALUE!</v>
      </c>
    </row>
    <row r="2660" spans="1:1">
      <c r="A2660" t="e" cm="1" vm="1">
        <f t="array" aca="1" ref="A2660" ca="1">(ROW(A659:M2658))</f>
        <v>#VALUE!</v>
      </c>
    </row>
    <row r="2661" spans="1:1">
      <c r="A2661" t="e" cm="1" vm="1">
        <f t="array" aca="1" ref="A2661" ca="1">(ROW(A660:M2659))</f>
        <v>#VALUE!</v>
      </c>
    </row>
    <row r="2662" spans="1:1">
      <c r="A2662" t="e" cm="1" vm="1">
        <f t="array" aca="1" ref="A2662" ca="1">(ROW(A661:M2660))</f>
        <v>#VALUE!</v>
      </c>
    </row>
    <row r="2663" spans="1:1">
      <c r="A2663" t="e" cm="1" vm="1">
        <f t="array" aca="1" ref="A2663" ca="1">(ROW(A662:M2661))</f>
        <v>#VALUE!</v>
      </c>
    </row>
    <row r="2664" spans="1:1">
      <c r="A2664" t="e" cm="1" vm="1">
        <f t="array" aca="1" ref="A2664" ca="1">(ROW(A663:M2662))</f>
        <v>#VALUE!</v>
      </c>
    </row>
    <row r="2665" spans="1:1">
      <c r="A2665" t="e" cm="1" vm="1">
        <f t="array" aca="1" ref="A2665" ca="1">(ROW(A664:M2663))</f>
        <v>#VALUE!</v>
      </c>
    </row>
    <row r="2666" spans="1:1">
      <c r="A2666" t="e" cm="1" vm="1">
        <f t="array" aca="1" ref="A2666" ca="1">(ROW(A665:M2664))</f>
        <v>#VALUE!</v>
      </c>
    </row>
    <row r="2667" spans="1:1">
      <c r="A2667" t="e" cm="1" vm="1">
        <f t="array" aca="1" ref="A2667" ca="1">(ROW(A666:M2665))</f>
        <v>#VALUE!</v>
      </c>
    </row>
    <row r="2668" spans="1:1">
      <c r="A2668" t="e" cm="1" vm="1">
        <f t="array" aca="1" ref="A2668" ca="1">(ROW(A667:M2666))</f>
        <v>#VALUE!</v>
      </c>
    </row>
    <row r="2669" spans="1:1">
      <c r="A2669" t="e" cm="1" vm="1">
        <f t="array" aca="1" ref="A2669" ca="1">(ROW(A668:M2667))</f>
        <v>#VALUE!</v>
      </c>
    </row>
    <row r="2670" spans="1:1">
      <c r="A2670" t="e" cm="1" vm="1">
        <f t="array" aca="1" ref="A2670" ca="1">(ROW(A669:M2668))</f>
        <v>#VALUE!</v>
      </c>
    </row>
    <row r="2671" spans="1:1">
      <c r="A2671" t="e" cm="1" vm="1">
        <f t="array" aca="1" ref="A2671" ca="1">(ROW(A670:M2669))</f>
        <v>#VALUE!</v>
      </c>
    </row>
    <row r="2672" spans="1:1">
      <c r="A2672" t="e" cm="1" vm="1">
        <f t="array" aca="1" ref="A2672" ca="1">(ROW(A671:M2670))</f>
        <v>#VALUE!</v>
      </c>
    </row>
    <row r="2673" spans="1:1">
      <c r="A2673" t="e" cm="1" vm="1">
        <f t="array" aca="1" ref="A2673" ca="1">(ROW(A672:M2671))</f>
        <v>#VALUE!</v>
      </c>
    </row>
    <row r="2674" spans="1:1">
      <c r="A2674" t="e" cm="1" vm="1">
        <f t="array" aca="1" ref="A2674" ca="1">(ROW(A673:M2672))</f>
        <v>#VALUE!</v>
      </c>
    </row>
    <row r="2675" spans="1:1">
      <c r="A2675" t="e" cm="1" vm="1">
        <f t="array" aca="1" ref="A2675" ca="1">(ROW(A674:M2673))</f>
        <v>#VALUE!</v>
      </c>
    </row>
    <row r="2676" spans="1:1">
      <c r="A2676" t="e" cm="1" vm="1">
        <f t="array" aca="1" ref="A2676" ca="1">(ROW(A675:M2674))</f>
        <v>#VALUE!</v>
      </c>
    </row>
    <row r="2677" spans="1:1">
      <c r="A2677" t="e" cm="1" vm="1">
        <f t="array" aca="1" ref="A2677" ca="1">(ROW(A676:M2675))</f>
        <v>#VALUE!</v>
      </c>
    </row>
    <row r="2678" spans="1:1">
      <c r="A2678" t="e" cm="1" vm="1">
        <f t="array" aca="1" ref="A2678" ca="1">(ROW(A677:M2676))</f>
        <v>#VALUE!</v>
      </c>
    </row>
    <row r="2679" spans="1:1">
      <c r="A2679" t="e" cm="1" vm="1">
        <f t="array" aca="1" ref="A2679" ca="1">(ROW(A678:M2677))</f>
        <v>#VALUE!</v>
      </c>
    </row>
    <row r="2680" spans="1:1">
      <c r="A2680" t="e" cm="1" vm="1">
        <f t="array" aca="1" ref="A2680" ca="1">(ROW(A679:M2678))</f>
        <v>#VALUE!</v>
      </c>
    </row>
    <row r="2681" spans="1:1">
      <c r="A2681" t="e" cm="1" vm="1">
        <f t="array" aca="1" ref="A2681" ca="1">(ROW(A680:M2679))</f>
        <v>#VALUE!</v>
      </c>
    </row>
    <row r="2682" spans="1:1">
      <c r="A2682" t="e" cm="1" vm="1">
        <f t="array" aca="1" ref="A2682" ca="1">(ROW(A681:M2680))</f>
        <v>#VALUE!</v>
      </c>
    </row>
    <row r="2683" spans="1:1">
      <c r="A2683" t="e" cm="1" vm="1">
        <f t="array" aca="1" ref="A2683" ca="1">(ROW(A682:M2681))</f>
        <v>#VALUE!</v>
      </c>
    </row>
    <row r="2684" spans="1:1">
      <c r="A2684" t="e" cm="1" vm="1">
        <f t="array" aca="1" ref="A2684" ca="1">(ROW(A683:M2682))</f>
        <v>#VALUE!</v>
      </c>
    </row>
    <row r="2685" spans="1:1">
      <c r="A2685" t="e" cm="1" vm="1">
        <f t="array" aca="1" ref="A2685" ca="1">(ROW(A684:M2683))</f>
        <v>#VALUE!</v>
      </c>
    </row>
    <row r="2686" spans="1:1">
      <c r="A2686" t="e" cm="1" vm="1">
        <f t="array" aca="1" ref="A2686" ca="1">(ROW(A685:M2684))</f>
        <v>#VALUE!</v>
      </c>
    </row>
    <row r="2687" spans="1:1">
      <c r="A2687" t="e" cm="1" vm="1">
        <f t="array" aca="1" ref="A2687" ca="1">(ROW(A686:M2685))</f>
        <v>#VALUE!</v>
      </c>
    </row>
    <row r="2688" spans="1:1">
      <c r="A2688" t="e" cm="1" vm="1">
        <f t="array" aca="1" ref="A2688" ca="1">(ROW(A687:M2686))</f>
        <v>#VALUE!</v>
      </c>
    </row>
    <row r="2689" spans="1:1">
      <c r="A2689" t="e" cm="1" vm="1">
        <f t="array" aca="1" ref="A2689" ca="1">(ROW(A688:M2687))</f>
        <v>#VALUE!</v>
      </c>
    </row>
    <row r="2690" spans="1:1">
      <c r="A2690" t="e" cm="1" vm="1">
        <f t="array" aca="1" ref="A2690" ca="1">(ROW(A689:M2688))</f>
        <v>#VALUE!</v>
      </c>
    </row>
    <row r="2691" spans="1:1">
      <c r="A2691" t="e" cm="1" vm="1">
        <f t="array" aca="1" ref="A2691" ca="1">(ROW(A690:M2689))</f>
        <v>#VALUE!</v>
      </c>
    </row>
    <row r="2692" spans="1:1">
      <c r="A2692" t="e" cm="1" vm="1">
        <f t="array" aca="1" ref="A2692" ca="1">(ROW(A691:M2690))</f>
        <v>#VALUE!</v>
      </c>
    </row>
    <row r="2693" spans="1:1">
      <c r="A2693" t="e" cm="1" vm="1">
        <f t="array" aca="1" ref="A2693" ca="1">(ROW(A692:M2691))</f>
        <v>#VALUE!</v>
      </c>
    </row>
    <row r="2694" spans="1:1">
      <c r="A2694" t="e" cm="1" vm="1">
        <f t="array" aca="1" ref="A2694" ca="1">(ROW(A693:M2692))</f>
        <v>#VALUE!</v>
      </c>
    </row>
    <row r="2695" spans="1:1">
      <c r="A2695" t="e" cm="1" vm="1">
        <f t="array" aca="1" ref="A2695" ca="1">(ROW(A694:M2693))</f>
        <v>#VALUE!</v>
      </c>
    </row>
    <row r="2696" spans="1:1">
      <c r="A2696" t="e" cm="1" vm="1">
        <f t="array" aca="1" ref="A2696" ca="1">(ROW(A695:M2694))</f>
        <v>#VALUE!</v>
      </c>
    </row>
    <row r="2697" spans="1:1">
      <c r="A2697" t="e" cm="1" vm="1">
        <f t="array" aca="1" ref="A2697" ca="1">(ROW(A696:M2695))</f>
        <v>#VALUE!</v>
      </c>
    </row>
    <row r="2698" spans="1:1">
      <c r="A2698" t="e" cm="1" vm="1">
        <f t="array" aca="1" ref="A2698" ca="1">(ROW(A697:M2696))</f>
        <v>#VALUE!</v>
      </c>
    </row>
    <row r="2699" spans="1:1">
      <c r="A2699" t="e" cm="1" vm="1">
        <f t="array" aca="1" ref="A2699" ca="1">(ROW(A698:M2697))</f>
        <v>#VALUE!</v>
      </c>
    </row>
    <row r="2700" spans="1:1">
      <c r="A2700" t="e" cm="1" vm="1">
        <f t="array" aca="1" ref="A2700" ca="1">(ROW(A699:M2698))</f>
        <v>#VALUE!</v>
      </c>
    </row>
    <row r="2701" spans="1:1">
      <c r="A2701" t="e" cm="1" vm="1">
        <f t="array" aca="1" ref="A2701" ca="1">(ROW(A700:M2699))</f>
        <v>#VALUE!</v>
      </c>
    </row>
    <row r="2702" spans="1:1">
      <c r="A2702" t="e" cm="1" vm="1">
        <f t="array" aca="1" ref="A2702" ca="1">(ROW(A701:M2700))</f>
        <v>#VALUE!</v>
      </c>
    </row>
    <row r="2703" spans="1:1">
      <c r="A2703" t="e" cm="1" vm="1">
        <f t="array" aca="1" ref="A2703" ca="1">(ROW(A702:M2701))</f>
        <v>#VALUE!</v>
      </c>
    </row>
    <row r="2704" spans="1:1">
      <c r="A2704" t="e" cm="1" vm="1">
        <f t="array" aca="1" ref="A2704" ca="1">(ROW(A703:M2702))</f>
        <v>#VALUE!</v>
      </c>
    </row>
    <row r="2705" spans="1:1">
      <c r="A2705" t="e" cm="1" vm="1">
        <f t="array" aca="1" ref="A2705" ca="1">(ROW(A704:M2703))</f>
        <v>#VALUE!</v>
      </c>
    </row>
    <row r="2706" spans="1:1">
      <c r="A2706" t="e" cm="1" vm="1">
        <f t="array" aca="1" ref="A2706" ca="1">(ROW(A705:M2704))</f>
        <v>#VALUE!</v>
      </c>
    </row>
    <row r="2707" spans="1:1">
      <c r="A2707" t="e" cm="1" vm="1">
        <f t="array" aca="1" ref="A2707" ca="1">(ROW(A706:M2705))</f>
        <v>#VALUE!</v>
      </c>
    </row>
    <row r="2708" spans="1:1">
      <c r="A2708" t="e" cm="1" vm="1">
        <f t="array" aca="1" ref="A2708" ca="1">(ROW(A707:M2706))</f>
        <v>#VALUE!</v>
      </c>
    </row>
    <row r="2709" spans="1:1">
      <c r="A2709" t="e" cm="1" vm="1">
        <f t="array" aca="1" ref="A2709" ca="1">(ROW(A708:M2707))</f>
        <v>#VALUE!</v>
      </c>
    </row>
    <row r="2710" spans="1:1">
      <c r="A2710" t="e" cm="1" vm="1">
        <f t="array" aca="1" ref="A2710" ca="1">(ROW(A709:M2708))</f>
        <v>#VALUE!</v>
      </c>
    </row>
    <row r="2711" spans="1:1">
      <c r="A2711" t="e" cm="1" vm="1">
        <f t="array" aca="1" ref="A2711" ca="1">(ROW(A710:M2709))</f>
        <v>#VALUE!</v>
      </c>
    </row>
    <row r="2712" spans="1:1">
      <c r="A2712" t="e" cm="1" vm="1">
        <f t="array" aca="1" ref="A2712" ca="1">(ROW(A711:M2710))</f>
        <v>#VALUE!</v>
      </c>
    </row>
    <row r="2713" spans="1:1">
      <c r="A2713" t="e" cm="1" vm="1">
        <f t="array" aca="1" ref="A2713" ca="1">(ROW(A712:M2711))</f>
        <v>#VALUE!</v>
      </c>
    </row>
    <row r="2714" spans="1:1">
      <c r="A2714" t="e" cm="1" vm="1">
        <f t="array" aca="1" ref="A2714" ca="1">(ROW(A713:M2712))</f>
        <v>#VALUE!</v>
      </c>
    </row>
    <row r="2715" spans="1:1">
      <c r="A2715" t="e" cm="1" vm="1">
        <f t="array" aca="1" ref="A2715" ca="1">(ROW(A714:M2713))</f>
        <v>#VALUE!</v>
      </c>
    </row>
    <row r="2716" spans="1:1">
      <c r="A2716" t="e" cm="1" vm="1">
        <f t="array" aca="1" ref="A2716" ca="1">(ROW(A715:M2714))</f>
        <v>#VALUE!</v>
      </c>
    </row>
    <row r="2717" spans="1:1">
      <c r="A2717" t="e" cm="1" vm="1">
        <f t="array" aca="1" ref="A2717" ca="1">(ROW(A716:M2715))</f>
        <v>#VALUE!</v>
      </c>
    </row>
    <row r="2718" spans="1:1">
      <c r="A2718" t="e" cm="1" vm="1">
        <f t="array" aca="1" ref="A2718" ca="1">(ROW(A717:M2716))</f>
        <v>#VALUE!</v>
      </c>
    </row>
    <row r="2719" spans="1:1">
      <c r="A2719" t="e" cm="1" vm="1">
        <f t="array" aca="1" ref="A2719" ca="1">(ROW(A718:M2717))</f>
        <v>#VALUE!</v>
      </c>
    </row>
    <row r="2720" spans="1:1">
      <c r="A2720" t="e" cm="1" vm="1">
        <f t="array" aca="1" ref="A2720" ca="1">(ROW(A719:M2718))</f>
        <v>#VALUE!</v>
      </c>
    </row>
    <row r="2721" spans="1:1">
      <c r="A2721" t="e" cm="1" vm="1">
        <f t="array" aca="1" ref="A2721" ca="1">(ROW(A720:M2719))</f>
        <v>#VALUE!</v>
      </c>
    </row>
    <row r="2722" spans="1:1">
      <c r="A2722" t="e" cm="1" vm="1">
        <f t="array" aca="1" ref="A2722" ca="1">(ROW(A721:M2720))</f>
        <v>#VALUE!</v>
      </c>
    </row>
    <row r="2723" spans="1:1">
      <c r="A2723" t="e" cm="1" vm="1">
        <f t="array" aca="1" ref="A2723" ca="1">(ROW(A722:M2721))</f>
        <v>#VALUE!</v>
      </c>
    </row>
    <row r="2724" spans="1:1">
      <c r="A2724" t="e" cm="1" vm="1">
        <f t="array" aca="1" ref="A2724" ca="1">(ROW(A723:M2722))</f>
        <v>#VALUE!</v>
      </c>
    </row>
    <row r="2725" spans="1:1">
      <c r="A2725" t="e" cm="1" vm="1">
        <f t="array" aca="1" ref="A2725" ca="1">(ROW(A724:M2723))</f>
        <v>#VALUE!</v>
      </c>
    </row>
    <row r="2726" spans="1:1">
      <c r="A2726" t="e" cm="1" vm="1">
        <f t="array" aca="1" ref="A2726" ca="1">(ROW(A725:M2724))</f>
        <v>#VALUE!</v>
      </c>
    </row>
    <row r="2727" spans="1:1">
      <c r="A2727" t="e" cm="1" vm="1">
        <f t="array" aca="1" ref="A2727" ca="1">(ROW(A726:M2725))</f>
        <v>#VALUE!</v>
      </c>
    </row>
    <row r="2728" spans="1:1">
      <c r="A2728" t="e" cm="1" vm="1">
        <f t="array" aca="1" ref="A2728" ca="1">(ROW(A727:M2726))</f>
        <v>#VALUE!</v>
      </c>
    </row>
    <row r="2729" spans="1:1">
      <c r="A2729" t="e" cm="1" vm="1">
        <f t="array" aca="1" ref="A2729" ca="1">(ROW(A728:M2727))</f>
        <v>#VALUE!</v>
      </c>
    </row>
    <row r="2730" spans="1:1">
      <c r="A2730" t="e" cm="1" vm="1">
        <f t="array" aca="1" ref="A2730" ca="1">(ROW(A729:M2728))</f>
        <v>#VALUE!</v>
      </c>
    </row>
    <row r="2731" spans="1:1">
      <c r="A2731" t="e" cm="1" vm="1">
        <f t="array" aca="1" ref="A2731" ca="1">(ROW(A730:M2729))</f>
        <v>#VALUE!</v>
      </c>
    </row>
    <row r="2732" spans="1:1">
      <c r="A2732" t="e" cm="1" vm="1">
        <f t="array" aca="1" ref="A2732" ca="1">(ROW(A731:M2730))</f>
        <v>#VALUE!</v>
      </c>
    </row>
    <row r="2733" spans="1:1">
      <c r="A2733" t="e" cm="1" vm="1">
        <f t="array" aca="1" ref="A2733" ca="1">(ROW(A732:M2731))</f>
        <v>#VALUE!</v>
      </c>
    </row>
    <row r="2734" spans="1:1">
      <c r="A2734" t="e" cm="1" vm="1">
        <f t="array" aca="1" ref="A2734" ca="1">(ROW(A733:M2732))</f>
        <v>#VALUE!</v>
      </c>
    </row>
    <row r="2735" spans="1:1">
      <c r="A2735" t="e" cm="1" vm="1">
        <f t="array" aca="1" ref="A2735" ca="1">(ROW(A734:M2733))</f>
        <v>#VALUE!</v>
      </c>
    </row>
    <row r="2736" spans="1:1">
      <c r="A2736" t="e" cm="1" vm="1">
        <f t="array" aca="1" ref="A2736" ca="1">(ROW(A735:M2734))</f>
        <v>#VALUE!</v>
      </c>
    </row>
    <row r="2737" spans="1:1">
      <c r="A2737" t="e" cm="1" vm="1">
        <f t="array" aca="1" ref="A2737" ca="1">(ROW(A736:M2735))</f>
        <v>#VALUE!</v>
      </c>
    </row>
    <row r="2738" spans="1:1">
      <c r="A2738" t="e" cm="1" vm="1">
        <f t="array" aca="1" ref="A2738" ca="1">(ROW(A737:M2736))</f>
        <v>#VALUE!</v>
      </c>
    </row>
    <row r="2739" spans="1:1">
      <c r="A2739" t="e" cm="1" vm="1">
        <f t="array" aca="1" ref="A2739" ca="1">(ROW(A738:M2737))</f>
        <v>#VALUE!</v>
      </c>
    </row>
    <row r="2740" spans="1:1">
      <c r="A2740" t="e" cm="1" vm="1">
        <f t="array" aca="1" ref="A2740" ca="1">(ROW(A739:M2738))</f>
        <v>#VALUE!</v>
      </c>
    </row>
    <row r="2741" spans="1:1">
      <c r="A2741" t="e" cm="1" vm="1">
        <f t="array" aca="1" ref="A2741" ca="1">(ROW(A740:M2739))</f>
        <v>#VALUE!</v>
      </c>
    </row>
    <row r="2742" spans="1:1">
      <c r="A2742" t="e" cm="1" vm="1">
        <f t="array" aca="1" ref="A2742" ca="1">(ROW(A741:M2740))</f>
        <v>#VALUE!</v>
      </c>
    </row>
    <row r="2743" spans="1:1">
      <c r="A2743" t="e" cm="1" vm="1">
        <f t="array" aca="1" ref="A2743" ca="1">(ROW(A742:M2741))</f>
        <v>#VALUE!</v>
      </c>
    </row>
    <row r="2744" spans="1:1">
      <c r="A2744" t="e" cm="1" vm="1">
        <f t="array" aca="1" ref="A2744" ca="1">(ROW(A743:M2742))</f>
        <v>#VALUE!</v>
      </c>
    </row>
    <row r="2745" spans="1:1">
      <c r="A2745" t="e" cm="1" vm="1">
        <f t="array" aca="1" ref="A2745" ca="1">(ROW(A744:M2743))</f>
        <v>#VALUE!</v>
      </c>
    </row>
    <row r="2746" spans="1:1">
      <c r="A2746" t="e" cm="1" vm="1">
        <f t="array" aca="1" ref="A2746" ca="1">(ROW(A745:M2744))</f>
        <v>#VALUE!</v>
      </c>
    </row>
    <row r="2747" spans="1:1">
      <c r="A2747" t="e" cm="1" vm="1">
        <f t="array" aca="1" ref="A2747" ca="1">(ROW(A746:M2745))</f>
        <v>#VALUE!</v>
      </c>
    </row>
    <row r="2748" spans="1:1">
      <c r="A2748" t="e" cm="1" vm="1">
        <f t="array" aca="1" ref="A2748" ca="1">(ROW(A747:M2746))</f>
        <v>#VALUE!</v>
      </c>
    </row>
    <row r="2749" spans="1:1">
      <c r="A2749" t="e" cm="1" vm="1">
        <f t="array" aca="1" ref="A2749" ca="1">(ROW(A748:M2747))</f>
        <v>#VALUE!</v>
      </c>
    </row>
    <row r="2750" spans="1:1">
      <c r="A2750" t="e" cm="1" vm="1">
        <f t="array" aca="1" ref="A2750" ca="1">(ROW(A749:M2748))</f>
        <v>#VALUE!</v>
      </c>
    </row>
    <row r="2751" spans="1:1">
      <c r="A2751" t="e" cm="1" vm="1">
        <f t="array" aca="1" ref="A2751" ca="1">(ROW(A750:M2749))</f>
        <v>#VALUE!</v>
      </c>
    </row>
    <row r="2752" spans="1:1">
      <c r="A2752" t="e" cm="1" vm="1">
        <f t="array" aca="1" ref="A2752" ca="1">(ROW(A751:M2750))</f>
        <v>#VALUE!</v>
      </c>
    </row>
    <row r="2753" spans="1:1">
      <c r="A2753" t="e" cm="1" vm="1">
        <f t="array" aca="1" ref="A2753" ca="1">(ROW(A752:M2751))</f>
        <v>#VALUE!</v>
      </c>
    </row>
    <row r="2754" spans="1:1">
      <c r="A2754" t="e" cm="1" vm="1">
        <f t="array" aca="1" ref="A2754" ca="1">(ROW(A753:M2752))</f>
        <v>#VALUE!</v>
      </c>
    </row>
    <row r="2755" spans="1:1">
      <c r="A2755" t="e" cm="1" vm="1">
        <f t="array" aca="1" ref="A2755" ca="1">(ROW(A754:M2753))</f>
        <v>#VALUE!</v>
      </c>
    </row>
    <row r="2756" spans="1:1">
      <c r="A2756" t="e" cm="1" vm="1">
        <f t="array" aca="1" ref="A2756" ca="1">(ROW(A755:M2754))</f>
        <v>#VALUE!</v>
      </c>
    </row>
    <row r="2757" spans="1:1">
      <c r="A2757" t="e" cm="1" vm="1">
        <f t="array" aca="1" ref="A2757" ca="1">(ROW(A756:M2755))</f>
        <v>#VALUE!</v>
      </c>
    </row>
    <row r="2758" spans="1:1">
      <c r="A2758" t="e" cm="1" vm="1">
        <f t="array" aca="1" ref="A2758" ca="1">(ROW(A757:M2756))</f>
        <v>#VALUE!</v>
      </c>
    </row>
    <row r="2759" spans="1:1">
      <c r="A2759" t="e" cm="1" vm="1">
        <f t="array" aca="1" ref="A2759" ca="1">(ROW(A758:M2757))</f>
        <v>#VALUE!</v>
      </c>
    </row>
    <row r="2760" spans="1:1">
      <c r="A2760" t="e" cm="1" vm="1">
        <f t="array" aca="1" ref="A2760" ca="1">(ROW(A759:M2758))</f>
        <v>#VALUE!</v>
      </c>
    </row>
    <row r="2761" spans="1:1">
      <c r="A2761" t="e" cm="1" vm="1">
        <f t="array" aca="1" ref="A2761" ca="1">(ROW(A760:M2759))</f>
        <v>#VALUE!</v>
      </c>
    </row>
    <row r="2762" spans="1:1">
      <c r="A2762" t="e" cm="1" vm="1">
        <f t="array" aca="1" ref="A2762" ca="1">(ROW(A761:M2760))</f>
        <v>#VALUE!</v>
      </c>
    </row>
    <row r="2763" spans="1:1">
      <c r="A2763" t="e" cm="1" vm="1">
        <f t="array" aca="1" ref="A2763" ca="1">(ROW(A762:M2761))</f>
        <v>#VALUE!</v>
      </c>
    </row>
    <row r="2764" spans="1:1">
      <c r="A2764" t="e" cm="1" vm="1">
        <f t="array" aca="1" ref="A2764" ca="1">(ROW(A763:M2762))</f>
        <v>#VALUE!</v>
      </c>
    </row>
    <row r="2765" spans="1:1">
      <c r="A2765" t="e" cm="1" vm="1">
        <f t="array" aca="1" ref="A2765" ca="1">(ROW(A764:M2763))</f>
        <v>#VALUE!</v>
      </c>
    </row>
    <row r="2766" spans="1:1">
      <c r="A2766" t="e" cm="1" vm="1">
        <f t="array" aca="1" ref="A2766" ca="1">(ROW(A765:M2764))</f>
        <v>#VALUE!</v>
      </c>
    </row>
    <row r="2767" spans="1:1">
      <c r="A2767" t="e" cm="1" vm="1">
        <f t="array" aca="1" ref="A2767" ca="1">(ROW(A766:M2765))</f>
        <v>#VALUE!</v>
      </c>
    </row>
    <row r="2768" spans="1:1">
      <c r="A2768" t="e" cm="1" vm="1">
        <f t="array" aca="1" ref="A2768" ca="1">(ROW(A767:M2766))</f>
        <v>#VALUE!</v>
      </c>
    </row>
    <row r="2769" spans="1:1">
      <c r="A2769" t="e" cm="1" vm="1">
        <f t="array" aca="1" ref="A2769" ca="1">(ROW(A768:M2767))</f>
        <v>#VALUE!</v>
      </c>
    </row>
    <row r="2770" spans="1:1">
      <c r="A2770" t="e" cm="1" vm="1">
        <f t="array" aca="1" ref="A2770" ca="1">(ROW(A769:M2768))</f>
        <v>#VALUE!</v>
      </c>
    </row>
    <row r="2771" spans="1:1">
      <c r="A2771" t="e" cm="1" vm="1">
        <f t="array" aca="1" ref="A2771" ca="1">(ROW(A770:M2769))</f>
        <v>#VALUE!</v>
      </c>
    </row>
    <row r="2772" spans="1:1">
      <c r="A2772" t="e" cm="1" vm="1">
        <f t="array" aca="1" ref="A2772" ca="1">(ROW(A771:M2770))</f>
        <v>#VALUE!</v>
      </c>
    </row>
    <row r="2773" spans="1:1">
      <c r="A2773" t="e" cm="1" vm="1">
        <f t="array" aca="1" ref="A2773" ca="1">(ROW(A772:M2771))</f>
        <v>#VALUE!</v>
      </c>
    </row>
    <row r="2774" spans="1:1">
      <c r="A2774" t="e" cm="1" vm="1">
        <f t="array" aca="1" ref="A2774" ca="1">(ROW(A773:M2772))</f>
        <v>#VALUE!</v>
      </c>
    </row>
    <row r="2775" spans="1:1">
      <c r="A2775" t="e" cm="1" vm="1">
        <f t="array" aca="1" ref="A2775" ca="1">(ROW(A774:M2773))</f>
        <v>#VALUE!</v>
      </c>
    </row>
    <row r="2776" spans="1:1">
      <c r="A2776" t="e" cm="1" vm="1">
        <f t="array" aca="1" ref="A2776" ca="1">(ROW(A775:M2774))</f>
        <v>#VALUE!</v>
      </c>
    </row>
    <row r="2777" spans="1:1">
      <c r="A2777" t="e" cm="1" vm="1">
        <f t="array" aca="1" ref="A2777" ca="1">(ROW(A776:M2775))</f>
        <v>#VALUE!</v>
      </c>
    </row>
    <row r="2778" spans="1:1">
      <c r="A2778" t="e" cm="1" vm="1">
        <f t="array" aca="1" ref="A2778" ca="1">(ROW(A777:M2776))</f>
        <v>#VALUE!</v>
      </c>
    </row>
    <row r="2779" spans="1:1">
      <c r="A2779" t="e" cm="1" vm="1">
        <f t="array" aca="1" ref="A2779" ca="1">(ROW(A778:M2777))</f>
        <v>#VALUE!</v>
      </c>
    </row>
    <row r="2780" spans="1:1">
      <c r="A2780" t="e" cm="1" vm="1">
        <f t="array" aca="1" ref="A2780" ca="1">(ROW(A779:M2778))</f>
        <v>#VALUE!</v>
      </c>
    </row>
    <row r="2781" spans="1:1">
      <c r="A2781" t="e" cm="1" vm="1">
        <f t="array" aca="1" ref="A2781" ca="1">(ROW(A780:M2779))</f>
        <v>#VALUE!</v>
      </c>
    </row>
    <row r="2782" spans="1:1">
      <c r="A2782" t="e" cm="1" vm="1">
        <f t="array" aca="1" ref="A2782" ca="1">(ROW(A781:M2780))</f>
        <v>#VALUE!</v>
      </c>
    </row>
    <row r="2783" spans="1:1">
      <c r="A2783" t="e" cm="1" vm="1">
        <f t="array" aca="1" ref="A2783" ca="1">(ROW(A782:M2781))</f>
        <v>#VALUE!</v>
      </c>
    </row>
    <row r="2784" spans="1:1">
      <c r="A2784" t="e" cm="1" vm="1">
        <f t="array" aca="1" ref="A2784" ca="1">(ROW(A783:M2782))</f>
        <v>#VALUE!</v>
      </c>
    </row>
    <row r="2785" spans="1:1">
      <c r="A2785" t="e" cm="1" vm="1">
        <f t="array" aca="1" ref="A2785" ca="1">(ROW(A784:M2783))</f>
        <v>#VALUE!</v>
      </c>
    </row>
    <row r="2786" spans="1:1">
      <c r="A2786" t="e" cm="1" vm="1">
        <f t="array" aca="1" ref="A2786" ca="1">(ROW(A785:M2784))</f>
        <v>#VALUE!</v>
      </c>
    </row>
    <row r="2787" spans="1:1">
      <c r="A2787" t="e" cm="1" vm="1">
        <f t="array" aca="1" ref="A2787" ca="1">(ROW(A786:M2785))</f>
        <v>#VALUE!</v>
      </c>
    </row>
    <row r="2788" spans="1:1">
      <c r="A2788" t="e" cm="1" vm="1">
        <f t="array" aca="1" ref="A2788" ca="1">(ROW(A787:M2786))</f>
        <v>#VALUE!</v>
      </c>
    </row>
    <row r="2789" spans="1:1">
      <c r="A2789" t="e" cm="1" vm="1">
        <f t="array" aca="1" ref="A2789" ca="1">(ROW(A788:M2787))</f>
        <v>#VALUE!</v>
      </c>
    </row>
    <row r="2790" spans="1:1">
      <c r="A2790" t="e" cm="1" vm="1">
        <f t="array" aca="1" ref="A2790" ca="1">(ROW(A789:M2788))</f>
        <v>#VALUE!</v>
      </c>
    </row>
    <row r="2791" spans="1:1">
      <c r="A2791" t="e" cm="1" vm="1">
        <f t="array" aca="1" ref="A2791" ca="1">(ROW(A790:M2789))</f>
        <v>#VALUE!</v>
      </c>
    </row>
    <row r="2792" spans="1:1">
      <c r="A2792" t="e" cm="1" vm="1">
        <f t="array" aca="1" ref="A2792" ca="1">(ROW(A791:M2790))</f>
        <v>#VALUE!</v>
      </c>
    </row>
    <row r="2793" spans="1:1">
      <c r="A2793" t="e" cm="1" vm="1">
        <f t="array" aca="1" ref="A2793" ca="1">(ROW(A792:M2791))</f>
        <v>#VALUE!</v>
      </c>
    </row>
    <row r="2794" spans="1:1">
      <c r="A2794" t="e" cm="1" vm="1">
        <f t="array" aca="1" ref="A2794" ca="1">(ROW(A793:M2792))</f>
        <v>#VALUE!</v>
      </c>
    </row>
    <row r="2795" spans="1:1">
      <c r="A2795" t="e" cm="1" vm="1">
        <f t="array" aca="1" ref="A2795" ca="1">(ROW(A794:M2793))</f>
        <v>#VALUE!</v>
      </c>
    </row>
    <row r="2796" spans="1:1">
      <c r="A2796" t="e" cm="1" vm="1">
        <f t="array" aca="1" ref="A2796" ca="1">(ROW(A795:M2794))</f>
        <v>#VALUE!</v>
      </c>
    </row>
    <row r="2797" spans="1:1">
      <c r="A2797" t="e" cm="1" vm="1">
        <f t="array" aca="1" ref="A2797" ca="1">(ROW(A796:M2795))</f>
        <v>#VALUE!</v>
      </c>
    </row>
    <row r="2798" spans="1:1">
      <c r="A2798" t="e" cm="1" vm="1">
        <f t="array" aca="1" ref="A2798" ca="1">(ROW(A797:M2796))</f>
        <v>#VALUE!</v>
      </c>
    </row>
    <row r="2799" spans="1:1">
      <c r="A2799" t="e" cm="1" vm="1">
        <f t="array" aca="1" ref="A2799" ca="1">(ROW(A798:M2797))</f>
        <v>#VALUE!</v>
      </c>
    </row>
    <row r="2800" spans="1:1">
      <c r="A2800" t="e" cm="1" vm="1">
        <f t="array" aca="1" ref="A2800" ca="1">(ROW(A799:M2798))</f>
        <v>#VALUE!</v>
      </c>
    </row>
    <row r="2801" spans="1:1">
      <c r="A2801" t="e" cm="1" vm="1">
        <f t="array" aca="1" ref="A2801" ca="1">(ROW(A800:M2799))</f>
        <v>#VALUE!</v>
      </c>
    </row>
    <row r="2802" spans="1:1">
      <c r="A2802" t="e" cm="1" vm="1">
        <f t="array" aca="1" ref="A2802" ca="1">(ROW(A801:M2800))</f>
        <v>#VALUE!</v>
      </c>
    </row>
    <row r="2803" spans="1:1">
      <c r="A2803" t="e" cm="1" vm="1">
        <f t="array" aca="1" ref="A2803" ca="1">(ROW(A802:M2801))</f>
        <v>#VALUE!</v>
      </c>
    </row>
    <row r="2804" spans="1:1">
      <c r="A2804" t="e" cm="1" vm="1">
        <f t="array" aca="1" ref="A2804" ca="1">(ROW(A803:M2802))</f>
        <v>#VALUE!</v>
      </c>
    </row>
    <row r="2805" spans="1:1">
      <c r="A2805" t="e" cm="1" vm="1">
        <f t="array" aca="1" ref="A2805" ca="1">(ROW(A804:M2803))</f>
        <v>#VALUE!</v>
      </c>
    </row>
    <row r="2806" spans="1:1">
      <c r="A2806" t="e" cm="1" vm="1">
        <f t="array" aca="1" ref="A2806" ca="1">(ROW(A805:M2804))</f>
        <v>#VALUE!</v>
      </c>
    </row>
    <row r="2807" spans="1:1">
      <c r="A2807" t="e" cm="1" vm="1">
        <f t="array" aca="1" ref="A2807" ca="1">(ROW(A806:M2805))</f>
        <v>#VALUE!</v>
      </c>
    </row>
    <row r="2808" spans="1:1">
      <c r="A2808" t="e" cm="1" vm="1">
        <f t="array" aca="1" ref="A2808" ca="1">(ROW(A807:M2806))</f>
        <v>#VALUE!</v>
      </c>
    </row>
    <row r="2809" spans="1:1">
      <c r="A2809" t="e" cm="1" vm="1">
        <f t="array" aca="1" ref="A2809" ca="1">(ROW(A808:M2807))</f>
        <v>#VALUE!</v>
      </c>
    </row>
    <row r="2810" spans="1:1">
      <c r="A2810" t="e" cm="1" vm="1">
        <f t="array" aca="1" ref="A2810" ca="1">(ROW(A809:M2808))</f>
        <v>#VALUE!</v>
      </c>
    </row>
    <row r="2811" spans="1:1">
      <c r="A2811" t="e" cm="1" vm="1">
        <f t="array" aca="1" ref="A2811" ca="1">(ROW(A810:M2809))</f>
        <v>#VALUE!</v>
      </c>
    </row>
    <row r="2812" spans="1:1">
      <c r="A2812" t="e" cm="1" vm="1">
        <f t="array" aca="1" ref="A2812" ca="1">(ROW(A811:M2810))</f>
        <v>#VALUE!</v>
      </c>
    </row>
    <row r="2813" spans="1:1">
      <c r="A2813" t="e" cm="1" vm="1">
        <f t="array" aca="1" ref="A2813" ca="1">(ROW(A812:M2811))</f>
        <v>#VALUE!</v>
      </c>
    </row>
    <row r="2814" spans="1:1">
      <c r="A2814" t="e" cm="1" vm="1">
        <f t="array" aca="1" ref="A2814" ca="1">(ROW(A813:M2812))</f>
        <v>#VALUE!</v>
      </c>
    </row>
    <row r="2815" spans="1:1">
      <c r="A2815" t="e" cm="1" vm="1">
        <f t="array" aca="1" ref="A2815" ca="1">(ROW(A814:M2813))</f>
        <v>#VALUE!</v>
      </c>
    </row>
    <row r="2816" spans="1:1">
      <c r="A2816" t="e" cm="1" vm="1">
        <f t="array" aca="1" ref="A2816" ca="1">(ROW(A815:M2814))</f>
        <v>#VALUE!</v>
      </c>
    </row>
    <row r="2817" spans="1:1">
      <c r="A2817" t="e" cm="1" vm="1">
        <f t="array" aca="1" ref="A2817" ca="1">(ROW(A816:M2815))</f>
        <v>#VALUE!</v>
      </c>
    </row>
    <row r="2818" spans="1:1">
      <c r="A2818" t="e" cm="1" vm="1">
        <f t="array" aca="1" ref="A2818" ca="1">(ROW(A817:M2816))</f>
        <v>#VALUE!</v>
      </c>
    </row>
    <row r="2819" spans="1:1">
      <c r="A2819" t="e" cm="1" vm="1">
        <f t="array" aca="1" ref="A2819" ca="1">(ROW(A818:M2817))</f>
        <v>#VALUE!</v>
      </c>
    </row>
    <row r="2820" spans="1:1">
      <c r="A2820" t="e" cm="1" vm="1">
        <f t="array" aca="1" ref="A2820" ca="1">(ROW(A819:M2818))</f>
        <v>#VALUE!</v>
      </c>
    </row>
    <row r="2821" spans="1:1">
      <c r="A2821" t="e" cm="1" vm="1">
        <f t="array" aca="1" ref="A2821" ca="1">(ROW(A820:M2819))</f>
        <v>#VALUE!</v>
      </c>
    </row>
    <row r="2822" spans="1:1">
      <c r="A2822" t="e" cm="1" vm="1">
        <f t="array" aca="1" ref="A2822" ca="1">(ROW(A821:M2820))</f>
        <v>#VALUE!</v>
      </c>
    </row>
    <row r="2823" spans="1:1">
      <c r="A2823" t="e" cm="1" vm="1">
        <f t="array" aca="1" ref="A2823" ca="1">(ROW(A822:M2821))</f>
        <v>#VALUE!</v>
      </c>
    </row>
    <row r="2824" spans="1:1">
      <c r="A2824" t="e" cm="1" vm="1">
        <f t="array" aca="1" ref="A2824" ca="1">(ROW(A823:M2822))</f>
        <v>#VALUE!</v>
      </c>
    </row>
    <row r="2825" spans="1:1">
      <c r="A2825" t="e" cm="1" vm="1">
        <f t="array" aca="1" ref="A2825" ca="1">(ROW(A824:M2823))</f>
        <v>#VALUE!</v>
      </c>
    </row>
    <row r="2826" spans="1:1">
      <c r="A2826" t="e" cm="1" vm="1">
        <f t="array" aca="1" ref="A2826" ca="1">(ROW(A825:M2824))</f>
        <v>#VALUE!</v>
      </c>
    </row>
    <row r="2827" spans="1:1">
      <c r="A2827" t="e" cm="1" vm="1">
        <f t="array" aca="1" ref="A2827" ca="1">(ROW(A826:M2825))</f>
        <v>#VALUE!</v>
      </c>
    </row>
    <row r="2828" spans="1:1">
      <c r="A2828" t="e" cm="1" vm="1">
        <f t="array" aca="1" ref="A2828" ca="1">(ROW(A827:M2826))</f>
        <v>#VALUE!</v>
      </c>
    </row>
    <row r="2829" spans="1:1">
      <c r="A2829" t="e" cm="1" vm="1">
        <f t="array" aca="1" ref="A2829" ca="1">(ROW(A828:M2827))</f>
        <v>#VALUE!</v>
      </c>
    </row>
    <row r="2830" spans="1:1">
      <c r="A2830" t="e" cm="1" vm="1">
        <f t="array" aca="1" ref="A2830" ca="1">(ROW(A829:M2828))</f>
        <v>#VALUE!</v>
      </c>
    </row>
    <row r="2831" spans="1:1">
      <c r="A2831" t="e" cm="1" vm="1">
        <f t="array" aca="1" ref="A2831" ca="1">(ROW(A830:M2829))</f>
        <v>#VALUE!</v>
      </c>
    </row>
    <row r="2832" spans="1:1">
      <c r="A2832" t="e" cm="1" vm="1">
        <f t="array" aca="1" ref="A2832" ca="1">(ROW(A831:M2830))</f>
        <v>#VALUE!</v>
      </c>
    </row>
    <row r="2833" spans="1:1">
      <c r="A2833" t="e" cm="1" vm="1">
        <f t="array" aca="1" ref="A2833" ca="1">(ROW(A832:M2831))</f>
        <v>#VALUE!</v>
      </c>
    </row>
    <row r="2834" spans="1:1">
      <c r="A2834" t="e" cm="1" vm="1">
        <f t="array" aca="1" ref="A2834" ca="1">(ROW(A833:M2832))</f>
        <v>#VALUE!</v>
      </c>
    </row>
    <row r="2835" spans="1:1">
      <c r="A2835" t="e" cm="1" vm="1">
        <f t="array" aca="1" ref="A2835" ca="1">(ROW(A834:M2833))</f>
        <v>#VALUE!</v>
      </c>
    </row>
    <row r="2836" spans="1:1">
      <c r="A2836" t="e" cm="1" vm="1">
        <f t="array" aca="1" ref="A2836" ca="1">(ROW(A835:M2834))</f>
        <v>#VALUE!</v>
      </c>
    </row>
    <row r="2837" spans="1:1">
      <c r="A2837" t="e" cm="1" vm="1">
        <f t="array" aca="1" ref="A2837" ca="1">(ROW(A836:M2835))</f>
        <v>#VALUE!</v>
      </c>
    </row>
    <row r="2838" spans="1:1">
      <c r="A2838" t="e" cm="1" vm="1">
        <f t="array" aca="1" ref="A2838" ca="1">(ROW(A837:M2836))</f>
        <v>#VALUE!</v>
      </c>
    </row>
    <row r="2839" spans="1:1">
      <c r="A2839" t="e" cm="1" vm="1">
        <f t="array" aca="1" ref="A2839" ca="1">(ROW(A838:M2837))</f>
        <v>#VALUE!</v>
      </c>
    </row>
    <row r="2840" spans="1:1">
      <c r="A2840" t="e" cm="1" vm="1">
        <f t="array" aca="1" ref="A2840" ca="1">(ROW(A839:M2838))</f>
        <v>#VALUE!</v>
      </c>
    </row>
    <row r="2841" spans="1:1">
      <c r="A2841" t="e" cm="1" vm="1">
        <f t="array" aca="1" ref="A2841" ca="1">(ROW(A840:M2839))</f>
        <v>#VALUE!</v>
      </c>
    </row>
    <row r="2842" spans="1:1">
      <c r="A2842" t="e" cm="1" vm="1">
        <f t="array" aca="1" ref="A2842" ca="1">(ROW(A841:M2840))</f>
        <v>#VALUE!</v>
      </c>
    </row>
    <row r="2843" spans="1:1">
      <c r="A2843" t="e" cm="1" vm="1">
        <f t="array" aca="1" ref="A2843" ca="1">(ROW(A842:M2841))</f>
        <v>#VALUE!</v>
      </c>
    </row>
    <row r="2844" spans="1:1">
      <c r="A2844" t="e" cm="1" vm="1">
        <f t="array" aca="1" ref="A2844" ca="1">(ROW(A843:M2842))</f>
        <v>#VALUE!</v>
      </c>
    </row>
    <row r="2845" spans="1:1">
      <c r="A2845" t="e" cm="1" vm="1">
        <f t="array" aca="1" ref="A2845" ca="1">(ROW(A844:M2843))</f>
        <v>#VALUE!</v>
      </c>
    </row>
    <row r="2846" spans="1:1">
      <c r="A2846" t="e" cm="1" vm="1">
        <f t="array" aca="1" ref="A2846" ca="1">(ROW(A845:M2844))</f>
        <v>#VALUE!</v>
      </c>
    </row>
    <row r="2847" spans="1:1">
      <c r="A2847" t="e" cm="1" vm="1">
        <f t="array" aca="1" ref="A2847" ca="1">(ROW(A846:M2845))</f>
        <v>#VALUE!</v>
      </c>
    </row>
    <row r="2848" spans="1:1">
      <c r="A2848" t="e" cm="1" vm="1">
        <f t="array" aca="1" ref="A2848" ca="1">(ROW(A847:M2846))</f>
        <v>#VALUE!</v>
      </c>
    </row>
    <row r="2849" spans="1:1">
      <c r="A2849" t="e" cm="1" vm="1">
        <f t="array" aca="1" ref="A2849" ca="1">(ROW(A848:M2847))</f>
        <v>#VALUE!</v>
      </c>
    </row>
    <row r="2850" spans="1:1">
      <c r="A2850" t="e" cm="1" vm="1">
        <f t="array" aca="1" ref="A2850" ca="1">(ROW(A849:M2848))</f>
        <v>#VALUE!</v>
      </c>
    </row>
    <row r="2851" spans="1:1">
      <c r="A2851" t="e" cm="1" vm="1">
        <f t="array" aca="1" ref="A2851" ca="1">(ROW(A850:M2849))</f>
        <v>#VALUE!</v>
      </c>
    </row>
    <row r="2852" spans="1:1">
      <c r="A2852" t="e" cm="1" vm="1">
        <f t="array" aca="1" ref="A2852" ca="1">(ROW(A851:M2850))</f>
        <v>#VALUE!</v>
      </c>
    </row>
    <row r="2853" spans="1:1">
      <c r="A2853" t="e" cm="1" vm="1">
        <f t="array" aca="1" ref="A2853" ca="1">(ROW(A852:M2851))</f>
        <v>#VALUE!</v>
      </c>
    </row>
    <row r="2854" spans="1:1">
      <c r="A2854" t="e" cm="1" vm="1">
        <f t="array" aca="1" ref="A2854" ca="1">(ROW(A853:M2852))</f>
        <v>#VALUE!</v>
      </c>
    </row>
    <row r="2855" spans="1:1">
      <c r="A2855" t="e" cm="1" vm="1">
        <f t="array" aca="1" ref="A2855" ca="1">(ROW(A854:M2853))</f>
        <v>#VALUE!</v>
      </c>
    </row>
    <row r="2856" spans="1:1">
      <c r="A2856" t="e" cm="1" vm="1">
        <f t="array" aca="1" ref="A2856" ca="1">(ROW(A855:M2854))</f>
        <v>#VALUE!</v>
      </c>
    </row>
    <row r="2857" spans="1:1">
      <c r="A2857" t="e" cm="1" vm="1">
        <f t="array" aca="1" ref="A2857" ca="1">(ROW(A856:M2855))</f>
        <v>#VALUE!</v>
      </c>
    </row>
    <row r="2858" spans="1:1">
      <c r="A2858" t="e" cm="1" vm="1">
        <f t="array" aca="1" ref="A2858" ca="1">(ROW(A857:M2856))</f>
        <v>#VALUE!</v>
      </c>
    </row>
    <row r="2859" spans="1:1">
      <c r="A2859" t="e" cm="1" vm="1">
        <f t="array" aca="1" ref="A2859" ca="1">(ROW(A858:M2857))</f>
        <v>#VALUE!</v>
      </c>
    </row>
    <row r="2860" spans="1:1">
      <c r="A2860" t="e" cm="1" vm="1">
        <f t="array" aca="1" ref="A2860" ca="1">(ROW(A859:M2858))</f>
        <v>#VALUE!</v>
      </c>
    </row>
    <row r="2861" spans="1:1">
      <c r="A2861" t="e" cm="1" vm="1">
        <f t="array" aca="1" ref="A2861" ca="1">(ROW(A860:M2859))</f>
        <v>#VALUE!</v>
      </c>
    </row>
    <row r="2862" spans="1:1">
      <c r="A2862" t="e" cm="1" vm="1">
        <f t="array" aca="1" ref="A2862" ca="1">(ROW(A861:M2860))</f>
        <v>#VALUE!</v>
      </c>
    </row>
    <row r="2863" spans="1:1">
      <c r="A2863" t="e" cm="1" vm="1">
        <f t="array" aca="1" ref="A2863" ca="1">(ROW(A862:M2861))</f>
        <v>#VALUE!</v>
      </c>
    </row>
    <row r="2864" spans="1:1">
      <c r="A2864" t="e" cm="1" vm="1">
        <f t="array" aca="1" ref="A2864" ca="1">(ROW(A863:M2862))</f>
        <v>#VALUE!</v>
      </c>
    </row>
    <row r="2865" spans="1:1">
      <c r="A2865" t="e" cm="1" vm="1">
        <f t="array" aca="1" ref="A2865" ca="1">(ROW(A864:M2863))</f>
        <v>#VALUE!</v>
      </c>
    </row>
    <row r="2866" spans="1:1">
      <c r="A2866" t="e" cm="1" vm="1">
        <f t="array" aca="1" ref="A2866" ca="1">(ROW(A865:M2864))</f>
        <v>#VALUE!</v>
      </c>
    </row>
    <row r="2867" spans="1:1">
      <c r="A2867" t="e" cm="1" vm="1">
        <f t="array" aca="1" ref="A2867" ca="1">(ROW(A866:M2865))</f>
        <v>#VALUE!</v>
      </c>
    </row>
    <row r="2868" spans="1:1">
      <c r="A2868" t="e" cm="1" vm="1">
        <f t="array" aca="1" ref="A2868" ca="1">(ROW(A867:M2866))</f>
        <v>#VALUE!</v>
      </c>
    </row>
    <row r="2869" spans="1:1">
      <c r="A2869" t="e" cm="1" vm="1">
        <f t="array" aca="1" ref="A2869" ca="1">(ROW(A868:M2867))</f>
        <v>#VALUE!</v>
      </c>
    </row>
    <row r="2870" spans="1:1">
      <c r="A2870" t="e" cm="1" vm="1">
        <f t="array" aca="1" ref="A2870" ca="1">(ROW(A869:M2868))</f>
        <v>#VALUE!</v>
      </c>
    </row>
    <row r="2871" spans="1:1">
      <c r="A2871" t="e" cm="1" vm="1">
        <f t="array" aca="1" ref="A2871" ca="1">(ROW(A870:M2869))</f>
        <v>#VALUE!</v>
      </c>
    </row>
    <row r="2872" spans="1:1">
      <c r="A2872" t="e" cm="1" vm="1">
        <f t="array" aca="1" ref="A2872" ca="1">(ROW(A871:M2870))</f>
        <v>#VALUE!</v>
      </c>
    </row>
    <row r="2873" spans="1:1">
      <c r="A2873" t="e" cm="1" vm="1">
        <f t="array" aca="1" ref="A2873" ca="1">(ROW(A872:M2871))</f>
        <v>#VALUE!</v>
      </c>
    </row>
    <row r="2874" spans="1:1">
      <c r="A2874" t="e" cm="1" vm="1">
        <f t="array" aca="1" ref="A2874" ca="1">(ROW(A873:M2872))</f>
        <v>#VALUE!</v>
      </c>
    </row>
    <row r="2875" spans="1:1">
      <c r="A2875" t="e" cm="1" vm="1">
        <f t="array" aca="1" ref="A2875" ca="1">(ROW(A874:M2873))</f>
        <v>#VALUE!</v>
      </c>
    </row>
    <row r="2876" spans="1:1">
      <c r="A2876" t="e" cm="1" vm="1">
        <f t="array" aca="1" ref="A2876" ca="1">(ROW(A875:M2874))</f>
        <v>#VALUE!</v>
      </c>
    </row>
    <row r="2877" spans="1:1">
      <c r="A2877" t="e" cm="1" vm="1">
        <f t="array" aca="1" ref="A2877" ca="1">(ROW(A876:M2875))</f>
        <v>#VALUE!</v>
      </c>
    </row>
    <row r="2878" spans="1:1">
      <c r="A2878" t="e" cm="1" vm="1">
        <f t="array" aca="1" ref="A2878" ca="1">(ROW(A877:M2876))</f>
        <v>#VALUE!</v>
      </c>
    </row>
    <row r="2879" spans="1:1">
      <c r="A2879" t="e" cm="1" vm="1">
        <f t="array" aca="1" ref="A2879" ca="1">(ROW(A878:M2877))</f>
        <v>#VALUE!</v>
      </c>
    </row>
    <row r="2880" spans="1:1">
      <c r="A2880" t="e" cm="1" vm="1">
        <f t="array" aca="1" ref="A2880" ca="1">(ROW(A879:M2878))</f>
        <v>#VALUE!</v>
      </c>
    </row>
    <row r="2881" spans="1:1">
      <c r="A2881" t="e" cm="1" vm="1">
        <f t="array" aca="1" ref="A2881" ca="1">(ROW(A880:M2879))</f>
        <v>#VALUE!</v>
      </c>
    </row>
    <row r="2882" spans="1:1">
      <c r="A2882" t="e" cm="1" vm="1">
        <f t="array" aca="1" ref="A2882" ca="1">(ROW(A881:M2880))</f>
        <v>#VALUE!</v>
      </c>
    </row>
    <row r="2883" spans="1:1">
      <c r="A2883" t="e" cm="1" vm="1">
        <f t="array" aca="1" ref="A2883" ca="1">(ROW(A882:M2881))</f>
        <v>#VALUE!</v>
      </c>
    </row>
    <row r="2884" spans="1:1">
      <c r="A2884" t="e" cm="1" vm="1">
        <f t="array" aca="1" ref="A2884" ca="1">(ROW(A883:M2882))</f>
        <v>#VALUE!</v>
      </c>
    </row>
    <row r="2885" spans="1:1">
      <c r="A2885" t="e" cm="1" vm="1">
        <f t="array" aca="1" ref="A2885" ca="1">(ROW(A884:M2883))</f>
        <v>#VALUE!</v>
      </c>
    </row>
    <row r="2886" spans="1:1">
      <c r="A2886" t="e" cm="1" vm="1">
        <f t="array" aca="1" ref="A2886" ca="1">(ROW(A885:M2884))</f>
        <v>#VALUE!</v>
      </c>
    </row>
    <row r="2887" spans="1:1">
      <c r="A2887" t="e" cm="1" vm="1">
        <f t="array" aca="1" ref="A2887" ca="1">(ROW(A886:M2885))</f>
        <v>#VALUE!</v>
      </c>
    </row>
    <row r="2888" spans="1:1">
      <c r="A2888" t="e" cm="1" vm="1">
        <f t="array" aca="1" ref="A2888" ca="1">(ROW(A887:M2886))</f>
        <v>#VALUE!</v>
      </c>
    </row>
    <row r="2889" spans="1:1">
      <c r="A2889" t="e" cm="1" vm="1">
        <f t="array" aca="1" ref="A2889" ca="1">(ROW(A888:M2887))</f>
        <v>#VALUE!</v>
      </c>
    </row>
    <row r="2890" spans="1:1">
      <c r="A2890" t="e" cm="1" vm="1">
        <f t="array" aca="1" ref="A2890" ca="1">(ROW(A889:M2888))</f>
        <v>#VALUE!</v>
      </c>
    </row>
    <row r="2891" spans="1:1">
      <c r="A2891" t="e" cm="1" vm="1">
        <f t="array" aca="1" ref="A2891" ca="1">(ROW(A890:M2889))</f>
        <v>#VALUE!</v>
      </c>
    </row>
    <row r="2892" spans="1:1">
      <c r="A2892" t="e" cm="1" vm="1">
        <f t="array" aca="1" ref="A2892" ca="1">(ROW(A891:M2890))</f>
        <v>#VALUE!</v>
      </c>
    </row>
    <row r="2893" spans="1:1">
      <c r="A2893" t="e" cm="1" vm="1">
        <f t="array" aca="1" ref="A2893" ca="1">(ROW(A892:M2891))</f>
        <v>#VALUE!</v>
      </c>
    </row>
    <row r="2894" spans="1:1">
      <c r="A2894" t="e" cm="1" vm="1">
        <f t="array" aca="1" ref="A2894" ca="1">(ROW(A893:M2892))</f>
        <v>#VALUE!</v>
      </c>
    </row>
    <row r="2895" spans="1:1">
      <c r="A2895" t="e" cm="1" vm="1">
        <f t="array" aca="1" ref="A2895" ca="1">(ROW(A894:M2893))</f>
        <v>#VALUE!</v>
      </c>
    </row>
    <row r="2896" spans="1:1">
      <c r="A2896" t="e" cm="1" vm="1">
        <f t="array" aca="1" ref="A2896" ca="1">(ROW(A895:M2894))</f>
        <v>#VALUE!</v>
      </c>
    </row>
    <row r="2897" spans="1:1">
      <c r="A2897" t="e" cm="1" vm="1">
        <f t="array" aca="1" ref="A2897" ca="1">(ROW(A896:M2895))</f>
        <v>#VALUE!</v>
      </c>
    </row>
    <row r="2898" spans="1:1">
      <c r="A2898" t="e" cm="1" vm="1">
        <f t="array" aca="1" ref="A2898" ca="1">(ROW(A897:M2896))</f>
        <v>#VALUE!</v>
      </c>
    </row>
    <row r="2899" spans="1:1">
      <c r="A2899" t="e" cm="1" vm="1">
        <f t="array" aca="1" ref="A2899" ca="1">(ROW(A898:M2897))</f>
        <v>#VALUE!</v>
      </c>
    </row>
    <row r="2900" spans="1:1">
      <c r="A2900" t="e" cm="1" vm="1">
        <f t="array" aca="1" ref="A2900" ca="1">(ROW(A899:M2898))</f>
        <v>#VALUE!</v>
      </c>
    </row>
    <row r="2901" spans="1:1">
      <c r="A2901" t="e" cm="1" vm="1">
        <f t="array" aca="1" ref="A2901" ca="1">(ROW(A900:M2899))</f>
        <v>#VALUE!</v>
      </c>
    </row>
    <row r="2902" spans="1:1">
      <c r="A2902" t="e" cm="1" vm="1">
        <f t="array" aca="1" ref="A2902" ca="1">(ROW(A901:M2900))</f>
        <v>#VALUE!</v>
      </c>
    </row>
    <row r="2903" spans="1:1">
      <c r="A2903" t="e" cm="1" vm="1">
        <f t="array" aca="1" ref="A2903" ca="1">(ROW(A902:M2901))</f>
        <v>#VALUE!</v>
      </c>
    </row>
    <row r="2904" spans="1:1">
      <c r="A2904" t="e" cm="1" vm="1">
        <f t="array" aca="1" ref="A2904" ca="1">(ROW(A903:M2902))</f>
        <v>#VALUE!</v>
      </c>
    </row>
    <row r="2905" spans="1:1">
      <c r="A2905" t="e" cm="1" vm="1">
        <f t="array" aca="1" ref="A2905" ca="1">(ROW(A904:M2903))</f>
        <v>#VALUE!</v>
      </c>
    </row>
    <row r="2906" spans="1:1">
      <c r="A2906" t="e" cm="1" vm="1">
        <f t="array" aca="1" ref="A2906" ca="1">(ROW(A905:M2904))</f>
        <v>#VALUE!</v>
      </c>
    </row>
    <row r="2907" spans="1:1">
      <c r="A2907" t="e" cm="1" vm="1">
        <f t="array" aca="1" ref="A2907" ca="1">(ROW(A906:M2905))</f>
        <v>#VALUE!</v>
      </c>
    </row>
    <row r="2908" spans="1:1">
      <c r="A2908" t="e" cm="1" vm="1">
        <f t="array" aca="1" ref="A2908" ca="1">(ROW(A907:M2906))</f>
        <v>#VALUE!</v>
      </c>
    </row>
    <row r="2909" spans="1:1">
      <c r="A2909" t="e" cm="1" vm="1">
        <f t="array" aca="1" ref="A2909" ca="1">(ROW(A908:M2907))</f>
        <v>#VALUE!</v>
      </c>
    </row>
    <row r="2910" spans="1:1">
      <c r="A2910" t="e" cm="1" vm="1">
        <f t="array" aca="1" ref="A2910" ca="1">(ROW(A909:M2908))</f>
        <v>#VALUE!</v>
      </c>
    </row>
    <row r="2911" spans="1:1">
      <c r="A2911" t="e" cm="1" vm="1">
        <f t="array" aca="1" ref="A2911" ca="1">(ROW(A910:M2909))</f>
        <v>#VALUE!</v>
      </c>
    </row>
    <row r="2912" spans="1:1">
      <c r="A2912" t="e" cm="1" vm="1">
        <f t="array" aca="1" ref="A2912" ca="1">(ROW(A911:M2910))</f>
        <v>#VALUE!</v>
      </c>
    </row>
    <row r="2913" spans="1:1">
      <c r="A2913" t="e" cm="1" vm="1">
        <f t="array" aca="1" ref="A2913" ca="1">(ROW(A912:M2911))</f>
        <v>#VALUE!</v>
      </c>
    </row>
    <row r="2914" spans="1:1">
      <c r="A2914" t="e" cm="1" vm="1">
        <f t="array" aca="1" ref="A2914" ca="1">(ROW(A913:M2912))</f>
        <v>#VALUE!</v>
      </c>
    </row>
    <row r="2915" spans="1:1">
      <c r="A2915" t="e" cm="1" vm="1">
        <f t="array" aca="1" ref="A2915" ca="1">(ROW(A914:M2913))</f>
        <v>#VALUE!</v>
      </c>
    </row>
    <row r="2916" spans="1:1">
      <c r="A2916" t="e" cm="1" vm="1">
        <f t="array" aca="1" ref="A2916" ca="1">(ROW(A915:M2914))</f>
        <v>#VALUE!</v>
      </c>
    </row>
    <row r="2917" spans="1:1">
      <c r="A2917" t="e" cm="1" vm="1">
        <f t="array" aca="1" ref="A2917" ca="1">(ROW(A916:M2915))</f>
        <v>#VALUE!</v>
      </c>
    </row>
    <row r="2918" spans="1:1">
      <c r="A2918" t="e" cm="1" vm="1">
        <f t="array" aca="1" ref="A2918" ca="1">(ROW(A917:M2916))</f>
        <v>#VALUE!</v>
      </c>
    </row>
    <row r="2919" spans="1:1">
      <c r="A2919" t="e" cm="1" vm="1">
        <f t="array" aca="1" ref="A2919" ca="1">(ROW(A918:M2917))</f>
        <v>#VALUE!</v>
      </c>
    </row>
    <row r="2920" spans="1:1">
      <c r="A2920" t="e" cm="1" vm="1">
        <f t="array" aca="1" ref="A2920" ca="1">(ROW(A919:M2918))</f>
        <v>#VALUE!</v>
      </c>
    </row>
    <row r="2921" spans="1:1">
      <c r="A2921" t="e" cm="1" vm="1">
        <f t="array" aca="1" ref="A2921" ca="1">(ROW(A920:M2919))</f>
        <v>#VALUE!</v>
      </c>
    </row>
    <row r="2922" spans="1:1">
      <c r="A2922" t="e" cm="1" vm="1">
        <f t="array" aca="1" ref="A2922" ca="1">(ROW(A921:M2920))</f>
        <v>#VALUE!</v>
      </c>
    </row>
    <row r="2923" spans="1:1">
      <c r="A2923" t="e" cm="1" vm="1">
        <f t="array" aca="1" ref="A2923" ca="1">(ROW(A922:M2921))</f>
        <v>#VALUE!</v>
      </c>
    </row>
    <row r="2924" spans="1:1">
      <c r="A2924" t="e" cm="1" vm="1">
        <f t="array" aca="1" ref="A2924" ca="1">(ROW(A923:M2922))</f>
        <v>#VALUE!</v>
      </c>
    </row>
    <row r="2925" spans="1:1">
      <c r="A2925" t="e" cm="1" vm="1">
        <f t="array" aca="1" ref="A2925" ca="1">(ROW(A924:M2923))</f>
        <v>#VALUE!</v>
      </c>
    </row>
    <row r="2926" spans="1:1">
      <c r="A2926" t="e" cm="1" vm="1">
        <f t="array" aca="1" ref="A2926" ca="1">(ROW(A925:M2924))</f>
        <v>#VALUE!</v>
      </c>
    </row>
    <row r="2927" spans="1:1">
      <c r="A2927" t="e" cm="1" vm="1">
        <f t="array" aca="1" ref="A2927" ca="1">(ROW(A926:M2925))</f>
        <v>#VALUE!</v>
      </c>
    </row>
    <row r="2928" spans="1:1">
      <c r="A2928" t="e" cm="1" vm="1">
        <f t="array" aca="1" ref="A2928" ca="1">(ROW(A927:M2926))</f>
        <v>#VALUE!</v>
      </c>
    </row>
    <row r="2929" spans="1:1">
      <c r="A2929" t="e" cm="1" vm="1">
        <f t="array" aca="1" ref="A2929" ca="1">(ROW(A928:M2927))</f>
        <v>#VALUE!</v>
      </c>
    </row>
    <row r="2930" spans="1:1">
      <c r="A2930" t="e" cm="1" vm="1">
        <f t="array" aca="1" ref="A2930" ca="1">(ROW(A929:M2928))</f>
        <v>#VALUE!</v>
      </c>
    </row>
    <row r="2931" spans="1:1">
      <c r="A2931" t="e" cm="1" vm="1">
        <f t="array" aca="1" ref="A2931" ca="1">(ROW(A930:M2929))</f>
        <v>#VALUE!</v>
      </c>
    </row>
    <row r="2932" spans="1:1">
      <c r="A2932" t="e" cm="1" vm="1">
        <f t="array" aca="1" ref="A2932" ca="1">(ROW(A931:M2930))</f>
        <v>#VALUE!</v>
      </c>
    </row>
    <row r="2933" spans="1:1">
      <c r="A2933" t="e" cm="1" vm="1">
        <f t="array" aca="1" ref="A2933" ca="1">(ROW(A932:M2931))</f>
        <v>#VALUE!</v>
      </c>
    </row>
    <row r="2934" spans="1:1">
      <c r="A2934" t="e" cm="1" vm="1">
        <f t="array" aca="1" ref="A2934" ca="1">(ROW(A933:M2932))</f>
        <v>#VALUE!</v>
      </c>
    </row>
    <row r="2935" spans="1:1">
      <c r="A2935" t="e" cm="1" vm="1">
        <f t="array" aca="1" ref="A2935" ca="1">(ROW(A934:M2933))</f>
        <v>#VALUE!</v>
      </c>
    </row>
    <row r="2936" spans="1:1">
      <c r="A2936" t="e" cm="1" vm="1">
        <f t="array" aca="1" ref="A2936" ca="1">(ROW(A935:M2934))</f>
        <v>#VALUE!</v>
      </c>
    </row>
    <row r="2937" spans="1:1">
      <c r="A2937" t="e" cm="1" vm="1">
        <f t="array" aca="1" ref="A2937" ca="1">(ROW(A936:M2935))</f>
        <v>#VALUE!</v>
      </c>
    </row>
    <row r="2938" spans="1:1">
      <c r="A2938" t="e" cm="1" vm="1">
        <f t="array" aca="1" ref="A2938" ca="1">(ROW(A937:M2936))</f>
        <v>#VALUE!</v>
      </c>
    </row>
    <row r="2939" spans="1:1">
      <c r="A2939" t="e" cm="1" vm="1">
        <f t="array" aca="1" ref="A2939" ca="1">(ROW(A938:M2937))</f>
        <v>#VALUE!</v>
      </c>
    </row>
    <row r="2940" spans="1:1">
      <c r="A2940" t="e" cm="1" vm="1">
        <f t="array" aca="1" ref="A2940" ca="1">(ROW(A939:M2938))</f>
        <v>#VALUE!</v>
      </c>
    </row>
    <row r="2941" spans="1:1">
      <c r="A2941" t="e" cm="1" vm="1">
        <f t="array" aca="1" ref="A2941" ca="1">(ROW(A940:M2939))</f>
        <v>#VALUE!</v>
      </c>
    </row>
    <row r="2942" spans="1:1">
      <c r="A2942" t="e" cm="1" vm="1">
        <f t="array" aca="1" ref="A2942" ca="1">(ROW(A941:M2940))</f>
        <v>#VALUE!</v>
      </c>
    </row>
    <row r="2943" spans="1:1">
      <c r="A2943" t="e" cm="1" vm="1">
        <f t="array" aca="1" ref="A2943" ca="1">(ROW(A942:M2941))</f>
        <v>#VALUE!</v>
      </c>
    </row>
    <row r="2944" spans="1:1">
      <c r="A2944" t="e" cm="1" vm="1">
        <f t="array" aca="1" ref="A2944" ca="1">(ROW(A943:M2942))</f>
        <v>#VALUE!</v>
      </c>
    </row>
    <row r="2945" spans="1:1">
      <c r="A2945" t="e" cm="1" vm="1">
        <f t="array" aca="1" ref="A2945" ca="1">(ROW(A944:M2943))</f>
        <v>#VALUE!</v>
      </c>
    </row>
    <row r="2946" spans="1:1">
      <c r="A2946" t="e" cm="1" vm="1">
        <f t="array" aca="1" ref="A2946" ca="1">(ROW(A945:M2944))</f>
        <v>#VALUE!</v>
      </c>
    </row>
    <row r="2947" spans="1:1">
      <c r="A2947" t="e" cm="1" vm="1">
        <f t="array" aca="1" ref="A2947" ca="1">(ROW(A946:M2945))</f>
        <v>#VALUE!</v>
      </c>
    </row>
    <row r="2948" spans="1:1">
      <c r="A2948" t="e" cm="1" vm="1">
        <f t="array" aca="1" ref="A2948" ca="1">(ROW(A947:M2946))</f>
        <v>#VALUE!</v>
      </c>
    </row>
    <row r="2949" spans="1:1">
      <c r="A2949" t="e" cm="1" vm="1">
        <f t="array" aca="1" ref="A2949" ca="1">(ROW(A948:M2947))</f>
        <v>#VALUE!</v>
      </c>
    </row>
    <row r="2950" spans="1:1">
      <c r="A2950" t="e" cm="1" vm="1">
        <f t="array" aca="1" ref="A2950" ca="1">(ROW(A949:M2948))</f>
        <v>#VALUE!</v>
      </c>
    </row>
    <row r="2951" spans="1:1">
      <c r="A2951" t="e" cm="1" vm="1">
        <f t="array" aca="1" ref="A2951" ca="1">(ROW(A950:M2949))</f>
        <v>#VALUE!</v>
      </c>
    </row>
    <row r="2952" spans="1:1">
      <c r="A2952" t="e" cm="1" vm="1">
        <f t="array" aca="1" ref="A2952" ca="1">(ROW(A951:M2950))</f>
        <v>#VALUE!</v>
      </c>
    </row>
    <row r="2953" spans="1:1">
      <c r="A2953" t="e" cm="1" vm="1">
        <f t="array" aca="1" ref="A2953" ca="1">(ROW(A952:M2951))</f>
        <v>#VALUE!</v>
      </c>
    </row>
    <row r="2954" spans="1:1">
      <c r="A2954" t="e" cm="1" vm="1">
        <f t="array" aca="1" ref="A2954" ca="1">(ROW(A953:M2952))</f>
        <v>#VALUE!</v>
      </c>
    </row>
    <row r="2955" spans="1:1">
      <c r="A2955" t="e" cm="1" vm="1">
        <f t="array" aca="1" ref="A2955" ca="1">(ROW(A954:M2953))</f>
        <v>#VALUE!</v>
      </c>
    </row>
    <row r="2956" spans="1:1">
      <c r="A2956" t="e" cm="1" vm="1">
        <f t="array" aca="1" ref="A2956" ca="1">(ROW(A955:M2954))</f>
        <v>#VALUE!</v>
      </c>
    </row>
    <row r="2957" spans="1:1">
      <c r="A2957" t="e" cm="1" vm="1">
        <f t="array" aca="1" ref="A2957" ca="1">(ROW(A956:M2955))</f>
        <v>#VALUE!</v>
      </c>
    </row>
    <row r="2958" spans="1:1">
      <c r="A2958" t="e" cm="1" vm="1">
        <f t="array" aca="1" ref="A2958" ca="1">(ROW(A957:M2956))</f>
        <v>#VALUE!</v>
      </c>
    </row>
    <row r="2959" spans="1:1">
      <c r="A2959" t="e" cm="1" vm="1">
        <f t="array" aca="1" ref="A2959" ca="1">(ROW(A958:M2957))</f>
        <v>#VALUE!</v>
      </c>
    </row>
    <row r="2960" spans="1:1">
      <c r="A2960" t="e" cm="1" vm="1">
        <f t="array" aca="1" ref="A2960" ca="1">(ROW(A959:M2958))</f>
        <v>#VALUE!</v>
      </c>
    </row>
    <row r="2961" spans="1:1">
      <c r="A2961" t="e" cm="1" vm="1">
        <f t="array" aca="1" ref="A2961" ca="1">(ROW(A960:M2959))</f>
        <v>#VALUE!</v>
      </c>
    </row>
    <row r="2962" spans="1:1">
      <c r="A2962" t="e" cm="1" vm="1">
        <f t="array" aca="1" ref="A2962" ca="1">(ROW(A961:M2960))</f>
        <v>#VALUE!</v>
      </c>
    </row>
    <row r="2963" spans="1:1">
      <c r="A2963" t="e" cm="1" vm="1">
        <f t="array" aca="1" ref="A2963" ca="1">(ROW(A962:M2961))</f>
        <v>#VALUE!</v>
      </c>
    </row>
    <row r="2964" spans="1:1">
      <c r="A2964" t="e" cm="1" vm="1">
        <f t="array" aca="1" ref="A2964" ca="1">(ROW(A963:M2962))</f>
        <v>#VALUE!</v>
      </c>
    </row>
    <row r="2965" spans="1:1">
      <c r="A2965" t="e" cm="1" vm="1">
        <f t="array" aca="1" ref="A2965" ca="1">(ROW(A964:M2963))</f>
        <v>#VALUE!</v>
      </c>
    </row>
    <row r="2966" spans="1:1">
      <c r="A2966" t="e" cm="1" vm="1">
        <f t="array" aca="1" ref="A2966" ca="1">(ROW(A965:M2964))</f>
        <v>#VALUE!</v>
      </c>
    </row>
    <row r="2967" spans="1:1">
      <c r="A2967" t="e" cm="1" vm="1">
        <f t="array" aca="1" ref="A2967" ca="1">(ROW(A966:M2965))</f>
        <v>#VALUE!</v>
      </c>
    </row>
    <row r="2968" spans="1:1">
      <c r="A2968" t="e" cm="1" vm="1">
        <f t="array" aca="1" ref="A2968" ca="1">(ROW(A967:M2966))</f>
        <v>#VALUE!</v>
      </c>
    </row>
    <row r="2969" spans="1:1">
      <c r="A2969" t="e" cm="1" vm="1">
        <f t="array" aca="1" ref="A2969" ca="1">(ROW(A968:M2967))</f>
        <v>#VALUE!</v>
      </c>
    </row>
    <row r="2970" spans="1:1">
      <c r="A2970" t="e" cm="1" vm="1">
        <f t="array" aca="1" ref="A2970" ca="1">(ROW(A969:M2968))</f>
        <v>#VALUE!</v>
      </c>
    </row>
    <row r="2971" spans="1:1">
      <c r="A2971" t="e" cm="1" vm="1">
        <f t="array" aca="1" ref="A2971" ca="1">(ROW(A970:M2969))</f>
        <v>#VALUE!</v>
      </c>
    </row>
    <row r="2972" spans="1:1">
      <c r="A2972" t="e" cm="1" vm="1">
        <f t="array" aca="1" ref="A2972" ca="1">(ROW(A971:M2970))</f>
        <v>#VALUE!</v>
      </c>
    </row>
    <row r="2973" spans="1:1">
      <c r="A2973" t="e" cm="1" vm="1">
        <f t="array" aca="1" ref="A2973" ca="1">(ROW(A972:M2971))</f>
        <v>#VALUE!</v>
      </c>
    </row>
    <row r="2974" spans="1:1">
      <c r="A2974" t="e" cm="1" vm="1">
        <f t="array" aca="1" ref="A2974" ca="1">(ROW(A973:M2972))</f>
        <v>#VALUE!</v>
      </c>
    </row>
    <row r="2975" spans="1:1">
      <c r="A2975" t="e" cm="1" vm="1">
        <f t="array" aca="1" ref="A2975" ca="1">(ROW(A974:M2973))</f>
        <v>#VALUE!</v>
      </c>
    </row>
    <row r="2976" spans="1:1">
      <c r="A2976" t="e" cm="1" vm="1">
        <f t="array" aca="1" ref="A2976" ca="1">(ROW(A975:M2974))</f>
        <v>#VALUE!</v>
      </c>
    </row>
    <row r="2977" spans="1:1">
      <c r="A2977" t="e" cm="1" vm="1">
        <f t="array" aca="1" ref="A2977" ca="1">(ROW(A976:M2975))</f>
        <v>#VALUE!</v>
      </c>
    </row>
    <row r="2978" spans="1:1">
      <c r="A2978" t="e" cm="1" vm="1">
        <f t="array" aca="1" ref="A2978" ca="1">(ROW(A977:M2976))</f>
        <v>#VALUE!</v>
      </c>
    </row>
    <row r="2979" spans="1:1">
      <c r="A2979" t="e" cm="1" vm="1">
        <f t="array" aca="1" ref="A2979" ca="1">(ROW(A978:M2977))</f>
        <v>#VALUE!</v>
      </c>
    </row>
    <row r="2980" spans="1:1">
      <c r="A2980" t="e" cm="1" vm="1">
        <f t="array" aca="1" ref="A2980" ca="1">(ROW(A979:M2978))</f>
        <v>#VALUE!</v>
      </c>
    </row>
    <row r="2981" spans="1:1">
      <c r="A2981" t="e" cm="1" vm="1">
        <f t="array" aca="1" ref="A2981" ca="1">(ROW(A980:M2979))</f>
        <v>#VALUE!</v>
      </c>
    </row>
    <row r="2982" spans="1:1">
      <c r="A2982" t="e" cm="1" vm="1">
        <f t="array" aca="1" ref="A2982" ca="1">(ROW(A981:M2980))</f>
        <v>#VALUE!</v>
      </c>
    </row>
    <row r="2983" spans="1:1">
      <c r="A2983" t="e" cm="1" vm="1">
        <f t="array" aca="1" ref="A2983" ca="1">(ROW(A982:M2981))</f>
        <v>#VALUE!</v>
      </c>
    </row>
    <row r="2984" spans="1:1">
      <c r="A2984" t="e" cm="1" vm="1">
        <f t="array" aca="1" ref="A2984" ca="1">(ROW(A983:M2982))</f>
        <v>#VALUE!</v>
      </c>
    </row>
    <row r="2985" spans="1:1">
      <c r="A2985" t="e" cm="1" vm="1">
        <f t="array" aca="1" ref="A2985" ca="1">(ROW(A984:M2983))</f>
        <v>#VALUE!</v>
      </c>
    </row>
    <row r="2986" spans="1:1">
      <c r="A2986" t="e" cm="1" vm="1">
        <f t="array" aca="1" ref="A2986" ca="1">(ROW(A985:M2984))</f>
        <v>#VALUE!</v>
      </c>
    </row>
    <row r="2987" spans="1:1">
      <c r="A2987" t="e" cm="1" vm="1">
        <f t="array" aca="1" ref="A2987" ca="1">(ROW(A986:M2985))</f>
        <v>#VALUE!</v>
      </c>
    </row>
    <row r="2988" spans="1:1">
      <c r="A2988" t="e" cm="1" vm="1">
        <f t="array" aca="1" ref="A2988" ca="1">(ROW(A987:M2986))</f>
        <v>#VALUE!</v>
      </c>
    </row>
    <row r="2989" spans="1:1">
      <c r="A2989" t="e" cm="1" vm="1">
        <f t="array" aca="1" ref="A2989" ca="1">(ROW(A988:M2987))</f>
        <v>#VALUE!</v>
      </c>
    </row>
    <row r="2990" spans="1:1">
      <c r="A2990" t="e" cm="1" vm="1">
        <f t="array" aca="1" ref="A2990" ca="1">(ROW(A989:M2988))</f>
        <v>#VALUE!</v>
      </c>
    </row>
    <row r="2991" spans="1:1">
      <c r="A2991" t="e" cm="1" vm="1">
        <f t="array" aca="1" ref="A2991" ca="1">(ROW(A990:M2989))</f>
        <v>#VALUE!</v>
      </c>
    </row>
    <row r="2992" spans="1:1">
      <c r="A2992" t="e" cm="1" vm="1">
        <f t="array" aca="1" ref="A2992" ca="1">(ROW(A991:M2990))</f>
        <v>#VALUE!</v>
      </c>
    </row>
    <row r="2993" spans="1:1">
      <c r="A2993" t="e" cm="1" vm="1">
        <f t="array" aca="1" ref="A2993" ca="1">(ROW(A992:M2991))</f>
        <v>#VALUE!</v>
      </c>
    </row>
    <row r="2994" spans="1:1">
      <c r="A2994" t="e" cm="1" vm="1">
        <f t="array" aca="1" ref="A2994" ca="1">(ROW(A993:M2992))</f>
        <v>#VALUE!</v>
      </c>
    </row>
    <row r="2995" spans="1:1">
      <c r="A2995" t="e" cm="1" vm="1">
        <f t="array" aca="1" ref="A2995" ca="1">(ROW(A994:M2993))</f>
        <v>#VALUE!</v>
      </c>
    </row>
    <row r="2996" spans="1:1">
      <c r="A2996" t="e" cm="1" vm="1">
        <f t="array" aca="1" ref="A2996" ca="1">(ROW(A995:M2994))</f>
        <v>#VALUE!</v>
      </c>
    </row>
    <row r="2997" spans="1:1">
      <c r="A2997" t="e" cm="1" vm="1">
        <f t="array" aca="1" ref="A2997" ca="1">(ROW(A996:M2995))</f>
        <v>#VALUE!</v>
      </c>
    </row>
    <row r="2998" spans="1:1">
      <c r="A2998" t="e" cm="1" vm="1">
        <f t="array" aca="1" ref="A2998" ca="1">(ROW(A997:M2996))</f>
        <v>#VALUE!</v>
      </c>
    </row>
    <row r="2999" spans="1:1">
      <c r="A2999" t="e" cm="1" vm="1">
        <f t="array" aca="1" ref="A2999" ca="1">(ROW(A998:M2997))</f>
        <v>#VALUE!</v>
      </c>
    </row>
    <row r="3000" spans="1:1">
      <c r="A3000" t="e" cm="1" vm="1">
        <f t="array" aca="1" ref="A3000" ca="1">(ROW(A999:M2998))</f>
        <v>#VALUE!</v>
      </c>
    </row>
    <row r="3001" spans="1:1">
      <c r="A3001" t="e" cm="1" vm="1">
        <f t="array" aca="1" ref="A3001" ca="1">(ROW(A1000:M2999))</f>
        <v>#VALUE!</v>
      </c>
    </row>
    <row r="3002" spans="1:1">
      <c r="A3002" t="e" cm="1" vm="1">
        <f t="array" aca="1" ref="A3002" ca="1">(ROW(A1001:M3000))</f>
        <v>#VALUE!</v>
      </c>
    </row>
    <row r="3003" spans="1:1">
      <c r="A3003" t="e" cm="1" vm="1">
        <f t="array" aca="1" ref="A3003" ca="1">(ROW(A1002:M3001))</f>
        <v>#VALUE!</v>
      </c>
    </row>
    <row r="3004" spans="1:1">
      <c r="A3004" t="e" cm="1" vm="1">
        <f t="array" aca="1" ref="A3004" ca="1">(ROW(A1003:M3002))</f>
        <v>#VALUE!</v>
      </c>
    </row>
    <row r="3005" spans="1:1">
      <c r="A3005" t="e" cm="1" vm="1">
        <f t="array" aca="1" ref="A3005" ca="1">(ROW(A1004:M3003))</f>
        <v>#VALUE!</v>
      </c>
    </row>
    <row r="3006" spans="1:1">
      <c r="A3006" t="e" cm="1" vm="1">
        <f t="array" aca="1" ref="A3006" ca="1">(ROW(A1005:M3004))</f>
        <v>#VALUE!</v>
      </c>
    </row>
    <row r="3007" spans="1:1">
      <c r="A3007" t="e" cm="1" vm="1">
        <f t="array" aca="1" ref="A3007" ca="1">(ROW(A1006:M3005))</f>
        <v>#VALUE!</v>
      </c>
    </row>
    <row r="3008" spans="1:1">
      <c r="A3008" t="e" cm="1" vm="1">
        <f t="array" aca="1" ref="A3008" ca="1">(ROW(A1007:M3006))</f>
        <v>#VALUE!</v>
      </c>
    </row>
    <row r="3009" spans="1:1">
      <c r="A3009" t="e" cm="1" vm="1">
        <f t="array" aca="1" ref="A3009" ca="1">(ROW(A1008:M3007))</f>
        <v>#VALUE!</v>
      </c>
    </row>
    <row r="3010" spans="1:1">
      <c r="A3010" t="e" cm="1" vm="1">
        <f t="array" aca="1" ref="A3010" ca="1">(ROW(A1009:M3008))</f>
        <v>#VALUE!</v>
      </c>
    </row>
    <row r="3011" spans="1:1">
      <c r="A3011" t="e" cm="1" vm="1">
        <f t="array" aca="1" ref="A3011" ca="1">(ROW(A1010:M3009))</f>
        <v>#VALUE!</v>
      </c>
    </row>
    <row r="3012" spans="1:1">
      <c r="A3012" t="e" cm="1" vm="1">
        <f t="array" aca="1" ref="A3012" ca="1">(ROW(A1011:M3010))</f>
        <v>#VALUE!</v>
      </c>
    </row>
    <row r="3013" spans="1:1">
      <c r="A3013" t="e" cm="1" vm="1">
        <f t="array" aca="1" ref="A3013" ca="1">(ROW(A1012:M3011))</f>
        <v>#VALUE!</v>
      </c>
    </row>
    <row r="3014" spans="1:1">
      <c r="A3014" t="e" cm="1" vm="1">
        <f t="array" aca="1" ref="A3014" ca="1">(ROW(A1013:M3012))</f>
        <v>#VALUE!</v>
      </c>
    </row>
    <row r="3015" spans="1:1">
      <c r="A3015" t="e" cm="1" vm="1">
        <f t="array" aca="1" ref="A3015" ca="1">(ROW(A1014:M3013))</f>
        <v>#VALUE!</v>
      </c>
    </row>
    <row r="3016" spans="1:1">
      <c r="A3016" t="e" cm="1" vm="1">
        <f t="array" aca="1" ref="A3016" ca="1">(ROW(A1015:M3014))</f>
        <v>#VALUE!</v>
      </c>
    </row>
    <row r="3017" spans="1:1">
      <c r="A3017" t="e" cm="1" vm="1">
        <f t="array" aca="1" ref="A3017" ca="1">(ROW(A1016:M3015))</f>
        <v>#VALUE!</v>
      </c>
    </row>
    <row r="3018" spans="1:1">
      <c r="A3018" t="e" cm="1" vm="1">
        <f t="array" aca="1" ref="A3018" ca="1">(ROW(A1017:M3016))</f>
        <v>#VALUE!</v>
      </c>
    </row>
    <row r="3019" spans="1:1">
      <c r="A3019" t="e" cm="1" vm="1">
        <f t="array" aca="1" ref="A3019" ca="1">(ROW(A1018:M3017))</f>
        <v>#VALUE!</v>
      </c>
    </row>
    <row r="3020" spans="1:1">
      <c r="A3020" t="e" cm="1" vm="1">
        <f t="array" aca="1" ref="A3020" ca="1">(ROW(A1019:M3018))</f>
        <v>#VALUE!</v>
      </c>
    </row>
    <row r="3021" spans="1:1">
      <c r="A3021" t="e" cm="1" vm="1">
        <f t="array" aca="1" ref="A3021" ca="1">(ROW(A1020:M3019))</f>
        <v>#VALUE!</v>
      </c>
    </row>
    <row r="3022" spans="1:1">
      <c r="A3022" t="e" cm="1" vm="1">
        <f t="array" aca="1" ref="A3022" ca="1">(ROW(A1021:M3020))</f>
        <v>#VALUE!</v>
      </c>
    </row>
    <row r="3023" spans="1:1">
      <c r="A3023" t="e" cm="1" vm="1">
        <f t="array" aca="1" ref="A3023" ca="1">(ROW(A1022:M3021))</f>
        <v>#VALUE!</v>
      </c>
    </row>
    <row r="3024" spans="1:1">
      <c r="A3024" t="e" cm="1" vm="1">
        <f t="array" aca="1" ref="A3024" ca="1">(ROW(A1023:M3022))</f>
        <v>#VALUE!</v>
      </c>
    </row>
    <row r="3025" spans="1:1">
      <c r="A3025" t="e" cm="1" vm="1">
        <f t="array" aca="1" ref="A3025" ca="1">(ROW(A1024:M3023))</f>
        <v>#VALUE!</v>
      </c>
    </row>
    <row r="3026" spans="1:1">
      <c r="A3026" t="e" cm="1" vm="1">
        <f t="array" aca="1" ref="A3026" ca="1">(ROW(A1025:M3024))</f>
        <v>#VALUE!</v>
      </c>
    </row>
    <row r="3027" spans="1:1">
      <c r="A3027" t="e" cm="1" vm="1">
        <f t="array" aca="1" ref="A3027" ca="1">(ROW(A1026:M3025))</f>
        <v>#VALUE!</v>
      </c>
    </row>
    <row r="3028" spans="1:1">
      <c r="A3028" t="e" cm="1" vm="1">
        <f t="array" aca="1" ref="A3028" ca="1">(ROW(A1027:M3026))</f>
        <v>#VALUE!</v>
      </c>
    </row>
    <row r="3029" spans="1:1">
      <c r="A3029" t="e" cm="1" vm="1">
        <f t="array" aca="1" ref="A3029" ca="1">(ROW(A1028:M3027))</f>
        <v>#VALUE!</v>
      </c>
    </row>
    <row r="3030" spans="1:1">
      <c r="A3030" t="e" cm="1" vm="1">
        <f t="array" aca="1" ref="A3030" ca="1">(ROW(A1029:M3028))</f>
        <v>#VALUE!</v>
      </c>
    </row>
    <row r="3031" spans="1:1">
      <c r="A3031" t="e" cm="1" vm="1">
        <f t="array" aca="1" ref="A3031" ca="1">(ROW(A1030:M3029))</f>
        <v>#VALUE!</v>
      </c>
    </row>
    <row r="3032" spans="1:1">
      <c r="A3032" t="e" cm="1" vm="1">
        <f t="array" aca="1" ref="A3032" ca="1">(ROW(A1031:M3030))</f>
        <v>#VALUE!</v>
      </c>
    </row>
    <row r="3033" spans="1:1">
      <c r="A3033" t="e" cm="1" vm="1">
        <f t="array" aca="1" ref="A3033" ca="1">(ROW(A1032:M3031))</f>
        <v>#VALUE!</v>
      </c>
    </row>
    <row r="3034" spans="1:1">
      <c r="A3034" t="e" cm="1" vm="1">
        <f t="array" aca="1" ref="A3034" ca="1">(ROW(A1033:M3032))</f>
        <v>#VALUE!</v>
      </c>
    </row>
    <row r="3035" spans="1:1">
      <c r="A3035" t="e" cm="1" vm="1">
        <f t="array" aca="1" ref="A3035" ca="1">(ROW(A1034:M3033))</f>
        <v>#VALUE!</v>
      </c>
    </row>
    <row r="3036" spans="1:1">
      <c r="A3036" t="e" cm="1" vm="1">
        <f t="array" aca="1" ref="A3036" ca="1">(ROW(A1035:M3034))</f>
        <v>#VALUE!</v>
      </c>
    </row>
    <row r="3037" spans="1:1">
      <c r="A3037" t="e" cm="1" vm="1">
        <f t="array" aca="1" ref="A3037" ca="1">(ROW(A1036:M3035))</f>
        <v>#VALUE!</v>
      </c>
    </row>
    <row r="3038" spans="1:1">
      <c r="A3038" t="e" cm="1" vm="1">
        <f t="array" aca="1" ref="A3038" ca="1">(ROW(A1037:M3036))</f>
        <v>#VALUE!</v>
      </c>
    </row>
    <row r="3039" spans="1:1">
      <c r="A3039" t="e" cm="1" vm="1">
        <f t="array" aca="1" ref="A3039" ca="1">(ROW(A1038:M3037))</f>
        <v>#VALUE!</v>
      </c>
    </row>
    <row r="3040" spans="1:1">
      <c r="A3040" t="e" cm="1" vm="1">
        <f t="array" aca="1" ref="A3040" ca="1">(ROW(A1039:M3038))</f>
        <v>#VALUE!</v>
      </c>
    </row>
    <row r="3041" spans="1:1">
      <c r="A3041" t="e" cm="1" vm="1">
        <f t="array" aca="1" ref="A3041" ca="1">(ROW(A1040:M3039))</f>
        <v>#VALUE!</v>
      </c>
    </row>
    <row r="3042" spans="1:1">
      <c r="A3042" t="e" cm="1" vm="1">
        <f t="array" aca="1" ref="A3042" ca="1">(ROW(A1041:M3040))</f>
        <v>#VALUE!</v>
      </c>
    </row>
    <row r="3043" spans="1:1">
      <c r="A3043" t="e" cm="1" vm="1">
        <f t="array" aca="1" ref="A3043" ca="1">(ROW(A1042:M3041))</f>
        <v>#VALUE!</v>
      </c>
    </row>
    <row r="3044" spans="1:1">
      <c r="A3044" t="e" cm="1" vm="1">
        <f t="array" aca="1" ref="A3044" ca="1">(ROW(A1043:M3042))</f>
        <v>#VALUE!</v>
      </c>
    </row>
    <row r="3045" spans="1:1">
      <c r="A3045" t="e" cm="1" vm="1">
        <f t="array" aca="1" ref="A3045" ca="1">(ROW(A1044:M3043))</f>
        <v>#VALUE!</v>
      </c>
    </row>
    <row r="3046" spans="1:1">
      <c r="A3046" t="e" cm="1" vm="1">
        <f t="array" aca="1" ref="A3046" ca="1">(ROW(A1045:M3044))</f>
        <v>#VALUE!</v>
      </c>
    </row>
    <row r="3047" spans="1:1">
      <c r="A3047" t="e" cm="1" vm="1">
        <f t="array" aca="1" ref="A3047" ca="1">(ROW(A1046:M3045))</f>
        <v>#VALUE!</v>
      </c>
    </row>
    <row r="3048" spans="1:1">
      <c r="A3048" t="e" cm="1" vm="1">
        <f t="array" aca="1" ref="A3048" ca="1">(ROW(A1047:M3046))</f>
        <v>#VALUE!</v>
      </c>
    </row>
    <row r="3049" spans="1:1">
      <c r="A3049" t="e" cm="1" vm="1">
        <f t="array" aca="1" ref="A3049" ca="1">(ROW(A1048:M3047))</f>
        <v>#VALUE!</v>
      </c>
    </row>
    <row r="3050" spans="1:1">
      <c r="A3050" t="e" cm="1" vm="1">
        <f t="array" aca="1" ref="A3050" ca="1">(ROW(A1049:M3048))</f>
        <v>#VALUE!</v>
      </c>
    </row>
    <row r="3051" spans="1:1">
      <c r="A3051" t="e" cm="1" vm="1">
        <f t="array" aca="1" ref="A3051" ca="1">(ROW(A1050:M3049))</f>
        <v>#VALUE!</v>
      </c>
    </row>
    <row r="3052" spans="1:1">
      <c r="A3052" t="e" cm="1" vm="1">
        <f t="array" aca="1" ref="A3052" ca="1">(ROW(A1051:M3050))</f>
        <v>#VALUE!</v>
      </c>
    </row>
    <row r="3053" spans="1:1">
      <c r="A3053" t="e" cm="1" vm="1">
        <f t="array" aca="1" ref="A3053" ca="1">(ROW(A1052:M3051))</f>
        <v>#VALUE!</v>
      </c>
    </row>
    <row r="3054" spans="1:1">
      <c r="A3054" t="e" cm="1" vm="1">
        <f t="array" aca="1" ref="A3054" ca="1">(ROW(A1053:M3052))</f>
        <v>#VALUE!</v>
      </c>
    </row>
    <row r="3055" spans="1:1">
      <c r="A3055" t="e" cm="1" vm="1">
        <f t="array" aca="1" ref="A3055" ca="1">(ROW(A1054:M3053))</f>
        <v>#VALUE!</v>
      </c>
    </row>
    <row r="3056" spans="1:1">
      <c r="A3056" t="e" cm="1" vm="1">
        <f t="array" aca="1" ref="A3056" ca="1">(ROW(A1055:M3054))</f>
        <v>#VALUE!</v>
      </c>
    </row>
    <row r="3057" spans="1:1">
      <c r="A3057" t="e" cm="1" vm="1">
        <f t="array" aca="1" ref="A3057" ca="1">(ROW(A1056:M3055))</f>
        <v>#VALUE!</v>
      </c>
    </row>
    <row r="3058" spans="1:1">
      <c r="A3058" t="e" cm="1" vm="1">
        <f t="array" aca="1" ref="A3058" ca="1">(ROW(A1057:M3056))</f>
        <v>#VALUE!</v>
      </c>
    </row>
    <row r="3059" spans="1:1">
      <c r="A3059" t="e" cm="1" vm="1">
        <f t="array" aca="1" ref="A3059" ca="1">(ROW(A1058:M3057))</f>
        <v>#VALUE!</v>
      </c>
    </row>
    <row r="3060" spans="1:1">
      <c r="A3060" t="e" cm="1" vm="1">
        <f t="array" aca="1" ref="A3060" ca="1">(ROW(A1059:M3058))</f>
        <v>#VALUE!</v>
      </c>
    </row>
    <row r="3061" spans="1:1">
      <c r="A3061" t="e" cm="1" vm="1">
        <f t="array" aca="1" ref="A3061" ca="1">(ROW(A1060:M3059))</f>
        <v>#VALUE!</v>
      </c>
    </row>
    <row r="3062" spans="1:1">
      <c r="A3062" t="e" cm="1" vm="1">
        <f t="array" aca="1" ref="A3062" ca="1">(ROW(A1061:M3060))</f>
        <v>#VALUE!</v>
      </c>
    </row>
    <row r="3063" spans="1:1">
      <c r="A3063" t="e" cm="1" vm="1">
        <f t="array" aca="1" ref="A3063" ca="1">(ROW(A1062:M3061))</f>
        <v>#VALUE!</v>
      </c>
    </row>
    <row r="3064" spans="1:1">
      <c r="A3064" t="e" cm="1" vm="1">
        <f t="array" aca="1" ref="A3064" ca="1">(ROW(A1063:M3062))</f>
        <v>#VALUE!</v>
      </c>
    </row>
    <row r="3065" spans="1:1">
      <c r="A3065" t="e" cm="1" vm="1">
        <f t="array" aca="1" ref="A3065" ca="1">(ROW(A1064:M3063))</f>
        <v>#VALUE!</v>
      </c>
    </row>
    <row r="3066" spans="1:1">
      <c r="A3066" t="e" cm="1" vm="1">
        <f t="array" aca="1" ref="A3066" ca="1">(ROW(A1065:M3064))</f>
        <v>#VALUE!</v>
      </c>
    </row>
    <row r="3067" spans="1:1">
      <c r="A3067" t="e" cm="1" vm="1">
        <f t="array" aca="1" ref="A3067" ca="1">(ROW(A1066:M3065))</f>
        <v>#VALUE!</v>
      </c>
    </row>
    <row r="3068" spans="1:1">
      <c r="A3068" t="e" cm="1" vm="1">
        <f t="array" aca="1" ref="A3068" ca="1">(ROW(A1067:M3066))</f>
        <v>#VALUE!</v>
      </c>
    </row>
    <row r="3069" spans="1:1">
      <c r="A3069" t="e" cm="1" vm="1">
        <f t="array" aca="1" ref="A3069" ca="1">(ROW(A1068:M3067))</f>
        <v>#VALUE!</v>
      </c>
    </row>
    <row r="3070" spans="1:1">
      <c r="A3070" t="e" cm="1" vm="1">
        <f t="array" aca="1" ref="A3070" ca="1">(ROW(A1069:M3068))</f>
        <v>#VALUE!</v>
      </c>
    </row>
    <row r="3071" spans="1:1">
      <c r="A3071" t="e" cm="1" vm="1">
        <f t="array" aca="1" ref="A3071" ca="1">(ROW(A1070:M3069))</f>
        <v>#VALUE!</v>
      </c>
    </row>
    <row r="3072" spans="1:1">
      <c r="A3072" t="e" cm="1" vm="1">
        <f t="array" aca="1" ref="A3072" ca="1">(ROW(A1071:M3070))</f>
        <v>#VALUE!</v>
      </c>
    </row>
    <row r="3073" spans="1:1">
      <c r="A3073" t="e" cm="1" vm="1">
        <f t="array" aca="1" ref="A3073" ca="1">(ROW(A1072:M3071))</f>
        <v>#VALUE!</v>
      </c>
    </row>
    <row r="3074" spans="1:1">
      <c r="A3074" t="e" cm="1" vm="1">
        <f t="array" aca="1" ref="A3074" ca="1">(ROW(A1073:M3072))</f>
        <v>#VALUE!</v>
      </c>
    </row>
    <row r="3075" spans="1:1">
      <c r="A3075" t="e" cm="1" vm="1">
        <f t="array" aca="1" ref="A3075" ca="1">(ROW(A1074:M3073))</f>
        <v>#VALUE!</v>
      </c>
    </row>
    <row r="3076" spans="1:1">
      <c r="A3076" t="e" cm="1" vm="1">
        <f t="array" aca="1" ref="A3076" ca="1">(ROW(A1075:M3074))</f>
        <v>#VALUE!</v>
      </c>
    </row>
    <row r="3077" spans="1:1">
      <c r="A3077" t="e" cm="1" vm="1">
        <f t="array" aca="1" ref="A3077" ca="1">(ROW(A1076:M3075))</f>
        <v>#VALUE!</v>
      </c>
    </row>
    <row r="3078" spans="1:1">
      <c r="A3078" t="e" cm="1" vm="1">
        <f t="array" aca="1" ref="A3078" ca="1">(ROW(A1077:M3076))</f>
        <v>#VALUE!</v>
      </c>
    </row>
    <row r="3079" spans="1:1">
      <c r="A3079" t="e" cm="1" vm="1">
        <f t="array" aca="1" ref="A3079" ca="1">(ROW(A1078:M3077))</f>
        <v>#VALUE!</v>
      </c>
    </row>
    <row r="3080" spans="1:1">
      <c r="A3080" t="e" cm="1" vm="1">
        <f t="array" aca="1" ref="A3080" ca="1">(ROW(A1079:M3078))</f>
        <v>#VALUE!</v>
      </c>
    </row>
    <row r="3081" spans="1:1">
      <c r="A3081" t="e" cm="1" vm="1">
        <f t="array" aca="1" ref="A3081" ca="1">(ROW(A1080:M3079))</f>
        <v>#VALUE!</v>
      </c>
    </row>
    <row r="3082" spans="1:1">
      <c r="A3082" t="e" cm="1" vm="1">
        <f t="array" aca="1" ref="A3082" ca="1">(ROW(A1081:M3080))</f>
        <v>#VALUE!</v>
      </c>
    </row>
    <row r="3083" spans="1:1">
      <c r="A3083" t="e" cm="1" vm="1">
        <f t="array" aca="1" ref="A3083" ca="1">(ROW(A1082:M3081))</f>
        <v>#VALUE!</v>
      </c>
    </row>
    <row r="3084" spans="1:1">
      <c r="A3084" t="e" cm="1" vm="1">
        <f t="array" aca="1" ref="A3084" ca="1">(ROW(A1083:M3082))</f>
        <v>#VALUE!</v>
      </c>
    </row>
    <row r="3085" spans="1:1">
      <c r="A3085" t="e" cm="1" vm="1">
        <f t="array" aca="1" ref="A3085" ca="1">(ROW(A1084:M3083))</f>
        <v>#VALUE!</v>
      </c>
    </row>
    <row r="3086" spans="1:1">
      <c r="A3086" t="e" cm="1" vm="1">
        <f t="array" aca="1" ref="A3086" ca="1">(ROW(A1085:M3084))</f>
        <v>#VALUE!</v>
      </c>
    </row>
    <row r="3087" spans="1:1">
      <c r="A3087" t="e" cm="1" vm="1">
        <f t="array" aca="1" ref="A3087" ca="1">(ROW(A1086:M3085))</f>
        <v>#VALUE!</v>
      </c>
    </row>
    <row r="3088" spans="1:1">
      <c r="A3088" t="e" cm="1" vm="1">
        <f t="array" aca="1" ref="A3088" ca="1">(ROW(A1087:M3086))</f>
        <v>#VALUE!</v>
      </c>
    </row>
    <row r="3089" spans="1:1">
      <c r="A3089" t="e" cm="1" vm="1">
        <f t="array" aca="1" ref="A3089" ca="1">(ROW(A1088:M3087))</f>
        <v>#VALUE!</v>
      </c>
    </row>
    <row r="3090" spans="1:1">
      <c r="A3090" t="e" cm="1" vm="1">
        <f t="array" aca="1" ref="A3090" ca="1">(ROW(A1089:M3088))</f>
        <v>#VALUE!</v>
      </c>
    </row>
    <row r="3091" spans="1:1">
      <c r="A3091" t="e" cm="1" vm="1">
        <f t="array" aca="1" ref="A3091" ca="1">(ROW(A1090:M3089))</f>
        <v>#VALUE!</v>
      </c>
    </row>
    <row r="3092" spans="1:1">
      <c r="A3092" t="e" cm="1" vm="1">
        <f t="array" aca="1" ref="A3092" ca="1">(ROW(A1091:M3090))</f>
        <v>#VALUE!</v>
      </c>
    </row>
    <row r="3093" spans="1:1">
      <c r="A3093" t="e" cm="1" vm="1">
        <f t="array" aca="1" ref="A3093" ca="1">(ROW(A1092:M3091))</f>
        <v>#VALUE!</v>
      </c>
    </row>
    <row r="3094" spans="1:1">
      <c r="A3094" t="e" cm="1" vm="1">
        <f t="array" aca="1" ref="A3094" ca="1">(ROW(A1093:M3092))</f>
        <v>#VALUE!</v>
      </c>
    </row>
    <row r="3095" spans="1:1">
      <c r="A3095" t="e" cm="1" vm="1">
        <f t="array" aca="1" ref="A3095" ca="1">(ROW(A1094:M3093))</f>
        <v>#VALUE!</v>
      </c>
    </row>
    <row r="3096" spans="1:1">
      <c r="A3096" t="e" cm="1" vm="1">
        <f t="array" aca="1" ref="A3096" ca="1">(ROW(A1095:M3094))</f>
        <v>#VALUE!</v>
      </c>
    </row>
    <row r="3097" spans="1:1">
      <c r="A3097" t="e" cm="1" vm="1">
        <f t="array" aca="1" ref="A3097" ca="1">(ROW(A1096:M3095))</f>
        <v>#VALUE!</v>
      </c>
    </row>
    <row r="3098" spans="1:1">
      <c r="A3098" t="e" cm="1" vm="1">
        <f t="array" aca="1" ref="A3098" ca="1">(ROW(A1097:M3096))</f>
        <v>#VALUE!</v>
      </c>
    </row>
    <row r="3099" spans="1:1">
      <c r="A3099" t="e" cm="1" vm="1">
        <f t="array" aca="1" ref="A3099" ca="1">(ROW(A1098:M3097))</f>
        <v>#VALUE!</v>
      </c>
    </row>
    <row r="3100" spans="1:1">
      <c r="A3100" t="e" cm="1" vm="1">
        <f t="array" aca="1" ref="A3100" ca="1">(ROW(A1099:M3098))</f>
        <v>#VALUE!</v>
      </c>
    </row>
    <row r="3101" spans="1:1">
      <c r="A3101" t="e" cm="1" vm="1">
        <f t="array" aca="1" ref="A3101" ca="1">(ROW(A1100:M3099))</f>
        <v>#VALUE!</v>
      </c>
    </row>
    <row r="3102" spans="1:1">
      <c r="A3102" t="e" cm="1" vm="1">
        <f t="array" aca="1" ref="A3102" ca="1">(ROW(A1101:M3100))</f>
        <v>#VALUE!</v>
      </c>
    </row>
    <row r="3103" spans="1:1">
      <c r="A3103" t="e" cm="1" vm="1">
        <f t="array" aca="1" ref="A3103" ca="1">(ROW(A1102:M3101))</f>
        <v>#VALUE!</v>
      </c>
    </row>
    <row r="3104" spans="1:1">
      <c r="A3104" t="e" cm="1" vm="1">
        <f t="array" aca="1" ref="A3104" ca="1">(ROW(A1103:M3102))</f>
        <v>#VALUE!</v>
      </c>
    </row>
    <row r="3105" spans="1:1">
      <c r="A3105" t="e" cm="1" vm="1">
        <f t="array" aca="1" ref="A3105" ca="1">(ROW(A1104:M3103))</f>
        <v>#VALUE!</v>
      </c>
    </row>
    <row r="3106" spans="1:1">
      <c r="A3106" t="e" cm="1" vm="1">
        <f t="array" aca="1" ref="A3106" ca="1">(ROW(A1105:M3104))</f>
        <v>#VALUE!</v>
      </c>
    </row>
    <row r="3107" spans="1:1">
      <c r="A3107" t="e" cm="1" vm="1">
        <f t="array" aca="1" ref="A3107" ca="1">(ROW(A1106:M3105))</f>
        <v>#VALUE!</v>
      </c>
    </row>
    <row r="3108" spans="1:1">
      <c r="A3108" t="e" cm="1" vm="1">
        <f t="array" aca="1" ref="A3108" ca="1">(ROW(A1107:M3106))</f>
        <v>#VALUE!</v>
      </c>
    </row>
    <row r="3109" spans="1:1">
      <c r="A3109" t="e" cm="1" vm="1">
        <f t="array" aca="1" ref="A3109" ca="1">(ROW(A1108:M3107))</f>
        <v>#VALUE!</v>
      </c>
    </row>
    <row r="3110" spans="1:1">
      <c r="A3110" t="e" cm="1" vm="1">
        <f t="array" aca="1" ref="A3110" ca="1">(ROW(A1109:M3108))</f>
        <v>#VALUE!</v>
      </c>
    </row>
    <row r="3111" spans="1:1">
      <c r="A3111" t="e" cm="1" vm="1">
        <f t="array" aca="1" ref="A3111" ca="1">(ROW(A1110:M3109))</f>
        <v>#VALUE!</v>
      </c>
    </row>
    <row r="3112" spans="1:1">
      <c r="A3112" t="e" cm="1" vm="1">
        <f t="array" aca="1" ref="A3112" ca="1">(ROW(A1111:M3110))</f>
        <v>#VALUE!</v>
      </c>
    </row>
    <row r="3113" spans="1:1">
      <c r="A3113" t="e" cm="1" vm="1">
        <f t="array" aca="1" ref="A3113" ca="1">(ROW(A1112:M3111))</f>
        <v>#VALUE!</v>
      </c>
    </row>
    <row r="3114" spans="1:1">
      <c r="A3114" t="e" cm="1" vm="1">
        <f t="array" aca="1" ref="A3114" ca="1">(ROW(A1113:M3112))</f>
        <v>#VALUE!</v>
      </c>
    </row>
    <row r="3115" spans="1:1">
      <c r="A3115" t="e" cm="1" vm="1">
        <f t="array" aca="1" ref="A3115" ca="1">(ROW(A1114:M3113))</f>
        <v>#VALUE!</v>
      </c>
    </row>
    <row r="3116" spans="1:1">
      <c r="A3116" t="e" cm="1" vm="1">
        <f t="array" aca="1" ref="A3116" ca="1">(ROW(A1115:M3114))</f>
        <v>#VALUE!</v>
      </c>
    </row>
    <row r="3117" spans="1:1">
      <c r="A3117" t="e" cm="1" vm="1">
        <f t="array" aca="1" ref="A3117" ca="1">(ROW(A1116:M3115))</f>
        <v>#VALUE!</v>
      </c>
    </row>
    <row r="3118" spans="1:1">
      <c r="A3118" t="e" cm="1" vm="1">
        <f t="array" aca="1" ref="A3118" ca="1">(ROW(A1117:M3116))</f>
        <v>#VALUE!</v>
      </c>
    </row>
    <row r="3119" spans="1:1">
      <c r="A3119" t="e" cm="1" vm="1">
        <f t="array" aca="1" ref="A3119" ca="1">(ROW(A1118:M3117))</f>
        <v>#VALUE!</v>
      </c>
    </row>
    <row r="3120" spans="1:1">
      <c r="A3120" t="e" cm="1" vm="1">
        <f t="array" aca="1" ref="A3120" ca="1">(ROW(A1119:M3118))</f>
        <v>#VALUE!</v>
      </c>
    </row>
    <row r="3121" spans="1:1">
      <c r="A3121" t="e" cm="1" vm="1">
        <f t="array" aca="1" ref="A3121" ca="1">(ROW(A1120:M3119))</f>
        <v>#VALUE!</v>
      </c>
    </row>
    <row r="3122" spans="1:1">
      <c r="A3122" t="e" cm="1" vm="1">
        <f t="array" aca="1" ref="A3122" ca="1">(ROW(A1121:M3120))</f>
        <v>#VALUE!</v>
      </c>
    </row>
    <row r="3123" spans="1:1">
      <c r="A3123" t="e" cm="1" vm="1">
        <f t="array" aca="1" ref="A3123" ca="1">(ROW(A1122:M3121))</f>
        <v>#VALUE!</v>
      </c>
    </row>
    <row r="3124" spans="1:1">
      <c r="A3124" t="e" cm="1" vm="1">
        <f t="array" aca="1" ref="A3124" ca="1">(ROW(A1123:M3122))</f>
        <v>#VALUE!</v>
      </c>
    </row>
    <row r="3125" spans="1:1">
      <c r="A3125" t="e" cm="1" vm="1">
        <f t="array" aca="1" ref="A3125" ca="1">(ROW(A1124:M3123))</f>
        <v>#VALUE!</v>
      </c>
    </row>
    <row r="3126" spans="1:1">
      <c r="A3126" t="e" cm="1" vm="1">
        <f t="array" aca="1" ref="A3126" ca="1">(ROW(A1125:M3124))</f>
        <v>#VALUE!</v>
      </c>
    </row>
    <row r="3127" spans="1:1">
      <c r="A3127" t="e" cm="1" vm="1">
        <f t="array" aca="1" ref="A3127" ca="1">(ROW(A1126:M3125))</f>
        <v>#VALUE!</v>
      </c>
    </row>
    <row r="3128" spans="1:1">
      <c r="A3128" t="e" cm="1" vm="1">
        <f t="array" aca="1" ref="A3128" ca="1">(ROW(A1127:M3126))</f>
        <v>#VALUE!</v>
      </c>
    </row>
    <row r="3129" spans="1:1">
      <c r="A3129" t="e" cm="1" vm="1">
        <f t="array" aca="1" ref="A3129" ca="1">(ROW(A1128:M3127))</f>
        <v>#VALUE!</v>
      </c>
    </row>
    <row r="3130" spans="1:1">
      <c r="A3130" t="e" cm="1" vm="1">
        <f t="array" aca="1" ref="A3130" ca="1">(ROW(A1129:M3128))</f>
        <v>#VALUE!</v>
      </c>
    </row>
    <row r="3131" spans="1:1">
      <c r="A3131" t="e" cm="1" vm="1">
        <f t="array" aca="1" ref="A3131" ca="1">(ROW(A1130:M3129))</f>
        <v>#VALUE!</v>
      </c>
    </row>
    <row r="3132" spans="1:1">
      <c r="A3132" t="e" cm="1" vm="1">
        <f t="array" aca="1" ref="A3132" ca="1">(ROW(A1131:M3130))</f>
        <v>#VALUE!</v>
      </c>
    </row>
    <row r="3133" spans="1:1">
      <c r="A3133" t="e" cm="1" vm="1">
        <f t="array" aca="1" ref="A3133" ca="1">(ROW(A1132:M3131))</f>
        <v>#VALUE!</v>
      </c>
    </row>
    <row r="3134" spans="1:1">
      <c r="A3134" t="e" cm="1" vm="1">
        <f t="array" aca="1" ref="A3134" ca="1">(ROW(A1133:M3132))</f>
        <v>#VALUE!</v>
      </c>
    </row>
    <row r="3135" spans="1:1">
      <c r="A3135" t="e" cm="1" vm="1">
        <f t="array" aca="1" ref="A3135" ca="1">(ROW(A1134:M3133))</f>
        <v>#VALUE!</v>
      </c>
    </row>
    <row r="3136" spans="1:1">
      <c r="A3136" t="e" cm="1" vm="1">
        <f t="array" aca="1" ref="A3136" ca="1">(ROW(A1135:M3134))</f>
        <v>#VALUE!</v>
      </c>
    </row>
    <row r="3137" spans="1:1">
      <c r="A3137" t="e" cm="1" vm="1">
        <f t="array" aca="1" ref="A3137" ca="1">(ROW(A1136:M3135))</f>
        <v>#VALUE!</v>
      </c>
    </row>
    <row r="3138" spans="1:1">
      <c r="A3138" t="e" cm="1" vm="1">
        <f t="array" aca="1" ref="A3138" ca="1">(ROW(A1137:M3136))</f>
        <v>#VALUE!</v>
      </c>
    </row>
    <row r="3139" spans="1:1">
      <c r="A3139" t="e" cm="1" vm="1">
        <f t="array" aca="1" ref="A3139" ca="1">(ROW(A1138:M3137))</f>
        <v>#VALUE!</v>
      </c>
    </row>
    <row r="3140" spans="1:1">
      <c r="A3140" t="e" cm="1" vm="1">
        <f t="array" aca="1" ref="A3140" ca="1">(ROW(A1139:M3138))</f>
        <v>#VALUE!</v>
      </c>
    </row>
    <row r="3141" spans="1:1">
      <c r="A3141" t="e" cm="1" vm="1">
        <f t="array" aca="1" ref="A3141" ca="1">(ROW(A1140:M3139))</f>
        <v>#VALUE!</v>
      </c>
    </row>
    <row r="3142" spans="1:1">
      <c r="A3142" t="e" cm="1" vm="1">
        <f t="array" aca="1" ref="A3142" ca="1">(ROW(A1141:M3140))</f>
        <v>#VALUE!</v>
      </c>
    </row>
    <row r="3143" spans="1:1">
      <c r="A3143" t="e" cm="1" vm="1">
        <f t="array" aca="1" ref="A3143" ca="1">(ROW(A1142:M3141))</f>
        <v>#VALUE!</v>
      </c>
    </row>
    <row r="3144" spans="1:1">
      <c r="A3144" t="e" cm="1" vm="1">
        <f t="array" aca="1" ref="A3144" ca="1">(ROW(A1143:M3142))</f>
        <v>#VALUE!</v>
      </c>
    </row>
    <row r="3145" spans="1:1">
      <c r="A3145" t="e" cm="1" vm="1">
        <f t="array" aca="1" ref="A3145" ca="1">(ROW(A1144:M3143))</f>
        <v>#VALUE!</v>
      </c>
    </row>
    <row r="3146" spans="1:1">
      <c r="A3146" t="e" cm="1" vm="1">
        <f t="array" aca="1" ref="A3146" ca="1">(ROW(A1145:M3144))</f>
        <v>#VALUE!</v>
      </c>
    </row>
    <row r="3147" spans="1:1">
      <c r="A3147" t="e" cm="1" vm="1">
        <f t="array" aca="1" ref="A3147" ca="1">(ROW(A1146:M3145))</f>
        <v>#VALUE!</v>
      </c>
    </row>
    <row r="3148" spans="1:1">
      <c r="A3148" t="e" cm="1" vm="1">
        <f t="array" aca="1" ref="A3148" ca="1">(ROW(A1147:M3146))</f>
        <v>#VALUE!</v>
      </c>
    </row>
    <row r="3149" spans="1:1">
      <c r="A3149" t="e" cm="1" vm="1">
        <f t="array" aca="1" ref="A3149" ca="1">(ROW(A1148:M3147))</f>
        <v>#VALUE!</v>
      </c>
    </row>
    <row r="3150" spans="1:1">
      <c r="A3150" t="e" cm="1" vm="1">
        <f t="array" aca="1" ref="A3150" ca="1">(ROW(A1149:M3148))</f>
        <v>#VALUE!</v>
      </c>
    </row>
    <row r="3151" spans="1:1">
      <c r="A3151" t="e" cm="1" vm="1">
        <f t="array" aca="1" ref="A3151" ca="1">(ROW(A1150:M3149))</f>
        <v>#VALUE!</v>
      </c>
    </row>
    <row r="3152" spans="1:1">
      <c r="A3152" t="e" cm="1" vm="1">
        <f t="array" aca="1" ref="A3152" ca="1">(ROW(A1151:M3150))</f>
        <v>#VALUE!</v>
      </c>
    </row>
    <row r="3153" spans="1:1">
      <c r="A3153" t="e" cm="1" vm="1">
        <f t="array" aca="1" ref="A3153" ca="1">(ROW(A1152:M3151))</f>
        <v>#VALUE!</v>
      </c>
    </row>
    <row r="3154" spans="1:1">
      <c r="A3154" t="e" cm="1" vm="1">
        <f t="array" aca="1" ref="A3154" ca="1">(ROW(A1153:M3152))</f>
        <v>#VALUE!</v>
      </c>
    </row>
    <row r="3155" spans="1:1">
      <c r="A3155" t="e" cm="1" vm="1">
        <f t="array" aca="1" ref="A3155" ca="1">(ROW(A1154:M3153))</f>
        <v>#VALUE!</v>
      </c>
    </row>
    <row r="3156" spans="1:1">
      <c r="A3156" t="e" cm="1" vm="1">
        <f t="array" aca="1" ref="A3156" ca="1">(ROW(A1155:M3154))</f>
        <v>#VALUE!</v>
      </c>
    </row>
    <row r="3157" spans="1:1">
      <c r="A3157" t="e" cm="1" vm="1">
        <f t="array" aca="1" ref="A3157" ca="1">(ROW(A1156:M3155))</f>
        <v>#VALUE!</v>
      </c>
    </row>
    <row r="3158" spans="1:1">
      <c r="A3158" t="e" cm="1" vm="1">
        <f t="array" aca="1" ref="A3158" ca="1">(ROW(A1157:M3156))</f>
        <v>#VALUE!</v>
      </c>
    </row>
    <row r="3159" spans="1:1">
      <c r="A3159" t="e" cm="1" vm="1">
        <f t="array" aca="1" ref="A3159" ca="1">(ROW(A1158:M3157))</f>
        <v>#VALUE!</v>
      </c>
    </row>
    <row r="3160" spans="1:1">
      <c r="A3160" t="e" cm="1" vm="1">
        <f t="array" aca="1" ref="A3160" ca="1">(ROW(A1159:M3158))</f>
        <v>#VALUE!</v>
      </c>
    </row>
    <row r="3161" spans="1:1">
      <c r="A3161" t="e" cm="1" vm="1">
        <f t="array" aca="1" ref="A3161" ca="1">(ROW(A1160:M3159))</f>
        <v>#VALUE!</v>
      </c>
    </row>
    <row r="3162" spans="1:1">
      <c r="A3162" t="e" cm="1" vm="1">
        <f t="array" aca="1" ref="A3162" ca="1">(ROW(A1161:M3160))</f>
        <v>#VALUE!</v>
      </c>
    </row>
    <row r="3163" spans="1:1">
      <c r="A3163" t="e" cm="1" vm="1">
        <f t="array" aca="1" ref="A3163" ca="1">(ROW(A1162:M3161))</f>
        <v>#VALUE!</v>
      </c>
    </row>
    <row r="3164" spans="1:1">
      <c r="A3164" t="e" cm="1" vm="1">
        <f t="array" aca="1" ref="A3164" ca="1">(ROW(A1163:M3162))</f>
        <v>#VALUE!</v>
      </c>
    </row>
    <row r="3165" spans="1:1">
      <c r="A3165" t="e" cm="1" vm="1">
        <f t="array" aca="1" ref="A3165" ca="1">(ROW(A1164:M3163))</f>
        <v>#VALUE!</v>
      </c>
    </row>
    <row r="3166" spans="1:1">
      <c r="A3166" t="e" cm="1" vm="1">
        <f t="array" aca="1" ref="A3166" ca="1">(ROW(A1165:M3164))</f>
        <v>#VALUE!</v>
      </c>
    </row>
    <row r="3167" spans="1:1">
      <c r="A3167" t="e" cm="1" vm="1">
        <f t="array" aca="1" ref="A3167" ca="1">(ROW(A1166:M3165))</f>
        <v>#VALUE!</v>
      </c>
    </row>
    <row r="3168" spans="1:1">
      <c r="A3168" t="e" cm="1" vm="1">
        <f t="array" aca="1" ref="A3168" ca="1">(ROW(A1167:M3166))</f>
        <v>#VALUE!</v>
      </c>
    </row>
    <row r="3169" spans="1:1">
      <c r="A3169" t="e" cm="1" vm="1">
        <f t="array" aca="1" ref="A3169" ca="1">(ROW(A1168:M3167))</f>
        <v>#VALUE!</v>
      </c>
    </row>
    <row r="3170" spans="1:1">
      <c r="A3170" t="e" cm="1" vm="1">
        <f t="array" aca="1" ref="A3170" ca="1">(ROW(A1169:M3168))</f>
        <v>#VALUE!</v>
      </c>
    </row>
    <row r="3171" spans="1:1">
      <c r="A3171" t="e" cm="1" vm="1">
        <f t="array" aca="1" ref="A3171" ca="1">(ROW(A1170:M3169))</f>
        <v>#VALUE!</v>
      </c>
    </row>
    <row r="3172" spans="1:1">
      <c r="A3172" t="e" cm="1" vm="1">
        <f t="array" aca="1" ref="A3172" ca="1">(ROW(A1171:M3170))</f>
        <v>#VALUE!</v>
      </c>
    </row>
    <row r="3173" spans="1:1">
      <c r="A3173" t="e" cm="1" vm="1">
        <f t="array" aca="1" ref="A3173" ca="1">(ROW(A1172:M3171))</f>
        <v>#VALUE!</v>
      </c>
    </row>
    <row r="3174" spans="1:1">
      <c r="A3174" t="e" cm="1" vm="1">
        <f t="array" aca="1" ref="A3174" ca="1">(ROW(A1173:M3172))</f>
        <v>#VALUE!</v>
      </c>
    </row>
    <row r="3175" spans="1:1">
      <c r="A3175" t="e" cm="1" vm="1">
        <f t="array" aca="1" ref="A3175" ca="1">(ROW(A1174:M3173))</f>
        <v>#VALUE!</v>
      </c>
    </row>
    <row r="3176" spans="1:1">
      <c r="A3176" t="e" cm="1" vm="1">
        <f t="array" aca="1" ref="A3176" ca="1">(ROW(A1175:M3174))</f>
        <v>#VALUE!</v>
      </c>
    </row>
    <row r="3177" spans="1:1">
      <c r="A3177" t="e" cm="1" vm="1">
        <f t="array" aca="1" ref="A3177" ca="1">(ROW(A1176:M3175))</f>
        <v>#VALUE!</v>
      </c>
    </row>
    <row r="3178" spans="1:1">
      <c r="A3178" t="e" cm="1" vm="1">
        <f t="array" aca="1" ref="A3178" ca="1">(ROW(A1177:M3176))</f>
        <v>#VALUE!</v>
      </c>
    </row>
    <row r="3179" spans="1:1">
      <c r="A3179" t="e" cm="1" vm="1">
        <f t="array" aca="1" ref="A3179" ca="1">(ROW(A1178:M3177))</f>
        <v>#VALUE!</v>
      </c>
    </row>
    <row r="3180" spans="1:1">
      <c r="A3180" t="e" cm="1" vm="1">
        <f t="array" aca="1" ref="A3180" ca="1">(ROW(A1179:M3178))</f>
        <v>#VALUE!</v>
      </c>
    </row>
    <row r="3181" spans="1:1">
      <c r="A3181" t="e" cm="1" vm="1">
        <f t="array" aca="1" ref="A3181" ca="1">(ROW(A1180:M3179))</f>
        <v>#VALUE!</v>
      </c>
    </row>
    <row r="3182" spans="1:1">
      <c r="A3182" t="e" cm="1" vm="1">
        <f t="array" aca="1" ref="A3182" ca="1">(ROW(A1181:M3180))</f>
        <v>#VALUE!</v>
      </c>
    </row>
    <row r="3183" spans="1:1">
      <c r="A3183" t="e" cm="1" vm="1">
        <f t="array" aca="1" ref="A3183" ca="1">(ROW(A1182:M3181))</f>
        <v>#VALUE!</v>
      </c>
    </row>
    <row r="3184" spans="1:1">
      <c r="A3184" t="e" cm="1" vm="1">
        <f t="array" aca="1" ref="A3184" ca="1">(ROW(A1183:M3182))</f>
        <v>#VALUE!</v>
      </c>
    </row>
    <row r="3185" spans="1:1">
      <c r="A3185" t="e" cm="1" vm="1">
        <f t="array" aca="1" ref="A3185" ca="1">(ROW(A1184:M3183))</f>
        <v>#VALUE!</v>
      </c>
    </row>
    <row r="3186" spans="1:1">
      <c r="A3186" t="e" cm="1" vm="1">
        <f t="array" aca="1" ref="A3186" ca="1">(ROW(A1185:M3184))</f>
        <v>#VALUE!</v>
      </c>
    </row>
    <row r="3187" spans="1:1">
      <c r="A3187" t="e" cm="1" vm="1">
        <f t="array" aca="1" ref="A3187" ca="1">(ROW(A1186:M3185))</f>
        <v>#VALUE!</v>
      </c>
    </row>
    <row r="3188" spans="1:1">
      <c r="A3188" t="e" cm="1" vm="1">
        <f t="array" aca="1" ref="A3188" ca="1">(ROW(A1187:M3186))</f>
        <v>#VALUE!</v>
      </c>
    </row>
    <row r="3189" spans="1:1">
      <c r="A3189" t="e" cm="1" vm="1">
        <f t="array" aca="1" ref="A3189" ca="1">(ROW(A1188:M3187))</f>
        <v>#VALUE!</v>
      </c>
    </row>
    <row r="3190" spans="1:1">
      <c r="A3190" t="e" cm="1" vm="1">
        <f t="array" aca="1" ref="A3190" ca="1">(ROW(A1189:M3188))</f>
        <v>#VALUE!</v>
      </c>
    </row>
    <row r="3191" spans="1:1">
      <c r="A3191" t="e" cm="1" vm="1">
        <f t="array" aca="1" ref="A3191" ca="1">(ROW(A1190:M3189))</f>
        <v>#VALUE!</v>
      </c>
    </row>
    <row r="3192" spans="1:1">
      <c r="A3192" t="e" cm="1" vm="1">
        <f t="array" aca="1" ref="A3192" ca="1">(ROW(A1191:M3190))</f>
        <v>#VALUE!</v>
      </c>
    </row>
    <row r="3193" spans="1:1">
      <c r="A3193" t="e" cm="1" vm="1">
        <f t="array" aca="1" ref="A3193" ca="1">(ROW(A1192:M3191))</f>
        <v>#VALUE!</v>
      </c>
    </row>
    <row r="3194" spans="1:1">
      <c r="A3194" t="e" cm="1" vm="1">
        <f t="array" aca="1" ref="A3194" ca="1">(ROW(A1193:M3192))</f>
        <v>#VALUE!</v>
      </c>
    </row>
    <row r="3195" spans="1:1">
      <c r="A3195" t="e" cm="1" vm="1">
        <f t="array" aca="1" ref="A3195" ca="1">(ROW(A1194:M3193))</f>
        <v>#VALUE!</v>
      </c>
    </row>
    <row r="3196" spans="1:1">
      <c r="A3196" t="e" cm="1" vm="1">
        <f t="array" aca="1" ref="A3196" ca="1">(ROW(A1195:M3194))</f>
        <v>#VALUE!</v>
      </c>
    </row>
    <row r="3197" spans="1:1">
      <c r="A3197" t="e" cm="1" vm="1">
        <f t="array" aca="1" ref="A3197" ca="1">(ROW(A1196:M3195))</f>
        <v>#VALUE!</v>
      </c>
    </row>
    <row r="3198" spans="1:1">
      <c r="A3198" t="e" cm="1" vm="1">
        <f t="array" aca="1" ref="A3198" ca="1">(ROW(A1197:M3196))</f>
        <v>#VALUE!</v>
      </c>
    </row>
    <row r="3199" spans="1:1">
      <c r="A3199" t="e" cm="1" vm="1">
        <f t="array" aca="1" ref="A3199" ca="1">(ROW(A1198:M3197))</f>
        <v>#VALUE!</v>
      </c>
    </row>
    <row r="3200" spans="1:1">
      <c r="A3200" t="e" cm="1" vm="1">
        <f t="array" aca="1" ref="A3200" ca="1">(ROW(A1199:M3198))</f>
        <v>#VALUE!</v>
      </c>
    </row>
    <row r="3201" spans="1:1">
      <c r="A3201" t="e" cm="1" vm="1">
        <f t="array" aca="1" ref="A3201" ca="1">(ROW(A1200:M3199))</f>
        <v>#VALUE!</v>
      </c>
    </row>
    <row r="3202" spans="1:1">
      <c r="A3202" t="e" cm="1" vm="1">
        <f t="array" aca="1" ref="A3202" ca="1">(ROW(A1201:M3200))</f>
        <v>#VALUE!</v>
      </c>
    </row>
    <row r="3203" spans="1:1">
      <c r="A3203" t="e" cm="1" vm="1">
        <f t="array" aca="1" ref="A3203" ca="1">(ROW(A1202:M3201))</f>
        <v>#VALUE!</v>
      </c>
    </row>
    <row r="3204" spans="1:1">
      <c r="A3204" t="e" cm="1" vm="1">
        <f t="array" aca="1" ref="A3204" ca="1">(ROW(A1203:M3202))</f>
        <v>#VALUE!</v>
      </c>
    </row>
    <row r="3205" spans="1:1">
      <c r="A3205" t="e" cm="1" vm="1">
        <f t="array" aca="1" ref="A3205" ca="1">(ROW(A1204:M3203))</f>
        <v>#VALUE!</v>
      </c>
    </row>
    <row r="3206" spans="1:1">
      <c r="A3206" t="e" cm="1" vm="1">
        <f t="array" aca="1" ref="A3206" ca="1">(ROW(A1205:M3204))</f>
        <v>#VALUE!</v>
      </c>
    </row>
    <row r="3207" spans="1:1">
      <c r="A3207" t="e" cm="1" vm="1">
        <f t="array" aca="1" ref="A3207" ca="1">(ROW(A1206:M3205))</f>
        <v>#VALUE!</v>
      </c>
    </row>
    <row r="3208" spans="1:1">
      <c r="A3208" t="e" cm="1" vm="1">
        <f t="array" aca="1" ref="A3208" ca="1">(ROW(A1207:M3206))</f>
        <v>#VALUE!</v>
      </c>
    </row>
    <row r="3209" spans="1:1">
      <c r="A3209" t="e" cm="1" vm="1">
        <f t="array" aca="1" ref="A3209" ca="1">(ROW(A1208:M3207))</f>
        <v>#VALUE!</v>
      </c>
    </row>
    <row r="3210" spans="1:1">
      <c r="A3210" t="e" cm="1" vm="1">
        <f t="array" aca="1" ref="A3210" ca="1">(ROW(A1209:M3208))</f>
        <v>#VALUE!</v>
      </c>
    </row>
    <row r="3211" spans="1:1">
      <c r="A3211" t="e" cm="1" vm="1">
        <f t="array" aca="1" ref="A3211" ca="1">(ROW(A1210:M3209))</f>
        <v>#VALUE!</v>
      </c>
    </row>
    <row r="3212" spans="1:1">
      <c r="A3212" t="e" cm="1" vm="1">
        <f t="array" aca="1" ref="A3212" ca="1">(ROW(A1211:M3210))</f>
        <v>#VALUE!</v>
      </c>
    </row>
    <row r="3213" spans="1:1">
      <c r="A3213" t="e" cm="1" vm="1">
        <f t="array" aca="1" ref="A3213" ca="1">(ROW(A1212:M3211))</f>
        <v>#VALUE!</v>
      </c>
    </row>
    <row r="3214" spans="1:1">
      <c r="A3214" t="e" cm="1" vm="1">
        <f t="array" aca="1" ref="A3214" ca="1">(ROW(A1213:M3212))</f>
        <v>#VALUE!</v>
      </c>
    </row>
    <row r="3215" spans="1:1">
      <c r="A3215" t="e" cm="1" vm="1">
        <f t="array" aca="1" ref="A3215" ca="1">(ROW(A1214:M3213))</f>
        <v>#VALUE!</v>
      </c>
    </row>
    <row r="3216" spans="1:1">
      <c r="A3216" t="e" cm="1" vm="1">
        <f t="array" aca="1" ref="A3216" ca="1">(ROW(A1215:M3214))</f>
        <v>#VALUE!</v>
      </c>
    </row>
    <row r="3217" spans="1:1">
      <c r="A3217" t="e" cm="1" vm="1">
        <f t="array" aca="1" ref="A3217" ca="1">(ROW(A1216:M3215))</f>
        <v>#VALUE!</v>
      </c>
    </row>
    <row r="3218" spans="1:1">
      <c r="A3218" t="e" cm="1" vm="1">
        <f t="array" aca="1" ref="A3218" ca="1">(ROW(A1217:M3216))</f>
        <v>#VALUE!</v>
      </c>
    </row>
    <row r="3219" spans="1:1">
      <c r="A3219" t="e" cm="1" vm="1">
        <f t="array" aca="1" ref="A3219" ca="1">(ROW(A1218:M3217))</f>
        <v>#VALUE!</v>
      </c>
    </row>
    <row r="3220" spans="1:1">
      <c r="A3220" t="e" cm="1" vm="1">
        <f t="array" aca="1" ref="A3220" ca="1">(ROW(A1219:M3218))</f>
        <v>#VALUE!</v>
      </c>
    </row>
    <row r="3221" spans="1:1">
      <c r="A3221" t="e" cm="1" vm="1">
        <f t="array" aca="1" ref="A3221" ca="1">(ROW(A1220:M3219))</f>
        <v>#VALUE!</v>
      </c>
    </row>
    <row r="3222" spans="1:1">
      <c r="A3222" t="e" cm="1" vm="1">
        <f t="array" aca="1" ref="A3222" ca="1">(ROW(A1221:M3220))</f>
        <v>#VALUE!</v>
      </c>
    </row>
    <row r="3223" spans="1:1">
      <c r="A3223" t="e" cm="1" vm="1">
        <f t="array" aca="1" ref="A3223" ca="1">(ROW(A1222:M3221))</f>
        <v>#VALUE!</v>
      </c>
    </row>
    <row r="3224" spans="1:1">
      <c r="A3224" t="e" cm="1" vm="1">
        <f t="array" aca="1" ref="A3224" ca="1">(ROW(A1223:M3222))</f>
        <v>#VALUE!</v>
      </c>
    </row>
    <row r="3225" spans="1:1">
      <c r="A3225" t="e" cm="1" vm="1">
        <f t="array" aca="1" ref="A3225" ca="1">(ROW(A1224:M3223))</f>
        <v>#VALUE!</v>
      </c>
    </row>
    <row r="3226" spans="1:1">
      <c r="A3226" t="e" cm="1" vm="1">
        <f t="array" aca="1" ref="A3226" ca="1">(ROW(A1225:M3224))</f>
        <v>#VALUE!</v>
      </c>
    </row>
    <row r="3227" spans="1:1">
      <c r="A3227" t="e" cm="1" vm="1">
        <f t="array" aca="1" ref="A3227" ca="1">(ROW(A1226:M3225))</f>
        <v>#VALUE!</v>
      </c>
    </row>
    <row r="3228" spans="1:1">
      <c r="A3228" t="e" cm="1" vm="1">
        <f t="array" aca="1" ref="A3228" ca="1">(ROW(A1227:M3226))</f>
        <v>#VALUE!</v>
      </c>
    </row>
    <row r="3229" spans="1:1">
      <c r="A3229" t="e" cm="1" vm="1">
        <f t="array" aca="1" ref="A3229" ca="1">(ROW(A1228:M3227))</f>
        <v>#VALUE!</v>
      </c>
    </row>
    <row r="3230" spans="1:1">
      <c r="A3230" t="e" cm="1" vm="1">
        <f t="array" aca="1" ref="A3230" ca="1">(ROW(A1229:M3228))</f>
        <v>#VALUE!</v>
      </c>
    </row>
    <row r="3231" spans="1:1">
      <c r="A3231" t="e" cm="1" vm="1">
        <f t="array" aca="1" ref="A3231" ca="1">(ROW(A1230:M3229))</f>
        <v>#VALUE!</v>
      </c>
    </row>
    <row r="3232" spans="1:1">
      <c r="A3232" t="e" cm="1" vm="1">
        <f t="array" aca="1" ref="A3232" ca="1">(ROW(A1231:M3230))</f>
        <v>#VALUE!</v>
      </c>
    </row>
    <row r="3233" spans="1:1">
      <c r="A3233" t="e" cm="1" vm="1">
        <f t="array" aca="1" ref="A3233" ca="1">(ROW(A1232:M3231))</f>
        <v>#VALUE!</v>
      </c>
    </row>
    <row r="3234" spans="1:1">
      <c r="A3234" t="e" cm="1" vm="1">
        <f t="array" aca="1" ref="A3234" ca="1">(ROW(A1233:M3232))</f>
        <v>#VALUE!</v>
      </c>
    </row>
    <row r="3235" spans="1:1">
      <c r="A3235" t="e" cm="1" vm="1">
        <f t="array" aca="1" ref="A3235" ca="1">(ROW(A1234:M3233))</f>
        <v>#VALUE!</v>
      </c>
    </row>
    <row r="3236" spans="1:1">
      <c r="A3236" t="e" cm="1" vm="1">
        <f t="array" aca="1" ref="A3236" ca="1">(ROW(A1235:M3234))</f>
        <v>#VALUE!</v>
      </c>
    </row>
    <row r="3237" spans="1:1">
      <c r="A3237" t="e" cm="1" vm="1">
        <f t="array" aca="1" ref="A3237" ca="1">(ROW(A1236:M3235))</f>
        <v>#VALUE!</v>
      </c>
    </row>
    <row r="3238" spans="1:1">
      <c r="A3238" t="e" cm="1" vm="1">
        <f t="array" aca="1" ref="A3238" ca="1">(ROW(A1237:M3236))</f>
        <v>#VALUE!</v>
      </c>
    </row>
    <row r="3239" spans="1:1">
      <c r="A3239" t="e" cm="1" vm="1">
        <f t="array" aca="1" ref="A3239" ca="1">(ROW(A1238:M3237))</f>
        <v>#VALUE!</v>
      </c>
    </row>
    <row r="3240" spans="1:1">
      <c r="A3240" t="e" cm="1" vm="1">
        <f t="array" aca="1" ref="A3240" ca="1">(ROW(A1239:M3238))</f>
        <v>#VALUE!</v>
      </c>
    </row>
    <row r="3241" spans="1:1">
      <c r="A3241" t="e" cm="1" vm="1">
        <f t="array" aca="1" ref="A3241" ca="1">(ROW(A1240:M3239))</f>
        <v>#VALUE!</v>
      </c>
    </row>
    <row r="3242" spans="1:1">
      <c r="A3242" t="e" cm="1" vm="1">
        <f t="array" aca="1" ref="A3242" ca="1">(ROW(A1241:M3240))</f>
        <v>#VALUE!</v>
      </c>
    </row>
    <row r="3243" spans="1:1">
      <c r="A3243" t="e" cm="1" vm="1">
        <f t="array" aca="1" ref="A3243" ca="1">(ROW(A1242:M3241))</f>
        <v>#VALUE!</v>
      </c>
    </row>
    <row r="3244" spans="1:1">
      <c r="A3244" t="e" cm="1" vm="1">
        <f t="array" aca="1" ref="A3244" ca="1">(ROW(A1243:M3242))</f>
        <v>#VALUE!</v>
      </c>
    </row>
    <row r="3245" spans="1:1">
      <c r="A3245" t="e" cm="1" vm="1">
        <f t="array" aca="1" ref="A3245" ca="1">(ROW(A1244:M3243))</f>
        <v>#VALUE!</v>
      </c>
    </row>
    <row r="3246" spans="1:1">
      <c r="A3246" t="e" cm="1" vm="1">
        <f t="array" aca="1" ref="A3246" ca="1">(ROW(A1245:M3244))</f>
        <v>#VALUE!</v>
      </c>
    </row>
    <row r="3247" spans="1:1">
      <c r="A3247" t="e" cm="1" vm="1">
        <f t="array" aca="1" ref="A3247" ca="1">(ROW(A1246:M3245))</f>
        <v>#VALUE!</v>
      </c>
    </row>
    <row r="3248" spans="1:1">
      <c r="A3248" t="e" cm="1" vm="1">
        <f t="array" aca="1" ref="A3248" ca="1">(ROW(A1247:M3246))</f>
        <v>#VALUE!</v>
      </c>
    </row>
    <row r="3249" spans="1:1">
      <c r="A3249" t="e" cm="1" vm="1">
        <f t="array" aca="1" ref="A3249" ca="1">(ROW(A1248:M3247))</f>
        <v>#VALUE!</v>
      </c>
    </row>
    <row r="3250" spans="1:1">
      <c r="A3250" t="e" cm="1" vm="1">
        <f t="array" aca="1" ref="A3250" ca="1">(ROW(A1249:M3248))</f>
        <v>#VALUE!</v>
      </c>
    </row>
    <row r="3251" spans="1:1">
      <c r="A3251" t="e" cm="1" vm="1">
        <f t="array" aca="1" ref="A3251" ca="1">(ROW(A1250:M3249))</f>
        <v>#VALUE!</v>
      </c>
    </row>
    <row r="3252" spans="1:1">
      <c r="A3252" t="e" cm="1" vm="1">
        <f t="array" aca="1" ref="A3252" ca="1">(ROW(A1251:M3250))</f>
        <v>#VALUE!</v>
      </c>
    </row>
    <row r="3253" spans="1:1">
      <c r="A3253" t="e" cm="1" vm="1">
        <f t="array" aca="1" ref="A3253" ca="1">(ROW(A1252:M3251))</f>
        <v>#VALUE!</v>
      </c>
    </row>
    <row r="3254" spans="1:1">
      <c r="A3254" t="e" cm="1" vm="1">
        <f t="array" aca="1" ref="A3254" ca="1">(ROW(A1253:M3252))</f>
        <v>#VALUE!</v>
      </c>
    </row>
    <row r="3255" spans="1:1">
      <c r="A3255" t="e" cm="1" vm="1">
        <f t="array" aca="1" ref="A3255" ca="1">(ROW(A1254:M3253))</f>
        <v>#VALUE!</v>
      </c>
    </row>
    <row r="3256" spans="1:1">
      <c r="A3256" t="e" cm="1" vm="1">
        <f t="array" aca="1" ref="A3256" ca="1">(ROW(A1255:M3254))</f>
        <v>#VALUE!</v>
      </c>
    </row>
    <row r="3257" spans="1:1">
      <c r="A3257" t="e" cm="1" vm="1">
        <f t="array" aca="1" ref="A3257" ca="1">(ROW(A1256:M3255))</f>
        <v>#VALUE!</v>
      </c>
    </row>
    <row r="3258" spans="1:1">
      <c r="A3258" t="e" cm="1" vm="1">
        <f t="array" aca="1" ref="A3258" ca="1">(ROW(A1257:M3256))</f>
        <v>#VALUE!</v>
      </c>
    </row>
    <row r="3259" spans="1:1">
      <c r="A3259" t="e" cm="1" vm="1">
        <f t="array" aca="1" ref="A3259" ca="1">(ROW(A1258:M3257))</f>
        <v>#VALUE!</v>
      </c>
    </row>
    <row r="3260" spans="1:1">
      <c r="A3260" t="e" cm="1" vm="1">
        <f t="array" aca="1" ref="A3260" ca="1">(ROW(A1259:M3258))</f>
        <v>#VALUE!</v>
      </c>
    </row>
    <row r="3261" spans="1:1">
      <c r="A3261" t="e" cm="1" vm="1">
        <f t="array" aca="1" ref="A3261" ca="1">(ROW(A1260:M3259))</f>
        <v>#VALUE!</v>
      </c>
    </row>
    <row r="3262" spans="1:1">
      <c r="A3262" t="e" cm="1" vm="1">
        <f t="array" aca="1" ref="A3262" ca="1">(ROW(A1261:M3260))</f>
        <v>#VALUE!</v>
      </c>
    </row>
    <row r="3263" spans="1:1">
      <c r="A3263" t="e" cm="1" vm="1">
        <f t="array" aca="1" ref="A3263" ca="1">(ROW(A1262:M3261))</f>
        <v>#VALUE!</v>
      </c>
    </row>
    <row r="3264" spans="1:1">
      <c r="A3264" t="e" cm="1" vm="1">
        <f t="array" aca="1" ref="A3264" ca="1">(ROW(A1263:M3262))</f>
        <v>#VALUE!</v>
      </c>
    </row>
    <row r="3265" spans="1:1">
      <c r="A3265" t="e" cm="1" vm="1">
        <f t="array" aca="1" ref="A3265" ca="1">(ROW(A1264:M3263))</f>
        <v>#VALUE!</v>
      </c>
    </row>
    <row r="3266" spans="1:1">
      <c r="A3266" t="e" cm="1" vm="1">
        <f t="array" aca="1" ref="A3266" ca="1">(ROW(A1265:M3264))</f>
        <v>#VALUE!</v>
      </c>
    </row>
    <row r="3267" spans="1:1">
      <c r="A3267" t="e" cm="1" vm="1">
        <f t="array" aca="1" ref="A3267" ca="1">(ROW(A1266:M3265))</f>
        <v>#VALUE!</v>
      </c>
    </row>
    <row r="3268" spans="1:1">
      <c r="A3268" t="e" cm="1" vm="1">
        <f t="array" aca="1" ref="A3268" ca="1">(ROW(A1267:M3266))</f>
        <v>#VALUE!</v>
      </c>
    </row>
    <row r="3269" spans="1:1">
      <c r="A3269" t="e" cm="1" vm="1">
        <f t="array" aca="1" ref="A3269" ca="1">(ROW(A1268:M3267))</f>
        <v>#VALUE!</v>
      </c>
    </row>
    <row r="3270" spans="1:1">
      <c r="A3270" t="e" cm="1" vm="1">
        <f t="array" aca="1" ref="A3270" ca="1">(ROW(A1269:M3268))</f>
        <v>#VALUE!</v>
      </c>
    </row>
    <row r="3271" spans="1:1">
      <c r="A3271" t="e" cm="1" vm="1">
        <f t="array" aca="1" ref="A3271" ca="1">(ROW(A1270:M3269))</f>
        <v>#VALUE!</v>
      </c>
    </row>
    <row r="3272" spans="1:1">
      <c r="A3272" t="e" cm="1" vm="1">
        <f t="array" aca="1" ref="A3272" ca="1">(ROW(A1271:M3270))</f>
        <v>#VALUE!</v>
      </c>
    </row>
    <row r="3273" spans="1:1">
      <c r="A3273" t="e" cm="1" vm="1">
        <f t="array" aca="1" ref="A3273" ca="1">(ROW(A1272:M3271))</f>
        <v>#VALUE!</v>
      </c>
    </row>
    <row r="3274" spans="1:1">
      <c r="A3274" t="e" cm="1" vm="1">
        <f t="array" aca="1" ref="A3274" ca="1">(ROW(A1273:M3272))</f>
        <v>#VALUE!</v>
      </c>
    </row>
    <row r="3275" spans="1:1">
      <c r="A3275" t="e" cm="1" vm="1">
        <f t="array" aca="1" ref="A3275" ca="1">(ROW(A1274:M3273))</f>
        <v>#VALUE!</v>
      </c>
    </row>
    <row r="3276" spans="1:1">
      <c r="A3276" t="e" cm="1" vm="1">
        <f t="array" aca="1" ref="A3276" ca="1">(ROW(A1275:M3274))</f>
        <v>#VALUE!</v>
      </c>
    </row>
    <row r="3277" spans="1:1">
      <c r="A3277" t="e" cm="1" vm="1">
        <f t="array" aca="1" ref="A3277" ca="1">(ROW(A1276:M3275))</f>
        <v>#VALUE!</v>
      </c>
    </row>
    <row r="3278" spans="1:1">
      <c r="A3278" t="e" cm="1" vm="1">
        <f t="array" aca="1" ref="A3278" ca="1">(ROW(A1277:M3276))</f>
        <v>#VALUE!</v>
      </c>
    </row>
    <row r="3279" spans="1:1">
      <c r="A3279" t="e" cm="1" vm="1">
        <f t="array" aca="1" ref="A3279" ca="1">(ROW(A1278:M3277))</f>
        <v>#VALUE!</v>
      </c>
    </row>
    <row r="3280" spans="1:1">
      <c r="A3280" t="e" cm="1" vm="1">
        <f t="array" aca="1" ref="A3280" ca="1">(ROW(A1279:M3278))</f>
        <v>#VALUE!</v>
      </c>
    </row>
    <row r="3281" spans="1:1">
      <c r="A3281" t="e" cm="1" vm="1">
        <f t="array" aca="1" ref="A3281" ca="1">(ROW(A1280:M3279))</f>
        <v>#VALUE!</v>
      </c>
    </row>
    <row r="3282" spans="1:1">
      <c r="A3282" t="e" cm="1" vm="1">
        <f t="array" aca="1" ref="A3282" ca="1">(ROW(A1281:M3280))</f>
        <v>#VALUE!</v>
      </c>
    </row>
    <row r="3283" spans="1:1">
      <c r="A3283" t="e" cm="1" vm="1">
        <f t="array" aca="1" ref="A3283" ca="1">(ROW(A1282:M3281))</f>
        <v>#VALUE!</v>
      </c>
    </row>
    <row r="3284" spans="1:1">
      <c r="A3284" t="e" cm="1" vm="1">
        <f t="array" aca="1" ref="A3284" ca="1">(ROW(A1283:M3282))</f>
        <v>#VALUE!</v>
      </c>
    </row>
    <row r="3285" spans="1:1">
      <c r="A3285" t="e" cm="1" vm="1">
        <f t="array" aca="1" ref="A3285" ca="1">(ROW(A1284:M3283))</f>
        <v>#VALUE!</v>
      </c>
    </row>
    <row r="3286" spans="1:1">
      <c r="A3286" t="e" cm="1" vm="1">
        <f t="array" aca="1" ref="A3286" ca="1">(ROW(A1285:M3284))</f>
        <v>#VALUE!</v>
      </c>
    </row>
    <row r="3287" spans="1:1">
      <c r="A3287" t="e" cm="1" vm="1">
        <f t="array" aca="1" ref="A3287" ca="1">(ROW(A1286:M3285))</f>
        <v>#VALUE!</v>
      </c>
    </row>
    <row r="3288" spans="1:1">
      <c r="A3288" t="e" cm="1" vm="1">
        <f t="array" aca="1" ref="A3288" ca="1">(ROW(A1287:M3286))</f>
        <v>#VALUE!</v>
      </c>
    </row>
    <row r="3289" spans="1:1">
      <c r="A3289" t="e" cm="1" vm="1">
        <f t="array" aca="1" ref="A3289" ca="1">(ROW(A1288:M3287))</f>
        <v>#VALUE!</v>
      </c>
    </row>
    <row r="3290" spans="1:1">
      <c r="A3290" t="e" cm="1" vm="1">
        <f t="array" aca="1" ref="A3290" ca="1">(ROW(A1289:M3288))</f>
        <v>#VALUE!</v>
      </c>
    </row>
    <row r="3291" spans="1:1">
      <c r="A3291" t="e" cm="1" vm="1">
        <f t="array" aca="1" ref="A3291" ca="1">(ROW(A1290:M3289))</f>
        <v>#VALUE!</v>
      </c>
    </row>
    <row r="3292" spans="1:1">
      <c r="A3292" t="e" cm="1" vm="1">
        <f t="array" aca="1" ref="A3292" ca="1">(ROW(A1291:M3290))</f>
        <v>#VALUE!</v>
      </c>
    </row>
    <row r="3293" spans="1:1">
      <c r="A3293" t="e" cm="1" vm="1">
        <f t="array" aca="1" ref="A3293" ca="1">(ROW(A1292:M3291))</f>
        <v>#VALUE!</v>
      </c>
    </row>
    <row r="3294" spans="1:1">
      <c r="A3294" t="e" cm="1" vm="1">
        <f t="array" aca="1" ref="A3294" ca="1">(ROW(A1293:M3292))</f>
        <v>#VALUE!</v>
      </c>
    </row>
    <row r="3295" spans="1:1">
      <c r="A3295" t="e" cm="1" vm="1">
        <f t="array" aca="1" ref="A3295" ca="1">(ROW(A1294:M3293))</f>
        <v>#VALUE!</v>
      </c>
    </row>
    <row r="3296" spans="1:1">
      <c r="A3296" t="e" cm="1" vm="1">
        <f t="array" aca="1" ref="A3296" ca="1">(ROW(A1295:M3294))</f>
        <v>#VALUE!</v>
      </c>
    </row>
    <row r="3297" spans="1:1">
      <c r="A3297" t="e" cm="1" vm="1">
        <f t="array" aca="1" ref="A3297" ca="1">(ROW(A1296:M3295))</f>
        <v>#VALUE!</v>
      </c>
    </row>
    <row r="3298" spans="1:1">
      <c r="A3298" t="e" cm="1" vm="1">
        <f t="array" aca="1" ref="A3298" ca="1">(ROW(A1297:M3296))</f>
        <v>#VALUE!</v>
      </c>
    </row>
    <row r="3299" spans="1:1">
      <c r="A3299" t="e" cm="1" vm="1">
        <f t="array" aca="1" ref="A3299" ca="1">(ROW(A1298:M3297))</f>
        <v>#VALUE!</v>
      </c>
    </row>
    <row r="3300" spans="1:1">
      <c r="A3300" t="e" cm="1" vm="1">
        <f t="array" aca="1" ref="A3300" ca="1">(ROW(A1299:M3298))</f>
        <v>#VALUE!</v>
      </c>
    </row>
    <row r="3301" spans="1:1">
      <c r="A3301" t="e" cm="1" vm="1">
        <f t="array" aca="1" ref="A3301" ca="1">(ROW(A1300:M3299))</f>
        <v>#VALUE!</v>
      </c>
    </row>
    <row r="3302" spans="1:1">
      <c r="A3302" t="e" cm="1" vm="1">
        <f t="array" aca="1" ref="A3302" ca="1">(ROW(A1301:M3300))</f>
        <v>#VALUE!</v>
      </c>
    </row>
    <row r="3303" spans="1:1">
      <c r="A3303" t="e" cm="1" vm="1">
        <f t="array" aca="1" ref="A3303" ca="1">(ROW(A1302:M3301))</f>
        <v>#VALUE!</v>
      </c>
    </row>
    <row r="3304" spans="1:1">
      <c r="A3304" t="e" cm="1" vm="1">
        <f t="array" aca="1" ref="A3304" ca="1">(ROW(A1303:M3302))</f>
        <v>#VALUE!</v>
      </c>
    </row>
    <row r="3305" spans="1:1">
      <c r="A3305" t="e" cm="1" vm="1">
        <f t="array" aca="1" ref="A3305" ca="1">(ROW(A1304:M3303))</f>
        <v>#VALUE!</v>
      </c>
    </row>
    <row r="3306" spans="1:1">
      <c r="A3306" t="e" cm="1" vm="1">
        <f t="array" aca="1" ref="A3306" ca="1">(ROW(A1305:M3304))</f>
        <v>#VALUE!</v>
      </c>
    </row>
    <row r="3307" spans="1:1">
      <c r="A3307" t="e" cm="1" vm="1">
        <f t="array" aca="1" ref="A3307" ca="1">(ROW(A1306:M3305))</f>
        <v>#VALUE!</v>
      </c>
    </row>
    <row r="3308" spans="1:1">
      <c r="A3308" t="e" cm="1" vm="1">
        <f t="array" aca="1" ref="A3308" ca="1">(ROW(A1307:M3306))</f>
        <v>#VALUE!</v>
      </c>
    </row>
    <row r="3309" spans="1:1">
      <c r="A3309" t="e" cm="1" vm="1">
        <f t="array" aca="1" ref="A3309" ca="1">(ROW(A1308:M3307))</f>
        <v>#VALUE!</v>
      </c>
    </row>
    <row r="3310" spans="1:1">
      <c r="A3310" t="e" cm="1" vm="1">
        <f t="array" aca="1" ref="A3310" ca="1">(ROW(A1309:M3308))</f>
        <v>#VALUE!</v>
      </c>
    </row>
    <row r="3311" spans="1:1">
      <c r="A3311" t="e" cm="1" vm="1">
        <f t="array" aca="1" ref="A3311" ca="1">(ROW(A1310:M3309))</f>
        <v>#VALUE!</v>
      </c>
    </row>
    <row r="3312" spans="1:1">
      <c r="A3312" t="e" cm="1" vm="1">
        <f t="array" aca="1" ref="A3312" ca="1">(ROW(A1311:M3310))</f>
        <v>#VALUE!</v>
      </c>
    </row>
    <row r="3313" spans="1:1">
      <c r="A3313" t="e" cm="1" vm="1">
        <f t="array" aca="1" ref="A3313" ca="1">(ROW(A1312:M3311))</f>
        <v>#VALUE!</v>
      </c>
    </row>
    <row r="3314" spans="1:1">
      <c r="A3314" t="e" cm="1" vm="1">
        <f t="array" aca="1" ref="A3314" ca="1">(ROW(A1313:M3312))</f>
        <v>#VALUE!</v>
      </c>
    </row>
    <row r="3315" spans="1:1">
      <c r="A3315" t="e" cm="1" vm="1">
        <f t="array" aca="1" ref="A3315" ca="1">(ROW(A1314:M3313))</f>
        <v>#VALUE!</v>
      </c>
    </row>
    <row r="3316" spans="1:1">
      <c r="A3316" t="e" cm="1" vm="1">
        <f t="array" aca="1" ref="A3316" ca="1">(ROW(A1315:M3314))</f>
        <v>#VALUE!</v>
      </c>
    </row>
    <row r="3317" spans="1:1">
      <c r="A3317" t="e" cm="1" vm="1">
        <f t="array" aca="1" ref="A3317" ca="1">(ROW(A1316:M3315))</f>
        <v>#VALUE!</v>
      </c>
    </row>
    <row r="3318" spans="1:1">
      <c r="A3318" t="e" cm="1" vm="1">
        <f t="array" aca="1" ref="A3318" ca="1">(ROW(A1317:M3316))</f>
        <v>#VALUE!</v>
      </c>
    </row>
    <row r="3319" spans="1:1">
      <c r="A3319" t="e" cm="1" vm="1">
        <f t="array" aca="1" ref="A3319" ca="1">(ROW(A1318:M3317))</f>
        <v>#VALUE!</v>
      </c>
    </row>
    <row r="3320" spans="1:1">
      <c r="A3320" t="e" cm="1" vm="1">
        <f t="array" aca="1" ref="A3320" ca="1">(ROW(A1319:M3318))</f>
        <v>#VALUE!</v>
      </c>
    </row>
    <row r="3321" spans="1:1">
      <c r="A3321" t="e" cm="1" vm="1">
        <f t="array" aca="1" ref="A3321" ca="1">(ROW(A1320:M3319))</f>
        <v>#VALUE!</v>
      </c>
    </row>
    <row r="3322" spans="1:1">
      <c r="A3322" t="e" cm="1" vm="1">
        <f t="array" aca="1" ref="A3322" ca="1">(ROW(A1321:M3320))</f>
        <v>#VALUE!</v>
      </c>
    </row>
    <row r="3323" spans="1:1">
      <c r="A3323" t="e" cm="1" vm="1">
        <f t="array" aca="1" ref="A3323" ca="1">(ROW(A1322:M3321))</f>
        <v>#VALUE!</v>
      </c>
    </row>
    <row r="3324" spans="1:1">
      <c r="A3324" t="e" cm="1" vm="1">
        <f t="array" aca="1" ref="A3324" ca="1">(ROW(A1323:M3322))</f>
        <v>#VALUE!</v>
      </c>
    </row>
    <row r="3325" spans="1:1">
      <c r="A3325" t="e" cm="1" vm="1">
        <f t="array" aca="1" ref="A3325" ca="1">(ROW(A1324:M3323))</f>
        <v>#VALUE!</v>
      </c>
    </row>
    <row r="3326" spans="1:1">
      <c r="A3326" t="e" cm="1" vm="1">
        <f t="array" aca="1" ref="A3326" ca="1">(ROW(A1325:M3324))</f>
        <v>#VALUE!</v>
      </c>
    </row>
    <row r="3327" spans="1:1">
      <c r="A3327" t="e" cm="1" vm="1">
        <f t="array" aca="1" ref="A3327" ca="1">(ROW(A1326:M3325))</f>
        <v>#VALUE!</v>
      </c>
    </row>
    <row r="3328" spans="1:1">
      <c r="A3328" t="e" cm="1" vm="1">
        <f t="array" aca="1" ref="A3328" ca="1">(ROW(A1327:M3326))</f>
        <v>#VALUE!</v>
      </c>
    </row>
    <row r="3329" spans="1:1">
      <c r="A3329" t="e" cm="1" vm="1">
        <f t="array" aca="1" ref="A3329" ca="1">(ROW(A1328:M3327))</f>
        <v>#VALUE!</v>
      </c>
    </row>
    <row r="3330" spans="1:1">
      <c r="A3330" t="e" cm="1" vm="1">
        <f t="array" aca="1" ref="A3330" ca="1">(ROW(A1329:M3328))</f>
        <v>#VALUE!</v>
      </c>
    </row>
    <row r="3331" spans="1:1">
      <c r="A3331" t="e" cm="1" vm="1">
        <f t="array" aca="1" ref="A3331" ca="1">(ROW(A1330:M3329))</f>
        <v>#VALUE!</v>
      </c>
    </row>
    <row r="3332" spans="1:1">
      <c r="A3332" t="e" cm="1" vm="1">
        <f t="array" aca="1" ref="A3332" ca="1">(ROW(A1331:M3330))</f>
        <v>#VALUE!</v>
      </c>
    </row>
    <row r="3333" spans="1:1">
      <c r="A3333" t="e" cm="1" vm="1">
        <f t="array" aca="1" ref="A3333" ca="1">(ROW(A1332:M3331))</f>
        <v>#VALUE!</v>
      </c>
    </row>
    <row r="3334" spans="1:1">
      <c r="A3334" t="e" cm="1" vm="1">
        <f t="array" aca="1" ref="A3334" ca="1">(ROW(A1333:M3332))</f>
        <v>#VALUE!</v>
      </c>
    </row>
    <row r="3335" spans="1:1">
      <c r="A3335" t="e" cm="1" vm="1">
        <f t="array" aca="1" ref="A3335" ca="1">(ROW(A1334:M3333))</f>
        <v>#VALUE!</v>
      </c>
    </row>
    <row r="3336" spans="1:1">
      <c r="A3336" t="e" cm="1" vm="1">
        <f t="array" aca="1" ref="A3336" ca="1">(ROW(A1335:M3334))</f>
        <v>#VALUE!</v>
      </c>
    </row>
    <row r="3337" spans="1:1">
      <c r="A3337" t="e" cm="1" vm="1">
        <f t="array" aca="1" ref="A3337" ca="1">(ROW(A1336:M3335))</f>
        <v>#VALUE!</v>
      </c>
    </row>
    <row r="3338" spans="1:1">
      <c r="A3338" t="e" cm="1" vm="1">
        <f t="array" aca="1" ref="A3338" ca="1">(ROW(A1337:M3336))</f>
        <v>#VALUE!</v>
      </c>
    </row>
    <row r="3339" spans="1:1">
      <c r="A3339" t="e" cm="1" vm="1">
        <f t="array" aca="1" ref="A3339" ca="1">(ROW(A1338:M3337))</f>
        <v>#VALUE!</v>
      </c>
    </row>
    <row r="3340" spans="1:1">
      <c r="A3340" t="e" cm="1" vm="1">
        <f t="array" aca="1" ref="A3340" ca="1">(ROW(A1339:M3338))</f>
        <v>#VALUE!</v>
      </c>
    </row>
    <row r="3341" spans="1:1">
      <c r="A3341" t="e" cm="1" vm="1">
        <f t="array" aca="1" ref="A3341" ca="1">(ROW(A1340:M3339))</f>
        <v>#VALUE!</v>
      </c>
    </row>
    <row r="3342" spans="1:1">
      <c r="A3342" t="e" cm="1" vm="1">
        <f t="array" aca="1" ref="A3342" ca="1">(ROW(A1341:M3340))</f>
        <v>#VALUE!</v>
      </c>
    </row>
    <row r="3343" spans="1:1">
      <c r="A3343" t="e" cm="1" vm="1">
        <f t="array" aca="1" ref="A3343" ca="1">(ROW(A1342:M3341))</f>
        <v>#VALUE!</v>
      </c>
    </row>
    <row r="3344" spans="1:1">
      <c r="A3344" t="e" cm="1" vm="1">
        <f t="array" aca="1" ref="A3344" ca="1">(ROW(A1343:M3342))</f>
        <v>#VALUE!</v>
      </c>
    </row>
    <row r="3345" spans="1:1">
      <c r="A3345" t="e" cm="1" vm="1">
        <f t="array" aca="1" ref="A3345" ca="1">(ROW(A1344:M3343))</f>
        <v>#VALUE!</v>
      </c>
    </row>
    <row r="3346" spans="1:1">
      <c r="A3346" t="e" cm="1" vm="1">
        <f t="array" aca="1" ref="A3346" ca="1">(ROW(A1345:M3344))</f>
        <v>#VALUE!</v>
      </c>
    </row>
    <row r="3347" spans="1:1">
      <c r="A3347" t="e" cm="1" vm="1">
        <f t="array" aca="1" ref="A3347" ca="1">(ROW(A1346:M3345))</f>
        <v>#VALUE!</v>
      </c>
    </row>
    <row r="3348" spans="1:1">
      <c r="A3348" t="e" cm="1" vm="1">
        <f t="array" aca="1" ref="A3348" ca="1">(ROW(A1347:M3346))</f>
        <v>#VALUE!</v>
      </c>
    </row>
    <row r="3349" spans="1:1">
      <c r="A3349" t="e" cm="1" vm="1">
        <f t="array" aca="1" ref="A3349" ca="1">(ROW(A1348:M3347))</f>
        <v>#VALUE!</v>
      </c>
    </row>
    <row r="3350" spans="1:1">
      <c r="A3350" t="e" cm="1" vm="1">
        <f t="array" aca="1" ref="A3350" ca="1">(ROW(A1349:M3348))</f>
        <v>#VALUE!</v>
      </c>
    </row>
    <row r="3351" spans="1:1">
      <c r="A3351" t="e" cm="1" vm="1">
        <f t="array" aca="1" ref="A3351" ca="1">(ROW(A1350:M3349))</f>
        <v>#VALUE!</v>
      </c>
    </row>
    <row r="3352" spans="1:1">
      <c r="A3352" t="e" cm="1" vm="1">
        <f t="array" aca="1" ref="A3352" ca="1">(ROW(A1351:M3350))</f>
        <v>#VALUE!</v>
      </c>
    </row>
    <row r="3353" spans="1:1">
      <c r="A3353" t="e" cm="1" vm="1">
        <f t="array" aca="1" ref="A3353" ca="1">(ROW(A1352:M3351))</f>
        <v>#VALUE!</v>
      </c>
    </row>
    <row r="3354" spans="1:1">
      <c r="A3354" t="e" cm="1" vm="1">
        <f t="array" aca="1" ref="A3354" ca="1">(ROW(A1353:M3352))</f>
        <v>#VALUE!</v>
      </c>
    </row>
    <row r="3355" spans="1:1">
      <c r="A3355" t="e" cm="1" vm="1">
        <f t="array" aca="1" ref="A3355" ca="1">(ROW(A1354:M3353))</f>
        <v>#VALUE!</v>
      </c>
    </row>
    <row r="3356" spans="1:1">
      <c r="A3356" t="e" cm="1" vm="1">
        <f t="array" aca="1" ref="A3356" ca="1">(ROW(A1355:M3354))</f>
        <v>#VALUE!</v>
      </c>
    </row>
    <row r="3357" spans="1:1">
      <c r="A3357" t="e" cm="1" vm="1">
        <f t="array" aca="1" ref="A3357" ca="1">(ROW(A1356:M3355))</f>
        <v>#VALUE!</v>
      </c>
    </row>
    <row r="3358" spans="1:1">
      <c r="A3358" t="e" cm="1" vm="1">
        <f t="array" aca="1" ref="A3358" ca="1">(ROW(A1357:M3356))</f>
        <v>#VALUE!</v>
      </c>
    </row>
    <row r="3359" spans="1:1">
      <c r="A3359" t="e" cm="1" vm="1">
        <f t="array" aca="1" ref="A3359" ca="1">(ROW(A1358:M3357))</f>
        <v>#VALUE!</v>
      </c>
    </row>
    <row r="3360" spans="1:1">
      <c r="A3360" t="e" cm="1" vm="1">
        <f t="array" aca="1" ref="A3360" ca="1">(ROW(A1359:M3358))</f>
        <v>#VALUE!</v>
      </c>
    </row>
    <row r="3361" spans="1:1">
      <c r="A3361" t="e" cm="1" vm="1">
        <f t="array" aca="1" ref="A3361" ca="1">(ROW(A1360:M3359))</f>
        <v>#VALUE!</v>
      </c>
    </row>
    <row r="3362" spans="1:1">
      <c r="A3362" t="e" cm="1" vm="1">
        <f t="array" aca="1" ref="A3362" ca="1">(ROW(A1361:M3360))</f>
        <v>#VALUE!</v>
      </c>
    </row>
    <row r="3363" spans="1:1">
      <c r="A3363" t="e" cm="1" vm="1">
        <f t="array" aca="1" ref="A3363" ca="1">(ROW(A1362:M3361))</f>
        <v>#VALUE!</v>
      </c>
    </row>
    <row r="3364" spans="1:1">
      <c r="A3364" t="e" cm="1" vm="1">
        <f t="array" aca="1" ref="A3364" ca="1">(ROW(A1363:M3362))</f>
        <v>#VALUE!</v>
      </c>
    </row>
    <row r="3365" spans="1:1">
      <c r="A3365" t="e" cm="1" vm="1">
        <f t="array" aca="1" ref="A3365" ca="1">(ROW(A1364:M3363))</f>
        <v>#VALUE!</v>
      </c>
    </row>
    <row r="3366" spans="1:1">
      <c r="A3366" t="e" cm="1" vm="1">
        <f t="array" aca="1" ref="A3366" ca="1">(ROW(A1365:M3364))</f>
        <v>#VALUE!</v>
      </c>
    </row>
    <row r="3367" spans="1:1">
      <c r="A3367" t="e" cm="1" vm="1">
        <f t="array" aca="1" ref="A3367" ca="1">(ROW(A1366:M3365))</f>
        <v>#VALUE!</v>
      </c>
    </row>
    <row r="3368" spans="1:1">
      <c r="A3368" t="e" cm="1" vm="1">
        <f t="array" aca="1" ref="A3368" ca="1">(ROW(A1367:M3366))</f>
        <v>#VALUE!</v>
      </c>
    </row>
    <row r="3369" spans="1:1">
      <c r="A3369" t="e" cm="1" vm="1">
        <f t="array" aca="1" ref="A3369" ca="1">(ROW(A1368:M3367))</f>
        <v>#VALUE!</v>
      </c>
    </row>
    <row r="3370" spans="1:1">
      <c r="A3370" t="e" cm="1" vm="1">
        <f t="array" aca="1" ref="A3370" ca="1">(ROW(A1369:M3368))</f>
        <v>#VALUE!</v>
      </c>
    </row>
    <row r="3371" spans="1:1">
      <c r="A3371" t="e" cm="1" vm="1">
        <f t="array" aca="1" ref="A3371" ca="1">(ROW(A1370:M3369))</f>
        <v>#VALUE!</v>
      </c>
    </row>
    <row r="3372" spans="1:1">
      <c r="A3372" t="e" cm="1" vm="1">
        <f t="array" aca="1" ref="A3372" ca="1">(ROW(A1371:M3370))</f>
        <v>#VALUE!</v>
      </c>
    </row>
    <row r="3373" spans="1:1">
      <c r="A3373" t="e" cm="1" vm="1">
        <f t="array" aca="1" ref="A3373" ca="1">(ROW(A1372:M3371))</f>
        <v>#VALUE!</v>
      </c>
    </row>
    <row r="3374" spans="1:1">
      <c r="A3374" t="e" cm="1" vm="1">
        <f t="array" aca="1" ref="A3374" ca="1">(ROW(A1373:M3372))</f>
        <v>#VALUE!</v>
      </c>
    </row>
    <row r="3375" spans="1:1">
      <c r="A3375" t="e" cm="1" vm="1">
        <f t="array" aca="1" ref="A3375" ca="1">(ROW(A1374:M3373))</f>
        <v>#VALUE!</v>
      </c>
    </row>
    <row r="3376" spans="1:1">
      <c r="A3376" t="e" cm="1" vm="1">
        <f t="array" aca="1" ref="A3376" ca="1">(ROW(A1375:M3374))</f>
        <v>#VALUE!</v>
      </c>
    </row>
    <row r="3377" spans="1:1">
      <c r="A3377" t="e" cm="1" vm="1">
        <f t="array" aca="1" ref="A3377" ca="1">(ROW(A1376:M3375))</f>
        <v>#VALUE!</v>
      </c>
    </row>
    <row r="3378" spans="1:1">
      <c r="A3378" t="e" cm="1" vm="1">
        <f t="array" aca="1" ref="A3378" ca="1">(ROW(A1377:M3376))</f>
        <v>#VALUE!</v>
      </c>
    </row>
    <row r="3379" spans="1:1">
      <c r="A3379" t="e" cm="1" vm="1">
        <f t="array" aca="1" ref="A3379" ca="1">(ROW(A1378:M3377))</f>
        <v>#VALUE!</v>
      </c>
    </row>
    <row r="3380" spans="1:1">
      <c r="A3380" t="e" cm="1" vm="1">
        <f t="array" aca="1" ref="A3380" ca="1">(ROW(A1379:M3378))</f>
        <v>#VALUE!</v>
      </c>
    </row>
    <row r="3381" spans="1:1">
      <c r="A3381" t="e" cm="1" vm="1">
        <f t="array" aca="1" ref="A3381" ca="1">(ROW(A1380:M3379))</f>
        <v>#VALUE!</v>
      </c>
    </row>
    <row r="3382" spans="1:1">
      <c r="A3382" t="e" cm="1" vm="1">
        <f t="array" aca="1" ref="A3382" ca="1">(ROW(A1381:M3380))</f>
        <v>#VALUE!</v>
      </c>
    </row>
    <row r="3383" spans="1:1">
      <c r="A3383" t="e" cm="1" vm="1">
        <f t="array" aca="1" ref="A3383" ca="1">(ROW(A1382:M3381))</f>
        <v>#VALUE!</v>
      </c>
    </row>
    <row r="3384" spans="1:1">
      <c r="A3384" t="e" cm="1" vm="1">
        <f t="array" aca="1" ref="A3384" ca="1">(ROW(A1383:M3382))</f>
        <v>#VALUE!</v>
      </c>
    </row>
    <row r="3385" spans="1:1">
      <c r="A3385" t="e" cm="1" vm="1">
        <f t="array" aca="1" ref="A3385" ca="1">(ROW(A1384:M3383))</f>
        <v>#VALUE!</v>
      </c>
    </row>
    <row r="3386" spans="1:1">
      <c r="A3386" t="e" cm="1" vm="1">
        <f t="array" aca="1" ref="A3386" ca="1">(ROW(A1385:M3384))</f>
        <v>#VALUE!</v>
      </c>
    </row>
    <row r="3387" spans="1:1">
      <c r="A3387" t="e" cm="1" vm="1">
        <f t="array" aca="1" ref="A3387" ca="1">(ROW(A1386:M3385))</f>
        <v>#VALUE!</v>
      </c>
    </row>
    <row r="3388" spans="1:1">
      <c r="A3388" t="e" cm="1" vm="1">
        <f t="array" aca="1" ref="A3388" ca="1">(ROW(A1387:M3386))</f>
        <v>#VALUE!</v>
      </c>
    </row>
    <row r="3389" spans="1:1">
      <c r="A3389" t="e" cm="1" vm="1">
        <f t="array" aca="1" ref="A3389" ca="1">(ROW(A1388:M3387))</f>
        <v>#VALUE!</v>
      </c>
    </row>
    <row r="3390" spans="1:1">
      <c r="A3390" t="e" cm="1" vm="1">
        <f t="array" aca="1" ref="A3390" ca="1">(ROW(A1389:M3388))</f>
        <v>#VALUE!</v>
      </c>
    </row>
    <row r="3391" spans="1:1">
      <c r="A3391" t="e" cm="1" vm="1">
        <f t="array" aca="1" ref="A3391" ca="1">(ROW(A1390:M3389))</f>
        <v>#VALUE!</v>
      </c>
    </row>
    <row r="3392" spans="1:1">
      <c r="A3392" t="e" cm="1" vm="1">
        <f t="array" aca="1" ref="A3392" ca="1">(ROW(A1391:M3390))</f>
        <v>#VALUE!</v>
      </c>
    </row>
    <row r="3393" spans="1:1">
      <c r="A3393" t="e" cm="1" vm="1">
        <f t="array" aca="1" ref="A3393" ca="1">(ROW(A1392:M3391))</f>
        <v>#VALUE!</v>
      </c>
    </row>
    <row r="3394" spans="1:1">
      <c r="A3394" t="e" cm="1" vm="1">
        <f t="array" aca="1" ref="A3394" ca="1">(ROW(A1393:M3392))</f>
        <v>#VALUE!</v>
      </c>
    </row>
    <row r="3395" spans="1:1">
      <c r="A3395" t="e" cm="1" vm="1">
        <f t="array" aca="1" ref="A3395" ca="1">(ROW(A1394:M3393))</f>
        <v>#VALUE!</v>
      </c>
    </row>
    <row r="3396" spans="1:1">
      <c r="A3396" t="e" cm="1" vm="1">
        <f t="array" aca="1" ref="A3396" ca="1">(ROW(A1395:M3394))</f>
        <v>#VALUE!</v>
      </c>
    </row>
    <row r="3397" spans="1:1">
      <c r="A3397" t="e" cm="1" vm="1">
        <f t="array" aca="1" ref="A3397" ca="1">(ROW(A1396:M3395))</f>
        <v>#VALUE!</v>
      </c>
    </row>
    <row r="3398" spans="1:1">
      <c r="A3398" t="e" cm="1" vm="1">
        <f t="array" aca="1" ref="A3398" ca="1">(ROW(A1397:M3396))</f>
        <v>#VALUE!</v>
      </c>
    </row>
    <row r="3399" spans="1:1">
      <c r="A3399" t="e" cm="1" vm="1">
        <f t="array" aca="1" ref="A3399" ca="1">(ROW(A1398:M3397))</f>
        <v>#VALUE!</v>
      </c>
    </row>
    <row r="3400" spans="1:1">
      <c r="A3400" t="e" cm="1" vm="1">
        <f t="array" aca="1" ref="A3400" ca="1">(ROW(A1399:M3398))</f>
        <v>#VALUE!</v>
      </c>
    </row>
    <row r="3401" spans="1:1">
      <c r="A3401" t="e" cm="1" vm="1">
        <f t="array" aca="1" ref="A3401" ca="1">(ROW(A1400:M3399))</f>
        <v>#VALUE!</v>
      </c>
    </row>
    <row r="3402" spans="1:1">
      <c r="A3402" t="e" cm="1" vm="1">
        <f t="array" aca="1" ref="A3402" ca="1">(ROW(A1401:M3400))</f>
        <v>#VALUE!</v>
      </c>
    </row>
    <row r="3403" spans="1:1">
      <c r="A3403" t="e" cm="1" vm="1">
        <f t="array" aca="1" ref="A3403" ca="1">(ROW(A1402:M3401))</f>
        <v>#VALUE!</v>
      </c>
    </row>
    <row r="3404" spans="1:1">
      <c r="A3404" t="e" cm="1" vm="1">
        <f t="array" aca="1" ref="A3404" ca="1">(ROW(A1403:M3402))</f>
        <v>#VALUE!</v>
      </c>
    </row>
    <row r="3405" spans="1:1">
      <c r="A3405" t="e" cm="1" vm="1">
        <f t="array" aca="1" ref="A3405" ca="1">(ROW(A1404:M3403))</f>
        <v>#VALUE!</v>
      </c>
    </row>
    <row r="3406" spans="1:1">
      <c r="A3406" t="e" cm="1" vm="1">
        <f t="array" aca="1" ref="A3406" ca="1">(ROW(A1405:M3404))</f>
        <v>#VALUE!</v>
      </c>
    </row>
    <row r="3407" spans="1:1">
      <c r="A3407" t="e" cm="1" vm="1">
        <f t="array" aca="1" ref="A3407" ca="1">(ROW(A1406:M3405))</f>
        <v>#VALUE!</v>
      </c>
    </row>
    <row r="3408" spans="1:1">
      <c r="A3408" t="e" cm="1" vm="1">
        <f t="array" aca="1" ref="A3408" ca="1">(ROW(A1407:M3406))</f>
        <v>#VALUE!</v>
      </c>
    </row>
    <row r="3409" spans="1:1">
      <c r="A3409" t="e" cm="1" vm="1">
        <f t="array" aca="1" ref="A3409" ca="1">(ROW(A1408:M3407))</f>
        <v>#VALUE!</v>
      </c>
    </row>
    <row r="3410" spans="1:1">
      <c r="A3410" t="e" cm="1" vm="1">
        <f t="array" aca="1" ref="A3410" ca="1">(ROW(A1409:M3408))</f>
        <v>#VALUE!</v>
      </c>
    </row>
    <row r="3411" spans="1:1">
      <c r="A3411" t="e" cm="1" vm="1">
        <f t="array" aca="1" ref="A3411" ca="1">(ROW(A1410:M3409))</f>
        <v>#VALUE!</v>
      </c>
    </row>
    <row r="3412" spans="1:1">
      <c r="A3412" t="e" cm="1" vm="1">
        <f t="array" aca="1" ref="A3412" ca="1">(ROW(A1411:M3410))</f>
        <v>#VALUE!</v>
      </c>
    </row>
    <row r="3413" spans="1:1">
      <c r="A3413" t="e" cm="1" vm="1">
        <f t="array" aca="1" ref="A3413" ca="1">(ROW(A1412:M3411))</f>
        <v>#VALUE!</v>
      </c>
    </row>
    <row r="3414" spans="1:1">
      <c r="A3414" t="e" cm="1" vm="1">
        <f t="array" aca="1" ref="A3414" ca="1">(ROW(A1413:M3412))</f>
        <v>#VALUE!</v>
      </c>
    </row>
    <row r="3415" spans="1:1">
      <c r="A3415" t="e" cm="1" vm="1">
        <f t="array" aca="1" ref="A3415" ca="1">(ROW(A1414:M3413))</f>
        <v>#VALUE!</v>
      </c>
    </row>
    <row r="3416" spans="1:1">
      <c r="A3416" t="e" cm="1" vm="1">
        <f t="array" aca="1" ref="A3416" ca="1">(ROW(A1415:M3414))</f>
        <v>#VALUE!</v>
      </c>
    </row>
    <row r="3417" spans="1:1">
      <c r="A3417" t="e" cm="1" vm="1">
        <f t="array" aca="1" ref="A3417" ca="1">(ROW(A1416:M3415))</f>
        <v>#VALUE!</v>
      </c>
    </row>
    <row r="3418" spans="1:1">
      <c r="A3418" t="e" cm="1" vm="1">
        <f t="array" aca="1" ref="A3418" ca="1">(ROW(A1417:M3416))</f>
        <v>#VALUE!</v>
      </c>
    </row>
    <row r="3419" spans="1:1">
      <c r="A3419" t="e" cm="1" vm="1">
        <f t="array" aca="1" ref="A3419" ca="1">(ROW(A1418:M3417))</f>
        <v>#VALUE!</v>
      </c>
    </row>
    <row r="3420" spans="1:1">
      <c r="A3420" t="e" cm="1" vm="1">
        <f t="array" aca="1" ref="A3420" ca="1">(ROW(A1419:M3418))</f>
        <v>#VALUE!</v>
      </c>
    </row>
    <row r="3421" spans="1:1">
      <c r="A3421" t="e" cm="1" vm="1">
        <f t="array" aca="1" ref="A3421" ca="1">(ROW(A1420:M3419))</f>
        <v>#VALUE!</v>
      </c>
    </row>
    <row r="3422" spans="1:1">
      <c r="A3422" t="e" cm="1" vm="1">
        <f t="array" aca="1" ref="A3422" ca="1">(ROW(A1421:M3420))</f>
        <v>#VALUE!</v>
      </c>
    </row>
    <row r="3423" spans="1:1">
      <c r="A3423" t="e" cm="1" vm="1">
        <f t="array" aca="1" ref="A3423" ca="1">(ROW(A1422:M3421))</f>
        <v>#VALUE!</v>
      </c>
    </row>
    <row r="3424" spans="1:1">
      <c r="A3424" t="e" cm="1" vm="1">
        <f t="array" aca="1" ref="A3424" ca="1">(ROW(A1423:M3422))</f>
        <v>#VALUE!</v>
      </c>
    </row>
    <row r="3425" spans="1:1">
      <c r="A3425" t="e" cm="1" vm="1">
        <f t="array" aca="1" ref="A3425" ca="1">(ROW(A1424:M3423))</f>
        <v>#VALUE!</v>
      </c>
    </row>
    <row r="3426" spans="1:1">
      <c r="A3426" t="e" cm="1" vm="1">
        <f t="array" aca="1" ref="A3426" ca="1">(ROW(A1425:M3424))</f>
        <v>#VALUE!</v>
      </c>
    </row>
    <row r="3427" spans="1:1">
      <c r="A3427" t="e" cm="1" vm="1">
        <f t="array" aca="1" ref="A3427" ca="1">(ROW(A1426:M3425))</f>
        <v>#VALUE!</v>
      </c>
    </row>
    <row r="3428" spans="1:1">
      <c r="A3428" t="e" cm="1" vm="1">
        <f t="array" aca="1" ref="A3428" ca="1">(ROW(A1427:M3426))</f>
        <v>#VALUE!</v>
      </c>
    </row>
    <row r="3429" spans="1:1">
      <c r="A3429" t="e" cm="1" vm="1">
        <f t="array" aca="1" ref="A3429" ca="1">(ROW(A1428:M3427))</f>
        <v>#VALUE!</v>
      </c>
    </row>
    <row r="3430" spans="1:1">
      <c r="A3430" t="e" cm="1" vm="1">
        <f t="array" aca="1" ref="A3430" ca="1">(ROW(A1429:M3428))</f>
        <v>#VALUE!</v>
      </c>
    </row>
    <row r="3431" spans="1:1">
      <c r="A3431" t="e" cm="1" vm="1">
        <f t="array" aca="1" ref="A3431" ca="1">(ROW(A1430:M3429))</f>
        <v>#VALUE!</v>
      </c>
    </row>
    <row r="3432" spans="1:1">
      <c r="A3432" t="e" cm="1" vm="1">
        <f t="array" aca="1" ref="A3432" ca="1">(ROW(A1431:M3430))</f>
        <v>#VALUE!</v>
      </c>
    </row>
    <row r="3433" spans="1:1">
      <c r="A3433" t="e" cm="1" vm="1">
        <f t="array" aca="1" ref="A3433" ca="1">(ROW(A1432:M3431))</f>
        <v>#VALUE!</v>
      </c>
    </row>
    <row r="3434" spans="1:1">
      <c r="A3434" t="e" cm="1" vm="1">
        <f t="array" aca="1" ref="A3434" ca="1">(ROW(A1433:M3432))</f>
        <v>#VALUE!</v>
      </c>
    </row>
    <row r="3435" spans="1:1">
      <c r="A3435" t="e" cm="1" vm="1">
        <f t="array" aca="1" ref="A3435" ca="1">(ROW(A1434:M3433))</f>
        <v>#VALUE!</v>
      </c>
    </row>
    <row r="3436" spans="1:1">
      <c r="A3436" t="e" cm="1" vm="1">
        <f t="array" aca="1" ref="A3436" ca="1">(ROW(A1435:M3434))</f>
        <v>#VALUE!</v>
      </c>
    </row>
    <row r="3437" spans="1:1">
      <c r="A3437" t="e" cm="1" vm="1">
        <f t="array" aca="1" ref="A3437" ca="1">(ROW(A1436:M3435))</f>
        <v>#VALUE!</v>
      </c>
    </row>
    <row r="3438" spans="1:1">
      <c r="A3438" t="e" cm="1" vm="1">
        <f t="array" aca="1" ref="A3438" ca="1">(ROW(A1437:M3436))</f>
        <v>#VALUE!</v>
      </c>
    </row>
    <row r="3439" spans="1:1">
      <c r="A3439" t="e" cm="1" vm="1">
        <f t="array" aca="1" ref="A3439" ca="1">(ROW(A1438:M3437))</f>
        <v>#VALUE!</v>
      </c>
    </row>
    <row r="3440" spans="1:1">
      <c r="A3440" t="e" cm="1" vm="1">
        <f t="array" aca="1" ref="A3440" ca="1">(ROW(A1439:M3438))</f>
        <v>#VALUE!</v>
      </c>
    </row>
    <row r="3441" spans="1:1">
      <c r="A3441" t="e" cm="1" vm="1">
        <f t="array" aca="1" ref="A3441" ca="1">(ROW(A1440:M3439))</f>
        <v>#VALUE!</v>
      </c>
    </row>
    <row r="3442" spans="1:1">
      <c r="A3442" t="e" cm="1" vm="1">
        <f t="array" aca="1" ref="A3442" ca="1">(ROW(A1441:M3440))</f>
        <v>#VALUE!</v>
      </c>
    </row>
    <row r="3443" spans="1:1">
      <c r="A3443" t="e" cm="1" vm="1">
        <f t="array" aca="1" ref="A3443" ca="1">(ROW(A1442:M3441))</f>
        <v>#VALUE!</v>
      </c>
    </row>
    <row r="3444" spans="1:1">
      <c r="A3444" t="e" cm="1" vm="1">
        <f t="array" aca="1" ref="A3444" ca="1">(ROW(A1443:M3442))</f>
        <v>#VALUE!</v>
      </c>
    </row>
    <row r="3445" spans="1:1">
      <c r="A3445" t="e" cm="1" vm="1">
        <f t="array" aca="1" ref="A3445" ca="1">(ROW(A1444:M3443))</f>
        <v>#VALUE!</v>
      </c>
    </row>
    <row r="3446" spans="1:1">
      <c r="A3446" t="e" cm="1" vm="1">
        <f t="array" aca="1" ref="A3446" ca="1">(ROW(A1445:M3444))</f>
        <v>#VALUE!</v>
      </c>
    </row>
    <row r="3447" spans="1:1">
      <c r="A3447" t="e" cm="1" vm="1">
        <f t="array" aca="1" ref="A3447" ca="1">(ROW(A1446:M3445))</f>
        <v>#VALUE!</v>
      </c>
    </row>
    <row r="3448" spans="1:1">
      <c r="A3448" t="e" cm="1" vm="1">
        <f t="array" aca="1" ref="A3448" ca="1">(ROW(A1447:M3446))</f>
        <v>#VALUE!</v>
      </c>
    </row>
    <row r="3449" spans="1:1">
      <c r="A3449" t="e" cm="1" vm="1">
        <f t="array" aca="1" ref="A3449" ca="1">(ROW(A1448:M3447))</f>
        <v>#VALUE!</v>
      </c>
    </row>
    <row r="3450" spans="1:1">
      <c r="A3450" t="e" cm="1" vm="1">
        <f t="array" aca="1" ref="A3450" ca="1">(ROW(A1449:M3448))</f>
        <v>#VALUE!</v>
      </c>
    </row>
    <row r="3451" spans="1:1">
      <c r="A3451" t="e" cm="1" vm="1">
        <f t="array" aca="1" ref="A3451" ca="1">(ROW(A1450:M3449))</f>
        <v>#VALUE!</v>
      </c>
    </row>
    <row r="3452" spans="1:1">
      <c r="A3452" t="e" cm="1" vm="1">
        <f t="array" aca="1" ref="A3452" ca="1">(ROW(A1451:M3450))</f>
        <v>#VALUE!</v>
      </c>
    </row>
    <row r="3453" spans="1:1">
      <c r="A3453" t="e" cm="1" vm="1">
        <f t="array" aca="1" ref="A3453" ca="1">(ROW(A1452:M3451))</f>
        <v>#VALUE!</v>
      </c>
    </row>
    <row r="3454" spans="1:1">
      <c r="A3454" t="e" cm="1" vm="1">
        <f t="array" aca="1" ref="A3454" ca="1">(ROW(A1453:M3452))</f>
        <v>#VALUE!</v>
      </c>
    </row>
    <row r="3455" spans="1:1">
      <c r="A3455" t="e" cm="1" vm="1">
        <f t="array" aca="1" ref="A3455" ca="1">(ROW(A1454:M3453))</f>
        <v>#VALUE!</v>
      </c>
    </row>
    <row r="3456" spans="1:1">
      <c r="A3456" t="e" cm="1" vm="1">
        <f t="array" aca="1" ref="A3456" ca="1">(ROW(A1455:M3454))</f>
        <v>#VALUE!</v>
      </c>
    </row>
    <row r="3457" spans="1:1">
      <c r="A3457" t="e" cm="1" vm="1">
        <f t="array" aca="1" ref="A3457" ca="1">(ROW(A1456:M3455))</f>
        <v>#VALUE!</v>
      </c>
    </row>
    <row r="3458" spans="1:1">
      <c r="A3458" t="e" cm="1" vm="1">
        <f t="array" aca="1" ref="A3458" ca="1">(ROW(A1457:M3456))</f>
        <v>#VALUE!</v>
      </c>
    </row>
    <row r="3459" spans="1:1">
      <c r="A3459" t="e" cm="1" vm="1">
        <f t="array" aca="1" ref="A3459" ca="1">(ROW(A1458:M3457))</f>
        <v>#VALUE!</v>
      </c>
    </row>
    <row r="3460" spans="1:1">
      <c r="A3460" t="e" cm="1" vm="1">
        <f t="array" aca="1" ref="A3460" ca="1">(ROW(A1459:M3458))</f>
        <v>#VALUE!</v>
      </c>
    </row>
    <row r="3461" spans="1:1">
      <c r="A3461" t="e" cm="1" vm="1">
        <f t="array" aca="1" ref="A3461" ca="1">(ROW(A1460:M3459))</f>
        <v>#VALUE!</v>
      </c>
    </row>
    <row r="3462" spans="1:1">
      <c r="A3462" t="e" cm="1" vm="1">
        <f t="array" aca="1" ref="A3462" ca="1">(ROW(A1461:M3460))</f>
        <v>#VALUE!</v>
      </c>
    </row>
    <row r="3463" spans="1:1">
      <c r="A3463" t="e" cm="1" vm="1">
        <f t="array" aca="1" ref="A3463" ca="1">(ROW(A1462:M3461))</f>
        <v>#VALUE!</v>
      </c>
    </row>
    <row r="3464" spans="1:1">
      <c r="A3464" t="e" cm="1" vm="1">
        <f t="array" aca="1" ref="A3464" ca="1">(ROW(A1463:M3462))</f>
        <v>#VALUE!</v>
      </c>
    </row>
    <row r="3465" spans="1:1">
      <c r="A3465" t="e" cm="1" vm="1">
        <f t="array" aca="1" ref="A3465" ca="1">(ROW(A1464:M3463))</f>
        <v>#VALUE!</v>
      </c>
    </row>
    <row r="3466" spans="1:1">
      <c r="A3466" t="e" cm="1" vm="1">
        <f t="array" aca="1" ref="A3466" ca="1">(ROW(A1465:M3464))</f>
        <v>#VALUE!</v>
      </c>
    </row>
    <row r="3467" spans="1:1">
      <c r="A3467" t="e" cm="1" vm="1">
        <f t="array" aca="1" ref="A3467" ca="1">(ROW(A1466:M3465))</f>
        <v>#VALUE!</v>
      </c>
    </row>
    <row r="3468" spans="1:1">
      <c r="A3468" t="e" cm="1" vm="1">
        <f t="array" aca="1" ref="A3468" ca="1">(ROW(A1467:M3466))</f>
        <v>#VALUE!</v>
      </c>
    </row>
    <row r="3469" spans="1:1">
      <c r="A3469" t="e" cm="1" vm="1">
        <f t="array" aca="1" ref="A3469" ca="1">(ROW(A1468:M3467))</f>
        <v>#VALUE!</v>
      </c>
    </row>
    <row r="3470" spans="1:1">
      <c r="A3470" t="e" cm="1" vm="1">
        <f t="array" aca="1" ref="A3470" ca="1">(ROW(A1469:M3468))</f>
        <v>#VALUE!</v>
      </c>
    </row>
    <row r="3471" spans="1:1">
      <c r="A3471" t="e" cm="1" vm="1">
        <f t="array" aca="1" ref="A3471" ca="1">(ROW(A1470:M3469))</f>
        <v>#VALUE!</v>
      </c>
    </row>
    <row r="3472" spans="1:1">
      <c r="A3472" t="e" cm="1" vm="1">
        <f t="array" aca="1" ref="A3472" ca="1">(ROW(A1471:M3470))</f>
        <v>#VALUE!</v>
      </c>
    </row>
    <row r="3473" spans="1:1">
      <c r="A3473" t="e" cm="1" vm="1">
        <f t="array" aca="1" ref="A3473" ca="1">(ROW(A1472:M3471))</f>
        <v>#VALUE!</v>
      </c>
    </row>
    <row r="3474" spans="1:1">
      <c r="A3474" t="e" cm="1" vm="1">
        <f t="array" aca="1" ref="A3474" ca="1">(ROW(A1473:M3472))</f>
        <v>#VALUE!</v>
      </c>
    </row>
    <row r="3475" spans="1:1">
      <c r="A3475" t="e" cm="1" vm="1">
        <f t="array" aca="1" ref="A3475" ca="1">(ROW(A1474:M3473))</f>
        <v>#VALUE!</v>
      </c>
    </row>
    <row r="3476" spans="1:1">
      <c r="A3476" t="e" cm="1" vm="1">
        <f t="array" aca="1" ref="A3476" ca="1">(ROW(A1475:M3474))</f>
        <v>#VALUE!</v>
      </c>
    </row>
    <row r="3477" spans="1:1">
      <c r="A3477" t="e" cm="1" vm="1">
        <f t="array" aca="1" ref="A3477" ca="1">(ROW(A1476:M3475))</f>
        <v>#VALUE!</v>
      </c>
    </row>
    <row r="3478" spans="1:1">
      <c r="A3478" t="e" cm="1" vm="1">
        <f t="array" aca="1" ref="A3478" ca="1">(ROW(A1477:M3476))</f>
        <v>#VALUE!</v>
      </c>
    </row>
    <row r="3479" spans="1:1">
      <c r="A3479" t="e" cm="1" vm="1">
        <f t="array" aca="1" ref="A3479" ca="1">(ROW(A1478:M3477))</f>
        <v>#VALUE!</v>
      </c>
    </row>
    <row r="3480" spans="1:1">
      <c r="A3480" t="e" cm="1" vm="1">
        <f t="array" aca="1" ref="A3480" ca="1">(ROW(A1479:M3478))</f>
        <v>#VALUE!</v>
      </c>
    </row>
    <row r="3481" spans="1:1">
      <c r="A3481" t="e" cm="1" vm="1">
        <f t="array" aca="1" ref="A3481" ca="1">(ROW(A1480:M3479))</f>
        <v>#VALUE!</v>
      </c>
    </row>
    <row r="3482" spans="1:1">
      <c r="A3482" t="e" cm="1" vm="1">
        <f t="array" aca="1" ref="A3482" ca="1">(ROW(A1481:M3480))</f>
        <v>#VALUE!</v>
      </c>
    </row>
    <row r="3483" spans="1:1">
      <c r="A3483" t="e" cm="1" vm="1">
        <f t="array" aca="1" ref="A3483" ca="1">(ROW(A1482:M3481))</f>
        <v>#VALUE!</v>
      </c>
    </row>
    <row r="3484" spans="1:1">
      <c r="A3484" t="e" cm="1" vm="1">
        <f t="array" aca="1" ref="A3484" ca="1">(ROW(A1483:M3482))</f>
        <v>#VALUE!</v>
      </c>
    </row>
    <row r="3485" spans="1:1">
      <c r="A3485" t="e" cm="1" vm="1">
        <f t="array" aca="1" ref="A3485" ca="1">(ROW(A1484:M3483))</f>
        <v>#VALUE!</v>
      </c>
    </row>
    <row r="3486" spans="1:1">
      <c r="A3486" t="e" cm="1" vm="1">
        <f t="array" aca="1" ref="A3486" ca="1">(ROW(A1485:M3484))</f>
        <v>#VALUE!</v>
      </c>
    </row>
    <row r="3487" spans="1:1">
      <c r="A3487" t="e" cm="1" vm="1">
        <f t="array" aca="1" ref="A3487" ca="1">(ROW(A1486:M3485))</f>
        <v>#VALUE!</v>
      </c>
    </row>
    <row r="3488" spans="1:1">
      <c r="A3488" t="e" cm="1" vm="1">
        <f t="array" aca="1" ref="A3488" ca="1">(ROW(A1487:M3486))</f>
        <v>#VALUE!</v>
      </c>
    </row>
    <row r="3489" spans="1:1">
      <c r="A3489" t="e" cm="1" vm="1">
        <f t="array" aca="1" ref="A3489" ca="1">(ROW(A1488:M3487))</f>
        <v>#VALUE!</v>
      </c>
    </row>
    <row r="3490" spans="1:1">
      <c r="A3490" t="e" cm="1" vm="1">
        <f t="array" aca="1" ref="A3490" ca="1">(ROW(A1489:M3488))</f>
        <v>#VALUE!</v>
      </c>
    </row>
    <row r="3491" spans="1:1">
      <c r="A3491" t="e" cm="1" vm="1">
        <f t="array" aca="1" ref="A3491" ca="1">(ROW(A1490:M3489))</f>
        <v>#VALUE!</v>
      </c>
    </row>
    <row r="3492" spans="1:1">
      <c r="A3492" t="e" cm="1" vm="1">
        <f t="array" aca="1" ref="A3492" ca="1">(ROW(A1491:M3490))</f>
        <v>#VALUE!</v>
      </c>
    </row>
    <row r="3493" spans="1:1">
      <c r="A3493" t="e" cm="1" vm="1">
        <f t="array" aca="1" ref="A3493" ca="1">(ROW(A1492:M3491))</f>
        <v>#VALUE!</v>
      </c>
    </row>
    <row r="3494" spans="1:1">
      <c r="A3494" t="e" cm="1" vm="1">
        <f t="array" aca="1" ref="A3494" ca="1">(ROW(A1493:M3492))</f>
        <v>#VALUE!</v>
      </c>
    </row>
    <row r="3495" spans="1:1">
      <c r="A3495" t="e" cm="1" vm="1">
        <f t="array" aca="1" ref="A3495" ca="1">(ROW(A1494:M3493))</f>
        <v>#VALUE!</v>
      </c>
    </row>
    <row r="3496" spans="1:1">
      <c r="A3496" t="e" cm="1" vm="1">
        <f t="array" aca="1" ref="A3496" ca="1">(ROW(A1495:M3494))</f>
        <v>#VALUE!</v>
      </c>
    </row>
    <row r="3497" spans="1:1">
      <c r="A3497" t="e" cm="1" vm="1">
        <f t="array" aca="1" ref="A3497" ca="1">(ROW(A1496:M3495))</f>
        <v>#VALUE!</v>
      </c>
    </row>
    <row r="3498" spans="1:1">
      <c r="A3498" t="e" cm="1" vm="1">
        <f t="array" aca="1" ref="A3498" ca="1">(ROW(A1497:M3496))</f>
        <v>#VALUE!</v>
      </c>
    </row>
    <row r="3499" spans="1:1">
      <c r="A3499" t="e" cm="1" vm="1">
        <f t="array" aca="1" ref="A3499" ca="1">(ROW(A1498:M3497))</f>
        <v>#VALUE!</v>
      </c>
    </row>
    <row r="3500" spans="1:1">
      <c r="A3500" t="e" cm="1" vm="1">
        <f t="array" aca="1" ref="A3500" ca="1">(ROW(A1499:M3498))</f>
        <v>#VALUE!</v>
      </c>
    </row>
    <row r="3501" spans="1:1">
      <c r="A3501" t="e" cm="1" vm="1">
        <f t="array" aca="1" ref="A3501" ca="1">(ROW(A1500:M3499))</f>
        <v>#VALUE!</v>
      </c>
    </row>
    <row r="3502" spans="1:1">
      <c r="A3502" t="e" cm="1" vm="1">
        <f t="array" aca="1" ref="A3502" ca="1">(ROW(A1501:M3500))</f>
        <v>#VALUE!</v>
      </c>
    </row>
    <row r="3503" spans="1:1">
      <c r="A3503" t="e" cm="1" vm="1">
        <f t="array" aca="1" ref="A3503" ca="1">(ROW(A1502:M3501))</f>
        <v>#VALUE!</v>
      </c>
    </row>
    <row r="3504" spans="1:1">
      <c r="A3504" t="e" cm="1" vm="1">
        <f t="array" aca="1" ref="A3504" ca="1">(ROW(A1503:M3502))</f>
        <v>#VALUE!</v>
      </c>
    </row>
    <row r="3505" spans="1:1">
      <c r="A3505" t="e" cm="1" vm="1">
        <f t="array" aca="1" ref="A3505" ca="1">(ROW(A1504:M3503))</f>
        <v>#VALUE!</v>
      </c>
    </row>
    <row r="3506" spans="1:1">
      <c r="A3506" t="e" cm="1" vm="1">
        <f t="array" aca="1" ref="A3506" ca="1">(ROW(A1505:M3504))</f>
        <v>#VALUE!</v>
      </c>
    </row>
    <row r="3507" spans="1:1">
      <c r="A3507" t="e" cm="1" vm="1">
        <f t="array" aca="1" ref="A3507" ca="1">(ROW(A1506:M3505))</f>
        <v>#VALUE!</v>
      </c>
    </row>
    <row r="3508" spans="1:1">
      <c r="A3508" t="e" cm="1" vm="1">
        <f t="array" aca="1" ref="A3508" ca="1">(ROW(A1507:M3506))</f>
        <v>#VALUE!</v>
      </c>
    </row>
    <row r="3509" spans="1:1">
      <c r="A3509" t="e" cm="1" vm="1">
        <f t="array" aca="1" ref="A3509" ca="1">(ROW(A1508:M3507))</f>
        <v>#VALUE!</v>
      </c>
    </row>
    <row r="3510" spans="1:1">
      <c r="A3510" t="e" cm="1" vm="1">
        <f t="array" aca="1" ref="A3510" ca="1">(ROW(A1509:M3508))</f>
        <v>#VALUE!</v>
      </c>
    </row>
    <row r="3511" spans="1:1">
      <c r="A3511" t="e" cm="1" vm="1">
        <f t="array" aca="1" ref="A3511" ca="1">(ROW(A1510:M3509))</f>
        <v>#VALUE!</v>
      </c>
    </row>
    <row r="3512" spans="1:1">
      <c r="A3512" t="e" cm="1" vm="1">
        <f t="array" aca="1" ref="A3512" ca="1">(ROW(A1511:M3510))</f>
        <v>#VALUE!</v>
      </c>
    </row>
    <row r="3513" spans="1:1">
      <c r="A3513" t="e" cm="1" vm="1">
        <f t="array" aca="1" ref="A3513" ca="1">(ROW(A1512:M3511))</f>
        <v>#VALUE!</v>
      </c>
    </row>
    <row r="3514" spans="1:1">
      <c r="A3514" t="e" cm="1" vm="1">
        <f t="array" aca="1" ref="A3514" ca="1">(ROW(A1513:M3512))</f>
        <v>#VALUE!</v>
      </c>
    </row>
    <row r="3515" spans="1:1">
      <c r="A3515" t="e" cm="1" vm="1">
        <f t="array" aca="1" ref="A3515" ca="1">(ROW(A1514:M3513))</f>
        <v>#VALUE!</v>
      </c>
    </row>
    <row r="3516" spans="1:1">
      <c r="A3516" t="e" cm="1" vm="1">
        <f t="array" aca="1" ref="A3516" ca="1">(ROW(A1515:M3514))</f>
        <v>#VALUE!</v>
      </c>
    </row>
    <row r="3517" spans="1:1">
      <c r="A3517" t="e" cm="1" vm="1">
        <f t="array" aca="1" ref="A3517" ca="1">(ROW(A1516:M3515))</f>
        <v>#VALUE!</v>
      </c>
    </row>
    <row r="3518" spans="1:1">
      <c r="A3518" t="e" cm="1" vm="1">
        <f t="array" aca="1" ref="A3518" ca="1">(ROW(A1517:M3516))</f>
        <v>#VALUE!</v>
      </c>
    </row>
    <row r="3519" spans="1:1">
      <c r="A3519" t="e" cm="1" vm="1">
        <f t="array" aca="1" ref="A3519" ca="1">(ROW(A1518:M3517))</f>
        <v>#VALUE!</v>
      </c>
    </row>
    <row r="3520" spans="1:1">
      <c r="A3520" t="e" cm="1" vm="1">
        <f t="array" aca="1" ref="A3520" ca="1">(ROW(A1519:M3518))</f>
        <v>#VALUE!</v>
      </c>
    </row>
    <row r="3521" spans="1:1">
      <c r="A3521" t="e" cm="1" vm="1">
        <f t="array" aca="1" ref="A3521" ca="1">(ROW(A1520:M3519))</f>
        <v>#VALUE!</v>
      </c>
    </row>
    <row r="3522" spans="1:1">
      <c r="A3522" t="e" cm="1" vm="1">
        <f t="array" aca="1" ref="A3522" ca="1">(ROW(A1521:M3520))</f>
        <v>#VALUE!</v>
      </c>
    </row>
    <row r="3523" spans="1:1">
      <c r="A3523" t="e" cm="1" vm="1">
        <f t="array" aca="1" ref="A3523" ca="1">(ROW(A1522:M3521))</f>
        <v>#VALUE!</v>
      </c>
    </row>
    <row r="3524" spans="1:1">
      <c r="A3524" t="e" cm="1" vm="1">
        <f t="array" aca="1" ref="A3524" ca="1">(ROW(A1523:M3522))</f>
        <v>#VALUE!</v>
      </c>
    </row>
    <row r="3525" spans="1:1">
      <c r="A3525" t="e" cm="1" vm="1">
        <f t="array" aca="1" ref="A3525" ca="1">(ROW(A1524:M3523))</f>
        <v>#VALUE!</v>
      </c>
    </row>
    <row r="3526" spans="1:1">
      <c r="A3526" t="e" cm="1" vm="1">
        <f t="array" aca="1" ref="A3526" ca="1">(ROW(A1525:M3524))</f>
        <v>#VALUE!</v>
      </c>
    </row>
    <row r="3527" spans="1:1">
      <c r="A3527" t="e" cm="1" vm="1">
        <f t="array" aca="1" ref="A3527" ca="1">(ROW(A1526:M3525))</f>
        <v>#VALUE!</v>
      </c>
    </row>
    <row r="3528" spans="1:1">
      <c r="A3528" t="e" cm="1" vm="1">
        <f t="array" aca="1" ref="A3528" ca="1">(ROW(A1527:M3526))</f>
        <v>#VALUE!</v>
      </c>
    </row>
    <row r="3529" spans="1:1">
      <c r="A3529" t="e" cm="1" vm="1">
        <f t="array" aca="1" ref="A3529" ca="1">(ROW(A1528:M3527))</f>
        <v>#VALUE!</v>
      </c>
    </row>
    <row r="3530" spans="1:1">
      <c r="A3530" t="e" cm="1" vm="1">
        <f t="array" aca="1" ref="A3530" ca="1">(ROW(A1529:M3528))</f>
        <v>#VALUE!</v>
      </c>
    </row>
    <row r="3531" spans="1:1">
      <c r="A3531" t="e" cm="1" vm="1">
        <f t="array" aca="1" ref="A3531" ca="1">(ROW(A1530:M3529))</f>
        <v>#VALUE!</v>
      </c>
    </row>
    <row r="3532" spans="1:1">
      <c r="A3532" t="e" cm="1" vm="1">
        <f t="array" aca="1" ref="A3532" ca="1">(ROW(A1531:M3530))</f>
        <v>#VALUE!</v>
      </c>
    </row>
    <row r="3533" spans="1:1">
      <c r="A3533" t="e" cm="1" vm="1">
        <f t="array" aca="1" ref="A3533" ca="1">(ROW(A1532:M3531))</f>
        <v>#VALUE!</v>
      </c>
    </row>
    <row r="3534" spans="1:1">
      <c r="A3534" t="e" cm="1" vm="1">
        <f t="array" aca="1" ref="A3534" ca="1">(ROW(A1533:M3532))</f>
        <v>#VALUE!</v>
      </c>
    </row>
    <row r="3535" spans="1:1">
      <c r="A3535" t="e" cm="1" vm="1">
        <f t="array" aca="1" ref="A3535" ca="1">(ROW(A1534:M3533))</f>
        <v>#VALUE!</v>
      </c>
    </row>
    <row r="3536" spans="1:1">
      <c r="A3536" t="e" cm="1" vm="1">
        <f t="array" aca="1" ref="A3536" ca="1">(ROW(A1535:M3534))</f>
        <v>#VALUE!</v>
      </c>
    </row>
    <row r="3537" spans="1:1">
      <c r="A3537" t="e" cm="1" vm="1">
        <f t="array" aca="1" ref="A3537" ca="1">(ROW(A1536:M3535))</f>
        <v>#VALUE!</v>
      </c>
    </row>
    <row r="3538" spans="1:1">
      <c r="A3538" t="e" cm="1" vm="1">
        <f t="array" aca="1" ref="A3538" ca="1">(ROW(A1537:M3536))</f>
        <v>#VALUE!</v>
      </c>
    </row>
    <row r="3539" spans="1:1">
      <c r="A3539" t="e" cm="1" vm="1">
        <f t="array" aca="1" ref="A3539" ca="1">(ROW(A1538:M3537))</f>
        <v>#VALUE!</v>
      </c>
    </row>
    <row r="3540" spans="1:1">
      <c r="A3540" t="e" cm="1" vm="1">
        <f t="array" aca="1" ref="A3540" ca="1">(ROW(A1539:M3538))</f>
        <v>#VALUE!</v>
      </c>
    </row>
    <row r="3541" spans="1:1">
      <c r="A3541" t="e" cm="1" vm="1">
        <f t="array" aca="1" ref="A3541" ca="1">(ROW(A1540:M3539))</f>
        <v>#VALUE!</v>
      </c>
    </row>
    <row r="3542" spans="1:1">
      <c r="A3542" t="e" cm="1" vm="1">
        <f t="array" aca="1" ref="A3542" ca="1">(ROW(A1541:M3540))</f>
        <v>#VALUE!</v>
      </c>
    </row>
    <row r="3543" spans="1:1">
      <c r="A3543" t="e" cm="1" vm="1">
        <f t="array" aca="1" ref="A3543" ca="1">(ROW(A1542:M3541))</f>
        <v>#VALUE!</v>
      </c>
    </row>
    <row r="3544" spans="1:1">
      <c r="A3544" t="e" cm="1" vm="1">
        <f t="array" aca="1" ref="A3544" ca="1">(ROW(A1543:M3542))</f>
        <v>#VALUE!</v>
      </c>
    </row>
    <row r="3545" spans="1:1">
      <c r="A3545" t="e" cm="1" vm="1">
        <f t="array" aca="1" ref="A3545" ca="1">(ROW(A1544:M3543))</f>
        <v>#VALUE!</v>
      </c>
    </row>
    <row r="3546" spans="1:1">
      <c r="A3546" t="e" cm="1" vm="1">
        <f t="array" aca="1" ref="A3546" ca="1">(ROW(A1545:M3544))</f>
        <v>#VALUE!</v>
      </c>
    </row>
    <row r="3547" spans="1:1">
      <c r="A3547" t="e" cm="1" vm="1">
        <f t="array" aca="1" ref="A3547" ca="1">(ROW(A1546:M3545))</f>
        <v>#VALUE!</v>
      </c>
    </row>
    <row r="3548" spans="1:1">
      <c r="A3548" t="e" cm="1" vm="1">
        <f t="array" aca="1" ref="A3548" ca="1">(ROW(A1547:M3546))</f>
        <v>#VALUE!</v>
      </c>
    </row>
    <row r="3549" spans="1:1">
      <c r="A3549" t="e" cm="1" vm="1">
        <f t="array" aca="1" ref="A3549" ca="1">(ROW(A1548:M3547))</f>
        <v>#VALUE!</v>
      </c>
    </row>
    <row r="3550" spans="1:1">
      <c r="A3550" t="e" cm="1" vm="1">
        <f t="array" aca="1" ref="A3550" ca="1">(ROW(A1549:M3548))</f>
        <v>#VALUE!</v>
      </c>
    </row>
    <row r="3551" spans="1:1">
      <c r="A3551" t="e" cm="1" vm="1">
        <f t="array" aca="1" ref="A3551" ca="1">(ROW(A1550:M3549))</f>
        <v>#VALUE!</v>
      </c>
    </row>
    <row r="3552" spans="1:1">
      <c r="A3552" t="e" cm="1" vm="1">
        <f t="array" aca="1" ref="A3552" ca="1">(ROW(A1551:M3550))</f>
        <v>#VALUE!</v>
      </c>
    </row>
    <row r="3553" spans="1:1">
      <c r="A3553" t="e" cm="1" vm="1">
        <f t="array" aca="1" ref="A3553" ca="1">(ROW(A1552:M3551))</f>
        <v>#VALUE!</v>
      </c>
    </row>
    <row r="3554" spans="1:1">
      <c r="A3554" t="e" cm="1" vm="1">
        <f t="array" aca="1" ref="A3554" ca="1">(ROW(A1553:M3552))</f>
        <v>#VALUE!</v>
      </c>
    </row>
    <row r="3555" spans="1:1">
      <c r="A3555" t="e" cm="1" vm="1">
        <f t="array" aca="1" ref="A3555" ca="1">(ROW(A1554:M3553))</f>
        <v>#VALUE!</v>
      </c>
    </row>
    <row r="3556" spans="1:1">
      <c r="A3556" t="e" cm="1" vm="1">
        <f t="array" aca="1" ref="A3556" ca="1">(ROW(A1555:M3554))</f>
        <v>#VALUE!</v>
      </c>
    </row>
    <row r="3557" spans="1:1">
      <c r="A3557" t="e" cm="1" vm="1">
        <f t="array" aca="1" ref="A3557" ca="1">(ROW(A1556:M3555))</f>
        <v>#VALUE!</v>
      </c>
    </row>
    <row r="3558" spans="1:1">
      <c r="A3558" t="e" cm="1" vm="1">
        <f t="array" aca="1" ref="A3558" ca="1">(ROW(A1557:M3556))</f>
        <v>#VALUE!</v>
      </c>
    </row>
    <row r="3559" spans="1:1">
      <c r="A3559" t="e" cm="1" vm="1">
        <f t="array" aca="1" ref="A3559" ca="1">(ROW(A1558:M3557))</f>
        <v>#VALUE!</v>
      </c>
    </row>
    <row r="3560" spans="1:1">
      <c r="A3560" t="e" cm="1" vm="1">
        <f t="array" aca="1" ref="A3560" ca="1">(ROW(A1559:M3558))</f>
        <v>#VALUE!</v>
      </c>
    </row>
    <row r="3561" spans="1:1">
      <c r="A3561" t="e" cm="1" vm="1">
        <f t="array" aca="1" ref="A3561" ca="1">(ROW(A1560:M3559))</f>
        <v>#VALUE!</v>
      </c>
    </row>
    <row r="3562" spans="1:1">
      <c r="A3562" t="e" cm="1" vm="1">
        <f t="array" aca="1" ref="A3562" ca="1">(ROW(A1561:M3560))</f>
        <v>#VALUE!</v>
      </c>
    </row>
    <row r="3563" spans="1:1">
      <c r="A3563" t="e" cm="1" vm="1">
        <f t="array" aca="1" ref="A3563" ca="1">(ROW(A1562:M3561))</f>
        <v>#VALUE!</v>
      </c>
    </row>
    <row r="3564" spans="1:1">
      <c r="A3564" t="e" cm="1" vm="1">
        <f t="array" aca="1" ref="A3564" ca="1">(ROW(A1563:M3562))</f>
        <v>#VALUE!</v>
      </c>
    </row>
    <row r="3565" spans="1:1">
      <c r="A3565" t="e" cm="1" vm="1">
        <f t="array" aca="1" ref="A3565" ca="1">(ROW(A1564:M3563))</f>
        <v>#VALUE!</v>
      </c>
    </row>
    <row r="3566" spans="1:1">
      <c r="A3566" t="e" cm="1" vm="1">
        <f t="array" aca="1" ref="A3566" ca="1">(ROW(A1565:M3564))</f>
        <v>#VALUE!</v>
      </c>
    </row>
    <row r="3567" spans="1:1">
      <c r="A3567" t="e" cm="1" vm="1">
        <f t="array" aca="1" ref="A3567" ca="1">(ROW(A1566:M3565))</f>
        <v>#VALUE!</v>
      </c>
    </row>
    <row r="3568" spans="1:1">
      <c r="A3568" t="e" cm="1" vm="1">
        <f t="array" aca="1" ref="A3568" ca="1">(ROW(A1567:M3566))</f>
        <v>#VALUE!</v>
      </c>
    </row>
    <row r="3569" spans="1:1">
      <c r="A3569" t="e" cm="1" vm="1">
        <f t="array" aca="1" ref="A3569" ca="1">(ROW(A1568:M3567))</f>
        <v>#VALUE!</v>
      </c>
    </row>
    <row r="3570" spans="1:1">
      <c r="A3570" t="e" cm="1" vm="1">
        <f t="array" aca="1" ref="A3570" ca="1">(ROW(A1569:M3568))</f>
        <v>#VALUE!</v>
      </c>
    </row>
    <row r="3571" spans="1:1">
      <c r="A3571" t="e" cm="1" vm="1">
        <f t="array" aca="1" ref="A3571" ca="1">(ROW(A1570:M3569))</f>
        <v>#VALUE!</v>
      </c>
    </row>
    <row r="3572" spans="1:1">
      <c r="A3572" t="e" cm="1" vm="1">
        <f t="array" aca="1" ref="A3572" ca="1">(ROW(A1571:M3570))</f>
        <v>#VALUE!</v>
      </c>
    </row>
    <row r="3573" spans="1:1">
      <c r="A3573" t="e" cm="1" vm="1">
        <f t="array" aca="1" ref="A3573" ca="1">(ROW(A1572:M3571))</f>
        <v>#VALUE!</v>
      </c>
    </row>
    <row r="3574" spans="1:1">
      <c r="A3574" t="e" cm="1" vm="1">
        <f t="array" aca="1" ref="A3574" ca="1">(ROW(A1573:M3572))</f>
        <v>#VALUE!</v>
      </c>
    </row>
    <row r="3575" spans="1:1">
      <c r="A3575" t="e" cm="1" vm="1">
        <f t="array" aca="1" ref="A3575" ca="1">(ROW(A1574:M3573))</f>
        <v>#VALUE!</v>
      </c>
    </row>
    <row r="3576" spans="1:1">
      <c r="A3576" t="e" cm="1" vm="1">
        <f t="array" aca="1" ref="A3576" ca="1">(ROW(A1575:M3574))</f>
        <v>#VALUE!</v>
      </c>
    </row>
    <row r="3577" spans="1:1">
      <c r="A3577" t="e" cm="1" vm="1">
        <f t="array" aca="1" ref="A3577" ca="1">(ROW(A1576:M3575))</f>
        <v>#VALUE!</v>
      </c>
    </row>
    <row r="3578" spans="1:1">
      <c r="A3578" t="e" cm="1" vm="1">
        <f t="array" aca="1" ref="A3578" ca="1">(ROW(A1577:M3576))</f>
        <v>#VALUE!</v>
      </c>
    </row>
    <row r="3579" spans="1:1">
      <c r="A3579" t="e" cm="1" vm="1">
        <f t="array" aca="1" ref="A3579" ca="1">(ROW(A1578:M3577))</f>
        <v>#VALUE!</v>
      </c>
    </row>
    <row r="3580" spans="1:1">
      <c r="A3580" t="e" cm="1" vm="1">
        <f t="array" aca="1" ref="A3580" ca="1">(ROW(A1579:M3578))</f>
        <v>#VALUE!</v>
      </c>
    </row>
    <row r="3581" spans="1:1">
      <c r="A3581" t="e" cm="1" vm="1">
        <f t="array" aca="1" ref="A3581" ca="1">(ROW(A1580:M3579))</f>
        <v>#VALUE!</v>
      </c>
    </row>
    <row r="3582" spans="1:1">
      <c r="A3582" t="e" cm="1" vm="1">
        <f t="array" aca="1" ref="A3582" ca="1">(ROW(A1581:M3580))</f>
        <v>#VALUE!</v>
      </c>
    </row>
    <row r="3583" spans="1:1">
      <c r="A3583" t="e" cm="1" vm="1">
        <f t="array" aca="1" ref="A3583" ca="1">(ROW(A1582:M3581))</f>
        <v>#VALUE!</v>
      </c>
    </row>
    <row r="3584" spans="1:1">
      <c r="A3584" t="e" cm="1" vm="1">
        <f t="array" aca="1" ref="A3584" ca="1">(ROW(A1583:M3582))</f>
        <v>#VALUE!</v>
      </c>
    </row>
    <row r="3585" spans="1:1">
      <c r="A3585" t="e" cm="1" vm="1">
        <f t="array" aca="1" ref="A3585" ca="1">(ROW(A1584:M3583))</f>
        <v>#VALUE!</v>
      </c>
    </row>
    <row r="3586" spans="1:1">
      <c r="A3586" t="e" cm="1" vm="1">
        <f t="array" aca="1" ref="A3586" ca="1">(ROW(A1585:M3584))</f>
        <v>#VALUE!</v>
      </c>
    </row>
    <row r="3587" spans="1:1">
      <c r="A3587" t="e" cm="1" vm="1">
        <f t="array" aca="1" ref="A3587" ca="1">(ROW(A1586:M3585))</f>
        <v>#VALUE!</v>
      </c>
    </row>
    <row r="3588" spans="1:1">
      <c r="A3588" t="e" cm="1" vm="1">
        <f t="array" aca="1" ref="A3588" ca="1">(ROW(A1587:M3586))</f>
        <v>#VALUE!</v>
      </c>
    </row>
    <row r="3589" spans="1:1">
      <c r="A3589" t="e" cm="1" vm="1">
        <f t="array" aca="1" ref="A3589" ca="1">(ROW(A1588:M3587))</f>
        <v>#VALUE!</v>
      </c>
    </row>
    <row r="3590" spans="1:1">
      <c r="A3590" t="e" cm="1" vm="1">
        <f t="array" aca="1" ref="A3590" ca="1">(ROW(A1589:M3588))</f>
        <v>#VALUE!</v>
      </c>
    </row>
    <row r="3591" spans="1:1">
      <c r="A3591" t="e" cm="1" vm="1">
        <f t="array" aca="1" ref="A3591" ca="1">(ROW(A1590:M3589))</f>
        <v>#VALUE!</v>
      </c>
    </row>
    <row r="3592" spans="1:1">
      <c r="A3592" t="e" cm="1" vm="1">
        <f t="array" aca="1" ref="A3592" ca="1">(ROW(A1591:M3590))</f>
        <v>#VALUE!</v>
      </c>
    </row>
    <row r="3593" spans="1:1">
      <c r="A3593" t="e" cm="1" vm="1">
        <f t="array" aca="1" ref="A3593" ca="1">(ROW(A1592:M3591))</f>
        <v>#VALUE!</v>
      </c>
    </row>
    <row r="3594" spans="1:1">
      <c r="A3594" t="e" cm="1" vm="1">
        <f t="array" aca="1" ref="A3594" ca="1">(ROW(A1593:M3592))</f>
        <v>#VALUE!</v>
      </c>
    </row>
    <row r="3595" spans="1:1">
      <c r="A3595" t="e" cm="1" vm="1">
        <f t="array" aca="1" ref="A3595" ca="1">(ROW(A1594:M3593))</f>
        <v>#VALUE!</v>
      </c>
    </row>
    <row r="3596" spans="1:1">
      <c r="A3596" t="e" cm="1" vm="1">
        <f t="array" aca="1" ref="A3596" ca="1">(ROW(A1595:M3594))</f>
        <v>#VALUE!</v>
      </c>
    </row>
    <row r="3597" spans="1:1">
      <c r="A3597" t="e" cm="1" vm="1">
        <f t="array" aca="1" ref="A3597" ca="1">(ROW(A1596:M3595))</f>
        <v>#VALUE!</v>
      </c>
    </row>
    <row r="3598" spans="1:1">
      <c r="A3598" t="e" cm="1" vm="1">
        <f t="array" aca="1" ref="A3598" ca="1">(ROW(A1597:M3596))</f>
        <v>#VALUE!</v>
      </c>
    </row>
    <row r="3599" spans="1:1">
      <c r="A3599" t="e" cm="1" vm="1">
        <f t="array" aca="1" ref="A3599" ca="1">(ROW(A1598:M3597))</f>
        <v>#VALUE!</v>
      </c>
    </row>
    <row r="3600" spans="1:1">
      <c r="A3600" t="e" cm="1" vm="1">
        <f t="array" aca="1" ref="A3600" ca="1">(ROW(A1599:M3598))</f>
        <v>#VALUE!</v>
      </c>
    </row>
    <row r="3601" spans="1:1">
      <c r="A3601" t="e" cm="1" vm="1">
        <f t="array" aca="1" ref="A3601" ca="1">(ROW(A1600:M3599))</f>
        <v>#VALUE!</v>
      </c>
    </row>
    <row r="3602" spans="1:1">
      <c r="A3602" t="e" cm="1" vm="1">
        <f t="array" aca="1" ref="A3602" ca="1">(ROW(A1601:M3600))</f>
        <v>#VALUE!</v>
      </c>
    </row>
    <row r="3603" spans="1:1">
      <c r="A3603" t="e" cm="1" vm="1">
        <f t="array" aca="1" ref="A3603" ca="1">(ROW(A1602:M3601))</f>
        <v>#VALUE!</v>
      </c>
    </row>
    <row r="3604" spans="1:1">
      <c r="A3604" t="e" cm="1" vm="1">
        <f t="array" aca="1" ref="A3604" ca="1">(ROW(A1603:M3602))</f>
        <v>#VALUE!</v>
      </c>
    </row>
    <row r="3605" spans="1:1">
      <c r="A3605" t="e" cm="1" vm="1">
        <f t="array" aca="1" ref="A3605" ca="1">(ROW(A1604:M3603))</f>
        <v>#VALUE!</v>
      </c>
    </row>
    <row r="3606" spans="1:1">
      <c r="A3606" t="e" cm="1" vm="1">
        <f t="array" aca="1" ref="A3606" ca="1">(ROW(A1605:M3604))</f>
        <v>#VALUE!</v>
      </c>
    </row>
    <row r="3607" spans="1:1">
      <c r="A3607" t="e" cm="1" vm="1">
        <f t="array" aca="1" ref="A3607" ca="1">(ROW(A1606:M3605))</f>
        <v>#VALUE!</v>
      </c>
    </row>
    <row r="3608" spans="1:1">
      <c r="A3608" t="e" cm="1" vm="1">
        <f t="array" aca="1" ref="A3608" ca="1">(ROW(A1607:M3606))</f>
        <v>#VALUE!</v>
      </c>
    </row>
    <row r="3609" spans="1:1">
      <c r="A3609" t="e" cm="1" vm="1">
        <f t="array" aca="1" ref="A3609" ca="1">(ROW(A1608:M3607))</f>
        <v>#VALUE!</v>
      </c>
    </row>
    <row r="3610" spans="1:1">
      <c r="A3610" t="e" cm="1" vm="1">
        <f t="array" aca="1" ref="A3610" ca="1">(ROW(A1609:M3608))</f>
        <v>#VALUE!</v>
      </c>
    </row>
    <row r="3611" spans="1:1">
      <c r="A3611" t="e" cm="1" vm="1">
        <f t="array" aca="1" ref="A3611" ca="1">(ROW(A1610:M3609))</f>
        <v>#VALUE!</v>
      </c>
    </row>
    <row r="3612" spans="1:1">
      <c r="A3612" t="e" cm="1" vm="1">
        <f t="array" aca="1" ref="A3612" ca="1">(ROW(A1611:M3610))</f>
        <v>#VALUE!</v>
      </c>
    </row>
    <row r="3613" spans="1:1">
      <c r="A3613" t="e" cm="1" vm="1">
        <f t="array" aca="1" ref="A3613" ca="1">(ROW(A1612:M3611))</f>
        <v>#VALUE!</v>
      </c>
    </row>
    <row r="3614" spans="1:1">
      <c r="A3614" t="e" cm="1" vm="1">
        <f t="array" aca="1" ref="A3614" ca="1">(ROW(A1613:M3612))</f>
        <v>#VALUE!</v>
      </c>
    </row>
    <row r="3615" spans="1:1">
      <c r="A3615" t="e" cm="1" vm="1">
        <f t="array" aca="1" ref="A3615" ca="1">(ROW(A1614:M3613))</f>
        <v>#VALUE!</v>
      </c>
    </row>
    <row r="3616" spans="1:1">
      <c r="A3616" t="e" cm="1" vm="1">
        <f t="array" aca="1" ref="A3616" ca="1">(ROW(A1615:M3614))</f>
        <v>#VALUE!</v>
      </c>
    </row>
    <row r="3617" spans="1:1">
      <c r="A3617" t="e" cm="1" vm="1">
        <f t="array" aca="1" ref="A3617" ca="1">(ROW(A1616:M3615))</f>
        <v>#VALUE!</v>
      </c>
    </row>
    <row r="3618" spans="1:1">
      <c r="A3618" t="e" cm="1" vm="1">
        <f t="array" aca="1" ref="A3618" ca="1">(ROW(A1617:M3616))</f>
        <v>#VALUE!</v>
      </c>
    </row>
    <row r="3619" spans="1:1">
      <c r="A3619" t="e" cm="1" vm="1">
        <f t="array" aca="1" ref="A3619" ca="1">(ROW(A1618:M3617))</f>
        <v>#VALUE!</v>
      </c>
    </row>
    <row r="3620" spans="1:1">
      <c r="A3620" t="e" cm="1" vm="1">
        <f t="array" aca="1" ref="A3620" ca="1">(ROW(A1619:M3618))</f>
        <v>#VALUE!</v>
      </c>
    </row>
    <row r="3621" spans="1:1">
      <c r="A3621" t="e" cm="1" vm="1">
        <f t="array" aca="1" ref="A3621" ca="1">(ROW(A1620:M3619))</f>
        <v>#VALUE!</v>
      </c>
    </row>
    <row r="3622" spans="1:1">
      <c r="A3622" t="e" cm="1" vm="1">
        <f t="array" aca="1" ref="A3622" ca="1">(ROW(A1621:M3620))</f>
        <v>#VALUE!</v>
      </c>
    </row>
    <row r="3623" spans="1:1">
      <c r="A3623" t="e" cm="1" vm="1">
        <f t="array" aca="1" ref="A3623" ca="1">(ROW(A1622:M3621))</f>
        <v>#VALUE!</v>
      </c>
    </row>
    <row r="3624" spans="1:1">
      <c r="A3624" t="e" cm="1" vm="1">
        <f t="array" aca="1" ref="A3624" ca="1">(ROW(A1623:M3622))</f>
        <v>#VALUE!</v>
      </c>
    </row>
    <row r="3625" spans="1:1">
      <c r="A3625" t="e" cm="1" vm="1">
        <f t="array" aca="1" ref="A3625" ca="1">(ROW(A1624:M3623))</f>
        <v>#VALUE!</v>
      </c>
    </row>
    <row r="3626" spans="1:1">
      <c r="A3626" t="e" cm="1" vm="1">
        <f t="array" aca="1" ref="A3626" ca="1">(ROW(A1625:M3624))</f>
        <v>#VALUE!</v>
      </c>
    </row>
    <row r="3627" spans="1:1">
      <c r="A3627" t="e" cm="1" vm="1">
        <f t="array" aca="1" ref="A3627" ca="1">(ROW(A1626:M3625))</f>
        <v>#VALUE!</v>
      </c>
    </row>
    <row r="3628" spans="1:1">
      <c r="A3628" t="e" cm="1" vm="1">
        <f t="array" aca="1" ref="A3628" ca="1">(ROW(A1627:M3626))</f>
        <v>#VALUE!</v>
      </c>
    </row>
    <row r="3629" spans="1:1">
      <c r="A3629" t="e" cm="1" vm="1">
        <f t="array" aca="1" ref="A3629" ca="1">(ROW(A1628:M3627))</f>
        <v>#VALUE!</v>
      </c>
    </row>
    <row r="3630" spans="1:1">
      <c r="A3630" t="e" cm="1" vm="1">
        <f t="array" aca="1" ref="A3630" ca="1">(ROW(A1629:M3628))</f>
        <v>#VALUE!</v>
      </c>
    </row>
    <row r="3631" spans="1:1">
      <c r="A3631" t="e" cm="1" vm="1">
        <f t="array" aca="1" ref="A3631" ca="1">(ROW(A1630:M3629))</f>
        <v>#VALUE!</v>
      </c>
    </row>
    <row r="3632" spans="1:1">
      <c r="A3632" t="e" cm="1" vm="1">
        <f t="array" aca="1" ref="A3632" ca="1">(ROW(A1631:M3630))</f>
        <v>#VALUE!</v>
      </c>
    </row>
    <row r="3633" spans="1:1">
      <c r="A3633" t="e" cm="1" vm="1">
        <f t="array" aca="1" ref="A3633" ca="1">(ROW(A1632:M3631))</f>
        <v>#VALUE!</v>
      </c>
    </row>
    <row r="3634" spans="1:1">
      <c r="A3634" t="e" cm="1" vm="1">
        <f t="array" aca="1" ref="A3634" ca="1">(ROW(A1633:M3632))</f>
        <v>#VALUE!</v>
      </c>
    </row>
    <row r="3635" spans="1:1">
      <c r="A3635" t="e" cm="1" vm="1">
        <f t="array" aca="1" ref="A3635" ca="1">(ROW(A1634:M3633))</f>
        <v>#VALUE!</v>
      </c>
    </row>
    <row r="3636" spans="1:1">
      <c r="A3636" t="e" cm="1" vm="1">
        <f t="array" aca="1" ref="A3636" ca="1">(ROW(A1635:M3634))</f>
        <v>#VALUE!</v>
      </c>
    </row>
    <row r="3637" spans="1:1">
      <c r="A3637" t="e" cm="1" vm="1">
        <f t="array" aca="1" ref="A3637" ca="1">(ROW(A1636:M3635))</f>
        <v>#VALUE!</v>
      </c>
    </row>
    <row r="3638" spans="1:1">
      <c r="A3638" t="e" cm="1" vm="1">
        <f t="array" aca="1" ref="A3638" ca="1">(ROW(A1637:M3636))</f>
        <v>#VALUE!</v>
      </c>
    </row>
    <row r="3639" spans="1:1">
      <c r="A3639" t="e" cm="1" vm="1">
        <f t="array" aca="1" ref="A3639" ca="1">(ROW(A1638:M3637))</f>
        <v>#VALUE!</v>
      </c>
    </row>
    <row r="3640" spans="1:1">
      <c r="A3640" t="e" cm="1" vm="1">
        <f t="array" aca="1" ref="A3640" ca="1">(ROW(A1639:M3638))</f>
        <v>#VALUE!</v>
      </c>
    </row>
    <row r="3641" spans="1:1">
      <c r="A3641" t="e" cm="1" vm="1">
        <f t="array" aca="1" ref="A3641" ca="1">(ROW(A1640:M3639))</f>
        <v>#VALUE!</v>
      </c>
    </row>
    <row r="3642" spans="1:1">
      <c r="A3642" t="e" cm="1" vm="1">
        <f t="array" aca="1" ref="A3642" ca="1">(ROW(A1641:M3640))</f>
        <v>#VALUE!</v>
      </c>
    </row>
    <row r="3643" spans="1:1">
      <c r="A3643" t="e" cm="1" vm="1">
        <f t="array" aca="1" ref="A3643" ca="1">(ROW(A1642:M3641))</f>
        <v>#VALUE!</v>
      </c>
    </row>
    <row r="3644" spans="1:1">
      <c r="A3644" t="e" cm="1" vm="1">
        <f t="array" aca="1" ref="A3644" ca="1">(ROW(A1643:M3642))</f>
        <v>#VALUE!</v>
      </c>
    </row>
    <row r="3645" spans="1:1">
      <c r="A3645" t="e" cm="1" vm="1">
        <f t="array" aca="1" ref="A3645" ca="1">(ROW(A1644:M3643))</f>
        <v>#VALUE!</v>
      </c>
    </row>
    <row r="3646" spans="1:1">
      <c r="A3646" t="e" cm="1" vm="1">
        <f t="array" aca="1" ref="A3646" ca="1">(ROW(A1645:M3644))</f>
        <v>#VALUE!</v>
      </c>
    </row>
    <row r="3647" spans="1:1">
      <c r="A3647" t="e" cm="1" vm="1">
        <f t="array" aca="1" ref="A3647" ca="1">(ROW(A1646:M3645))</f>
        <v>#VALUE!</v>
      </c>
    </row>
    <row r="3648" spans="1:1">
      <c r="A3648" t="e" cm="1" vm="1">
        <f t="array" aca="1" ref="A3648" ca="1">(ROW(A1647:M3646))</f>
        <v>#VALUE!</v>
      </c>
    </row>
    <row r="3649" spans="1:1">
      <c r="A3649" t="e" cm="1" vm="1">
        <f t="array" aca="1" ref="A3649" ca="1">(ROW(A1648:M3647))</f>
        <v>#VALUE!</v>
      </c>
    </row>
    <row r="3650" spans="1:1">
      <c r="A3650" t="e" cm="1" vm="1">
        <f t="array" aca="1" ref="A3650" ca="1">(ROW(A1649:M3648))</f>
        <v>#VALUE!</v>
      </c>
    </row>
    <row r="3651" spans="1:1">
      <c r="A3651" t="e" cm="1" vm="1">
        <f t="array" aca="1" ref="A3651" ca="1">(ROW(A1650:M3649))</f>
        <v>#VALUE!</v>
      </c>
    </row>
    <row r="3652" spans="1:1">
      <c r="A3652" t="e" cm="1" vm="1">
        <f t="array" aca="1" ref="A3652" ca="1">(ROW(A1651:M3650))</f>
        <v>#VALUE!</v>
      </c>
    </row>
    <row r="3653" spans="1:1">
      <c r="A3653" t="e" cm="1" vm="1">
        <f t="array" aca="1" ref="A3653" ca="1">(ROW(A1652:M3651))</f>
        <v>#VALUE!</v>
      </c>
    </row>
    <row r="3654" spans="1:1">
      <c r="A3654" t="e" cm="1" vm="1">
        <f t="array" aca="1" ref="A3654" ca="1">(ROW(A1653:M3652))</f>
        <v>#VALUE!</v>
      </c>
    </row>
    <row r="3655" spans="1:1">
      <c r="A3655" t="e" cm="1" vm="1">
        <f t="array" aca="1" ref="A3655" ca="1">(ROW(A1654:M3653))</f>
        <v>#VALUE!</v>
      </c>
    </row>
    <row r="3656" spans="1:1">
      <c r="A3656" t="e" cm="1" vm="1">
        <f t="array" aca="1" ref="A3656" ca="1">(ROW(A1655:M3654))</f>
        <v>#VALUE!</v>
      </c>
    </row>
    <row r="3657" spans="1:1">
      <c r="A3657" t="e" cm="1" vm="1">
        <f t="array" aca="1" ref="A3657" ca="1">(ROW(A1656:M3655))</f>
        <v>#VALUE!</v>
      </c>
    </row>
    <row r="3658" spans="1:1">
      <c r="A3658" t="e" cm="1" vm="1">
        <f t="array" aca="1" ref="A3658" ca="1">(ROW(A1657:M3656))</f>
        <v>#VALUE!</v>
      </c>
    </row>
    <row r="3659" spans="1:1">
      <c r="A3659" t="e" cm="1" vm="1">
        <f t="array" aca="1" ref="A3659" ca="1">(ROW(A1658:M3657))</f>
        <v>#VALUE!</v>
      </c>
    </row>
    <row r="3660" spans="1:1">
      <c r="A3660" t="e" cm="1" vm="1">
        <f t="array" aca="1" ref="A3660" ca="1">(ROW(A1659:M3658))</f>
        <v>#VALUE!</v>
      </c>
    </row>
    <row r="3661" spans="1:1">
      <c r="A3661" t="e" cm="1" vm="1">
        <f t="array" aca="1" ref="A3661" ca="1">(ROW(A1660:M3659))</f>
        <v>#VALUE!</v>
      </c>
    </row>
    <row r="3662" spans="1:1">
      <c r="A3662" t="e" cm="1" vm="1">
        <f t="array" aca="1" ref="A3662" ca="1">(ROW(A1661:M3660))</f>
        <v>#VALUE!</v>
      </c>
    </row>
    <row r="3663" spans="1:1">
      <c r="A3663" t="e" cm="1" vm="1">
        <f t="array" aca="1" ref="A3663" ca="1">(ROW(A1662:M3661))</f>
        <v>#VALUE!</v>
      </c>
    </row>
    <row r="3664" spans="1:1">
      <c r="A3664" t="e" cm="1" vm="1">
        <f t="array" aca="1" ref="A3664" ca="1">(ROW(A1663:M3662))</f>
        <v>#VALUE!</v>
      </c>
    </row>
    <row r="3665" spans="1:1">
      <c r="A3665" t="e" cm="1" vm="1">
        <f t="array" aca="1" ref="A3665" ca="1">(ROW(A1664:M3663))</f>
        <v>#VALUE!</v>
      </c>
    </row>
    <row r="3666" spans="1:1">
      <c r="A3666" t="e" cm="1" vm="1">
        <f t="array" aca="1" ref="A3666" ca="1">(ROW(A1665:M3664))</f>
        <v>#VALUE!</v>
      </c>
    </row>
    <row r="3667" spans="1:1">
      <c r="A3667" t="e" cm="1" vm="1">
        <f t="array" aca="1" ref="A3667" ca="1">(ROW(A1666:M3665))</f>
        <v>#VALUE!</v>
      </c>
    </row>
    <row r="3668" spans="1:1">
      <c r="A3668" t="e" cm="1" vm="1">
        <f t="array" aca="1" ref="A3668" ca="1">(ROW(A1667:M3666))</f>
        <v>#VALUE!</v>
      </c>
    </row>
    <row r="3669" spans="1:1">
      <c r="A3669" t="e" cm="1" vm="1">
        <f t="array" aca="1" ref="A3669" ca="1">(ROW(A1668:M3667))</f>
        <v>#VALUE!</v>
      </c>
    </row>
    <row r="3670" spans="1:1">
      <c r="A3670" t="e" cm="1" vm="1">
        <f t="array" aca="1" ref="A3670" ca="1">(ROW(A1669:M3668))</f>
        <v>#VALUE!</v>
      </c>
    </row>
    <row r="3671" spans="1:1">
      <c r="A3671" t="e" cm="1" vm="1">
        <f t="array" aca="1" ref="A3671" ca="1">(ROW(A1670:M3669))</f>
        <v>#VALUE!</v>
      </c>
    </row>
    <row r="3672" spans="1:1">
      <c r="A3672" t="e" cm="1" vm="1">
        <f t="array" aca="1" ref="A3672" ca="1">(ROW(A1671:M3670))</f>
        <v>#VALUE!</v>
      </c>
    </row>
    <row r="3673" spans="1:1">
      <c r="A3673" t="e" cm="1" vm="1">
        <f t="array" aca="1" ref="A3673" ca="1">(ROW(A1672:M3671))</f>
        <v>#VALUE!</v>
      </c>
    </row>
    <row r="3674" spans="1:1">
      <c r="A3674" t="e" cm="1" vm="1">
        <f t="array" aca="1" ref="A3674" ca="1">(ROW(A1673:M3672))</f>
        <v>#VALUE!</v>
      </c>
    </row>
    <row r="3675" spans="1:1">
      <c r="A3675" t="e" cm="1" vm="1">
        <f t="array" aca="1" ref="A3675" ca="1">(ROW(A1674:M3673))</f>
        <v>#VALUE!</v>
      </c>
    </row>
    <row r="3676" spans="1:1">
      <c r="A3676" t="e" cm="1" vm="1">
        <f t="array" aca="1" ref="A3676" ca="1">(ROW(A1675:M3674))</f>
        <v>#VALUE!</v>
      </c>
    </row>
    <row r="3677" spans="1:1">
      <c r="A3677" t="e" cm="1" vm="1">
        <f t="array" aca="1" ref="A3677" ca="1">(ROW(A1676:M3675))</f>
        <v>#VALUE!</v>
      </c>
    </row>
    <row r="3678" spans="1:1">
      <c r="A3678" t="e" cm="1" vm="1">
        <f t="array" aca="1" ref="A3678" ca="1">(ROW(A1677:M3676))</f>
        <v>#VALUE!</v>
      </c>
    </row>
    <row r="3679" spans="1:1">
      <c r="A3679" t="e" cm="1" vm="1">
        <f t="array" aca="1" ref="A3679" ca="1">(ROW(A1678:M3677))</f>
        <v>#VALUE!</v>
      </c>
    </row>
    <row r="3680" spans="1:1">
      <c r="A3680" t="e" cm="1" vm="1">
        <f t="array" aca="1" ref="A3680" ca="1">(ROW(A1679:M3678))</f>
        <v>#VALUE!</v>
      </c>
    </row>
    <row r="3681" spans="1:1">
      <c r="A3681" t="e" cm="1" vm="1">
        <f t="array" aca="1" ref="A3681" ca="1">(ROW(A1680:M3679))</f>
        <v>#VALUE!</v>
      </c>
    </row>
    <row r="3682" spans="1:1">
      <c r="A3682" t="e" cm="1" vm="1">
        <f t="array" aca="1" ref="A3682" ca="1">(ROW(A1681:M3680))</f>
        <v>#VALUE!</v>
      </c>
    </row>
    <row r="3683" spans="1:1">
      <c r="A3683" t="e" cm="1" vm="1">
        <f t="array" aca="1" ref="A3683" ca="1">(ROW(A1682:M3681))</f>
        <v>#VALUE!</v>
      </c>
    </row>
    <row r="3684" spans="1:1">
      <c r="A3684" t="e" cm="1" vm="1">
        <f t="array" aca="1" ref="A3684" ca="1">(ROW(A1683:M3682))</f>
        <v>#VALUE!</v>
      </c>
    </row>
    <row r="3685" spans="1:1">
      <c r="A3685" t="e" cm="1" vm="1">
        <f t="array" aca="1" ref="A3685" ca="1">(ROW(A1684:M3683))</f>
        <v>#VALUE!</v>
      </c>
    </row>
    <row r="3686" spans="1:1">
      <c r="A3686" t="e" cm="1" vm="1">
        <f t="array" aca="1" ref="A3686" ca="1">(ROW(A1685:M3684))</f>
        <v>#VALUE!</v>
      </c>
    </row>
    <row r="3687" spans="1:1">
      <c r="A3687" t="e" cm="1" vm="1">
        <f t="array" aca="1" ref="A3687" ca="1">(ROW(A1686:M3685))</f>
        <v>#VALUE!</v>
      </c>
    </row>
    <row r="3688" spans="1:1">
      <c r="A3688" t="e" cm="1" vm="1">
        <f t="array" aca="1" ref="A3688" ca="1">(ROW(A1687:M3686))</f>
        <v>#VALUE!</v>
      </c>
    </row>
    <row r="3689" spans="1:1">
      <c r="A3689" t="e" cm="1" vm="1">
        <f t="array" aca="1" ref="A3689" ca="1">(ROW(A1688:M3687))</f>
        <v>#VALUE!</v>
      </c>
    </row>
    <row r="3690" spans="1:1">
      <c r="A3690" t="e" cm="1" vm="1">
        <f t="array" aca="1" ref="A3690" ca="1">(ROW(A1689:M3688))</f>
        <v>#VALUE!</v>
      </c>
    </row>
    <row r="3691" spans="1:1">
      <c r="A3691" t="e" cm="1" vm="1">
        <f t="array" aca="1" ref="A3691" ca="1">(ROW(A1690:M3689))</f>
        <v>#VALUE!</v>
      </c>
    </row>
    <row r="3692" spans="1:1">
      <c r="A3692" t="e" cm="1" vm="1">
        <f t="array" aca="1" ref="A3692" ca="1">(ROW(A1691:M3690))</f>
        <v>#VALUE!</v>
      </c>
    </row>
    <row r="3693" spans="1:1">
      <c r="A3693" t="e" cm="1" vm="1">
        <f t="array" aca="1" ref="A3693" ca="1">(ROW(A1692:M3691))</f>
        <v>#VALUE!</v>
      </c>
    </row>
    <row r="3694" spans="1:1">
      <c r="A3694" t="e" cm="1" vm="1">
        <f t="array" aca="1" ref="A3694" ca="1">(ROW(A1693:M3692))</f>
        <v>#VALUE!</v>
      </c>
    </row>
    <row r="3695" spans="1:1">
      <c r="A3695" t="e" cm="1" vm="1">
        <f t="array" aca="1" ref="A3695" ca="1">(ROW(A1694:M3693))</f>
        <v>#VALUE!</v>
      </c>
    </row>
    <row r="3696" spans="1:1">
      <c r="A3696" t="e" cm="1" vm="1">
        <f t="array" aca="1" ref="A3696" ca="1">(ROW(A1695:M3694))</f>
        <v>#VALUE!</v>
      </c>
    </row>
    <row r="3697" spans="1:1">
      <c r="A3697" t="e" cm="1" vm="1">
        <f t="array" aca="1" ref="A3697" ca="1">(ROW(A1696:M3695))</f>
        <v>#VALUE!</v>
      </c>
    </row>
    <row r="3698" spans="1:1">
      <c r="A3698" t="e" cm="1" vm="1">
        <f t="array" aca="1" ref="A3698" ca="1">(ROW(A1697:M3696))</f>
        <v>#VALUE!</v>
      </c>
    </row>
    <row r="3699" spans="1:1">
      <c r="A3699" t="e" cm="1" vm="1">
        <f t="array" aca="1" ref="A3699" ca="1">(ROW(A1698:M3697))</f>
        <v>#VALUE!</v>
      </c>
    </row>
    <row r="3700" spans="1:1">
      <c r="A3700" t="e" cm="1" vm="1">
        <f t="array" aca="1" ref="A3700" ca="1">(ROW(A1699:M3698))</f>
        <v>#VALUE!</v>
      </c>
    </row>
    <row r="3701" spans="1:1">
      <c r="A3701" t="e" cm="1" vm="1">
        <f t="array" aca="1" ref="A3701" ca="1">(ROW(A1700:M3699))</f>
        <v>#VALUE!</v>
      </c>
    </row>
    <row r="3702" spans="1:1">
      <c r="A3702" t="e" cm="1" vm="1">
        <f t="array" aca="1" ref="A3702" ca="1">(ROW(A1701:M3700))</f>
        <v>#VALUE!</v>
      </c>
    </row>
    <row r="3703" spans="1:1">
      <c r="A3703" t="e" cm="1" vm="1">
        <f t="array" aca="1" ref="A3703" ca="1">(ROW(A1702:M3701))</f>
        <v>#VALUE!</v>
      </c>
    </row>
    <row r="3704" spans="1:1">
      <c r="A3704" t="e" cm="1" vm="1">
        <f t="array" aca="1" ref="A3704" ca="1">(ROW(A1703:M3702))</f>
        <v>#VALUE!</v>
      </c>
    </row>
    <row r="3705" spans="1:1">
      <c r="A3705" t="e" cm="1" vm="1">
        <f t="array" aca="1" ref="A3705" ca="1">(ROW(A1704:M3703))</f>
        <v>#VALUE!</v>
      </c>
    </row>
    <row r="3706" spans="1:1">
      <c r="A3706" t="e" cm="1" vm="1">
        <f t="array" aca="1" ref="A3706" ca="1">(ROW(A1705:M3704))</f>
        <v>#VALUE!</v>
      </c>
    </row>
    <row r="3707" spans="1:1">
      <c r="A3707" t="e" cm="1" vm="1">
        <f t="array" aca="1" ref="A3707" ca="1">(ROW(A1706:M3705))</f>
        <v>#VALUE!</v>
      </c>
    </row>
    <row r="3708" spans="1:1">
      <c r="A3708" t="e" cm="1" vm="1">
        <f t="array" aca="1" ref="A3708" ca="1">(ROW(A1707:M3706))</f>
        <v>#VALUE!</v>
      </c>
    </row>
    <row r="3709" spans="1:1">
      <c r="A3709" t="e" cm="1" vm="1">
        <f t="array" aca="1" ref="A3709" ca="1">(ROW(A1708:M3707))</f>
        <v>#VALUE!</v>
      </c>
    </row>
    <row r="3710" spans="1:1">
      <c r="A3710" t="e" cm="1" vm="1">
        <f t="array" aca="1" ref="A3710" ca="1">(ROW(A1709:M3708))</f>
        <v>#VALUE!</v>
      </c>
    </row>
    <row r="3711" spans="1:1">
      <c r="A3711" t="e" cm="1" vm="1">
        <f t="array" aca="1" ref="A3711" ca="1">(ROW(A1710:M3709))</f>
        <v>#VALUE!</v>
      </c>
    </row>
    <row r="3712" spans="1:1">
      <c r="A3712" t="e" cm="1" vm="1">
        <f t="array" aca="1" ref="A3712" ca="1">(ROW(A1711:M3710))</f>
        <v>#VALUE!</v>
      </c>
    </row>
    <row r="3713" spans="1:1">
      <c r="A3713" t="e" cm="1" vm="1">
        <f t="array" aca="1" ref="A3713" ca="1">(ROW(A1712:M3711))</f>
        <v>#VALUE!</v>
      </c>
    </row>
    <row r="3714" spans="1:1">
      <c r="A3714" t="e" cm="1" vm="1">
        <f t="array" aca="1" ref="A3714" ca="1">(ROW(A1713:M3712))</f>
        <v>#VALUE!</v>
      </c>
    </row>
    <row r="3715" spans="1:1">
      <c r="A3715" t="e" cm="1" vm="1">
        <f t="array" aca="1" ref="A3715" ca="1">(ROW(A1714:M3713))</f>
        <v>#VALUE!</v>
      </c>
    </row>
    <row r="3716" spans="1:1">
      <c r="A3716" t="e" cm="1" vm="1">
        <f t="array" aca="1" ref="A3716" ca="1">(ROW(A1715:M3714))</f>
        <v>#VALUE!</v>
      </c>
    </row>
    <row r="3717" spans="1:1">
      <c r="A3717" t="e" cm="1" vm="1">
        <f t="array" aca="1" ref="A3717" ca="1">(ROW(A1716:M3715))</f>
        <v>#VALUE!</v>
      </c>
    </row>
    <row r="3718" spans="1:1">
      <c r="A3718" t="e" cm="1" vm="1">
        <f t="array" aca="1" ref="A3718" ca="1">(ROW(A1717:M3716))</f>
        <v>#VALUE!</v>
      </c>
    </row>
    <row r="3719" spans="1:1">
      <c r="A3719" t="e" cm="1" vm="1">
        <f t="array" aca="1" ref="A3719" ca="1">(ROW(A1718:M3717))</f>
        <v>#VALUE!</v>
      </c>
    </row>
    <row r="3720" spans="1:1">
      <c r="A3720" t="e" cm="1" vm="1">
        <f t="array" aca="1" ref="A3720" ca="1">(ROW(A1719:M3718))</f>
        <v>#VALUE!</v>
      </c>
    </row>
    <row r="3721" spans="1:1">
      <c r="A3721" t="e" cm="1" vm="1">
        <f t="array" aca="1" ref="A3721" ca="1">(ROW(A1720:M3719))</f>
        <v>#VALUE!</v>
      </c>
    </row>
    <row r="3722" spans="1:1">
      <c r="A3722" t="e" cm="1" vm="1">
        <f t="array" aca="1" ref="A3722" ca="1">(ROW(A1721:M3720))</f>
        <v>#VALUE!</v>
      </c>
    </row>
    <row r="3723" spans="1:1">
      <c r="A3723" t="e" cm="1" vm="1">
        <f t="array" aca="1" ref="A3723" ca="1">(ROW(A1722:M3721))</f>
        <v>#VALUE!</v>
      </c>
    </row>
    <row r="3724" spans="1:1">
      <c r="A3724" t="e" cm="1" vm="1">
        <f t="array" aca="1" ref="A3724" ca="1">(ROW(A1723:M3722))</f>
        <v>#VALUE!</v>
      </c>
    </row>
    <row r="3725" spans="1:1">
      <c r="A3725" t="e" cm="1" vm="1">
        <f t="array" aca="1" ref="A3725" ca="1">(ROW(A1724:M3723))</f>
        <v>#VALUE!</v>
      </c>
    </row>
    <row r="3726" spans="1:1">
      <c r="A3726" t="e" cm="1" vm="1">
        <f t="array" aca="1" ref="A3726" ca="1">(ROW(A1725:M3724))</f>
        <v>#VALUE!</v>
      </c>
    </row>
    <row r="3727" spans="1:1">
      <c r="A3727" t="e" cm="1" vm="1">
        <f t="array" aca="1" ref="A3727" ca="1">(ROW(A1726:M3725))</f>
        <v>#VALUE!</v>
      </c>
    </row>
    <row r="3728" spans="1:1">
      <c r="A3728" t="e" cm="1" vm="1">
        <f t="array" aca="1" ref="A3728" ca="1">(ROW(A1727:M3726))</f>
        <v>#VALUE!</v>
      </c>
    </row>
    <row r="3729" spans="1:1">
      <c r="A3729" t="e" cm="1" vm="1">
        <f t="array" aca="1" ref="A3729" ca="1">(ROW(A1728:M3727))</f>
        <v>#VALUE!</v>
      </c>
    </row>
    <row r="3730" spans="1:1">
      <c r="A3730" t="e" cm="1" vm="1">
        <f t="array" aca="1" ref="A3730" ca="1">(ROW(A1729:M3728))</f>
        <v>#VALUE!</v>
      </c>
    </row>
    <row r="3731" spans="1:1">
      <c r="A3731" t="e" cm="1" vm="1">
        <f t="array" aca="1" ref="A3731" ca="1">(ROW(A1730:M3729))</f>
        <v>#VALUE!</v>
      </c>
    </row>
    <row r="3732" spans="1:1">
      <c r="A3732" t="e" cm="1" vm="1">
        <f t="array" aca="1" ref="A3732" ca="1">(ROW(A1731:M3730))</f>
        <v>#VALUE!</v>
      </c>
    </row>
    <row r="3733" spans="1:1">
      <c r="A3733" t="e" cm="1" vm="1">
        <f t="array" aca="1" ref="A3733" ca="1">(ROW(A1732:M3731))</f>
        <v>#VALUE!</v>
      </c>
    </row>
    <row r="3734" spans="1:1">
      <c r="A3734" t="e" cm="1" vm="1">
        <f t="array" aca="1" ref="A3734" ca="1">(ROW(A1733:M3732))</f>
        <v>#VALUE!</v>
      </c>
    </row>
    <row r="3735" spans="1:1">
      <c r="A3735" t="e" cm="1" vm="1">
        <f t="array" aca="1" ref="A3735" ca="1">(ROW(A1734:M3733))</f>
        <v>#VALUE!</v>
      </c>
    </row>
    <row r="3736" spans="1:1">
      <c r="A3736" t="e" cm="1" vm="1">
        <f t="array" aca="1" ref="A3736" ca="1">(ROW(A1735:M3734))</f>
        <v>#VALUE!</v>
      </c>
    </row>
    <row r="3737" spans="1:1">
      <c r="A3737" t="e" cm="1" vm="1">
        <f t="array" aca="1" ref="A3737" ca="1">(ROW(A1736:M3735))</f>
        <v>#VALUE!</v>
      </c>
    </row>
    <row r="3738" spans="1:1">
      <c r="A3738" t="e" cm="1" vm="1">
        <f t="array" aca="1" ref="A3738" ca="1">(ROW(A1737:M3736))</f>
        <v>#VALUE!</v>
      </c>
    </row>
    <row r="3739" spans="1:1">
      <c r="A3739" t="e" cm="1" vm="1">
        <f t="array" aca="1" ref="A3739" ca="1">(ROW(A1738:M3737))</f>
        <v>#VALUE!</v>
      </c>
    </row>
    <row r="3740" spans="1:1">
      <c r="A3740" t="e" cm="1" vm="1">
        <f t="array" aca="1" ref="A3740" ca="1">(ROW(A1739:M3738))</f>
        <v>#VALUE!</v>
      </c>
    </row>
    <row r="3741" spans="1:1">
      <c r="A3741" t="e" cm="1" vm="1">
        <f t="array" aca="1" ref="A3741" ca="1">(ROW(A1740:M3739))</f>
        <v>#VALUE!</v>
      </c>
    </row>
    <row r="3742" spans="1:1">
      <c r="A3742" t="e" cm="1" vm="1">
        <f t="array" aca="1" ref="A3742" ca="1">(ROW(A1741:M3740))</f>
        <v>#VALUE!</v>
      </c>
    </row>
    <row r="3743" spans="1:1">
      <c r="A3743" t="e" cm="1" vm="1">
        <f t="array" aca="1" ref="A3743" ca="1">(ROW(A1742:M3741))</f>
        <v>#VALUE!</v>
      </c>
    </row>
    <row r="3744" spans="1:1">
      <c r="A3744" t="e" cm="1" vm="1">
        <f t="array" aca="1" ref="A3744" ca="1">(ROW(A1743:M3742))</f>
        <v>#VALUE!</v>
      </c>
    </row>
    <row r="3745" spans="1:1">
      <c r="A3745" t="e" cm="1" vm="1">
        <f t="array" aca="1" ref="A3745" ca="1">(ROW(A1744:M3743))</f>
        <v>#VALUE!</v>
      </c>
    </row>
    <row r="3746" spans="1:1">
      <c r="A3746" t="e" cm="1" vm="1">
        <f t="array" aca="1" ref="A3746" ca="1">(ROW(A1745:M3744))</f>
        <v>#VALUE!</v>
      </c>
    </row>
    <row r="3747" spans="1:1">
      <c r="A3747" t="e" cm="1" vm="1">
        <f t="array" aca="1" ref="A3747" ca="1">(ROW(A1746:M3745))</f>
        <v>#VALUE!</v>
      </c>
    </row>
    <row r="3748" spans="1:1">
      <c r="A3748" t="e" cm="1" vm="1">
        <f t="array" aca="1" ref="A3748" ca="1">(ROW(A1747:M3746))</f>
        <v>#VALUE!</v>
      </c>
    </row>
    <row r="3749" spans="1:1">
      <c r="A3749" t="e" cm="1" vm="1">
        <f t="array" aca="1" ref="A3749" ca="1">(ROW(A1748:M3747))</f>
        <v>#VALUE!</v>
      </c>
    </row>
    <row r="3750" spans="1:1">
      <c r="A3750" t="e" cm="1" vm="1">
        <f t="array" aca="1" ref="A3750" ca="1">(ROW(A1749:M3748))</f>
        <v>#VALUE!</v>
      </c>
    </row>
    <row r="3751" spans="1:1">
      <c r="A3751" t="e" cm="1" vm="1">
        <f t="array" aca="1" ref="A3751" ca="1">(ROW(A1750:M3749))</f>
        <v>#VALUE!</v>
      </c>
    </row>
    <row r="3752" spans="1:1">
      <c r="A3752" t="e" cm="1" vm="1">
        <f t="array" aca="1" ref="A3752" ca="1">(ROW(A1751:M3750))</f>
        <v>#VALUE!</v>
      </c>
    </row>
    <row r="3753" spans="1:1">
      <c r="A3753" t="e" cm="1" vm="1">
        <f t="array" aca="1" ref="A3753" ca="1">(ROW(A1752:M3751))</f>
        <v>#VALUE!</v>
      </c>
    </row>
    <row r="3754" spans="1:1">
      <c r="A3754" t="e" cm="1" vm="1">
        <f t="array" aca="1" ref="A3754" ca="1">(ROW(A1753:M3752))</f>
        <v>#VALUE!</v>
      </c>
    </row>
    <row r="3755" spans="1:1">
      <c r="A3755" t="e" cm="1" vm="1">
        <f t="array" aca="1" ref="A3755" ca="1">(ROW(A1754:M3753))</f>
        <v>#VALUE!</v>
      </c>
    </row>
    <row r="3756" spans="1:1">
      <c r="A3756" t="e" cm="1" vm="1">
        <f t="array" aca="1" ref="A3756" ca="1">(ROW(A1755:M3754))</f>
        <v>#VALUE!</v>
      </c>
    </row>
    <row r="3757" spans="1:1">
      <c r="A3757" t="e" cm="1" vm="1">
        <f t="array" aca="1" ref="A3757" ca="1">(ROW(A1756:M3755))</f>
        <v>#VALUE!</v>
      </c>
    </row>
    <row r="3758" spans="1:1">
      <c r="A3758" t="e" cm="1" vm="1">
        <f t="array" aca="1" ref="A3758" ca="1">(ROW(A1757:M3756))</f>
        <v>#VALUE!</v>
      </c>
    </row>
    <row r="3759" spans="1:1">
      <c r="A3759" t="e" cm="1" vm="1">
        <f t="array" aca="1" ref="A3759" ca="1">(ROW(A1758:M3757))</f>
        <v>#VALUE!</v>
      </c>
    </row>
    <row r="3760" spans="1:1">
      <c r="A3760" t="e" cm="1" vm="1">
        <f t="array" aca="1" ref="A3760" ca="1">(ROW(A1759:M3758))</f>
        <v>#VALUE!</v>
      </c>
    </row>
    <row r="3761" spans="1:1">
      <c r="A3761" t="e" cm="1" vm="1">
        <f t="array" aca="1" ref="A3761" ca="1">(ROW(A1760:M3759))</f>
        <v>#VALUE!</v>
      </c>
    </row>
    <row r="3762" spans="1:1">
      <c r="A3762" t="e" cm="1" vm="1">
        <f t="array" aca="1" ref="A3762" ca="1">(ROW(A1761:M3760))</f>
        <v>#VALUE!</v>
      </c>
    </row>
    <row r="3763" spans="1:1">
      <c r="A3763" t="e" cm="1" vm="1">
        <f t="array" aca="1" ref="A3763" ca="1">(ROW(A1762:M3761))</f>
        <v>#VALUE!</v>
      </c>
    </row>
    <row r="3764" spans="1:1">
      <c r="A3764" t="e" cm="1" vm="1">
        <f t="array" aca="1" ref="A3764" ca="1">(ROW(A1763:M3762))</f>
        <v>#VALUE!</v>
      </c>
    </row>
    <row r="3765" spans="1:1">
      <c r="A3765" t="e" cm="1" vm="1">
        <f t="array" aca="1" ref="A3765" ca="1">(ROW(A1764:M3763))</f>
        <v>#VALUE!</v>
      </c>
    </row>
    <row r="3766" spans="1:1">
      <c r="A3766" t="e" cm="1" vm="1">
        <f t="array" aca="1" ref="A3766" ca="1">(ROW(A1765:M3764))</f>
        <v>#VALUE!</v>
      </c>
    </row>
    <row r="3767" spans="1:1">
      <c r="A3767" t="e" cm="1" vm="1">
        <f t="array" aca="1" ref="A3767" ca="1">(ROW(A1766:M3765))</f>
        <v>#VALUE!</v>
      </c>
    </row>
    <row r="3768" spans="1:1">
      <c r="A3768" t="e" cm="1" vm="1">
        <f t="array" aca="1" ref="A3768" ca="1">(ROW(A1767:M3766))</f>
        <v>#VALUE!</v>
      </c>
    </row>
    <row r="3769" spans="1:1">
      <c r="A3769" t="e" cm="1" vm="1">
        <f t="array" aca="1" ref="A3769" ca="1">(ROW(A1768:M3767))</f>
        <v>#VALUE!</v>
      </c>
    </row>
    <row r="3770" spans="1:1">
      <c r="A3770" t="e" cm="1" vm="1">
        <f t="array" aca="1" ref="A3770" ca="1">(ROW(A1769:M3768))</f>
        <v>#VALUE!</v>
      </c>
    </row>
    <row r="3771" spans="1:1">
      <c r="A3771" t="e" cm="1" vm="1">
        <f t="array" aca="1" ref="A3771" ca="1">(ROW(A1770:M3769))</f>
        <v>#VALUE!</v>
      </c>
    </row>
    <row r="3772" spans="1:1">
      <c r="A3772" t="e" cm="1" vm="1">
        <f t="array" aca="1" ref="A3772" ca="1">(ROW(A1771:M3770))</f>
        <v>#VALUE!</v>
      </c>
    </row>
    <row r="3773" spans="1:1">
      <c r="A3773" t="e" cm="1" vm="1">
        <f t="array" aca="1" ref="A3773" ca="1">(ROW(A1772:M3771))</f>
        <v>#VALUE!</v>
      </c>
    </row>
    <row r="3774" spans="1:1">
      <c r="A3774" t="e" cm="1" vm="1">
        <f t="array" aca="1" ref="A3774" ca="1">(ROW(A1773:M3772))</f>
        <v>#VALUE!</v>
      </c>
    </row>
    <row r="3775" spans="1:1">
      <c r="A3775" t="e" cm="1" vm="1">
        <f t="array" aca="1" ref="A3775" ca="1">(ROW(A1774:M3773))</f>
        <v>#VALUE!</v>
      </c>
    </row>
    <row r="3776" spans="1:1">
      <c r="A3776" t="e" cm="1" vm="1">
        <f t="array" aca="1" ref="A3776" ca="1">(ROW(A1775:M3774))</f>
        <v>#VALUE!</v>
      </c>
    </row>
    <row r="3777" spans="1:1">
      <c r="A3777" t="e" cm="1" vm="1">
        <f t="array" aca="1" ref="A3777" ca="1">(ROW(A1776:M3775))</f>
        <v>#VALUE!</v>
      </c>
    </row>
    <row r="3778" spans="1:1">
      <c r="A3778" t="e" cm="1" vm="1">
        <f t="array" aca="1" ref="A3778" ca="1">(ROW(A1777:M3776))</f>
        <v>#VALUE!</v>
      </c>
    </row>
    <row r="3779" spans="1:1">
      <c r="A3779" t="e" cm="1" vm="1">
        <f t="array" aca="1" ref="A3779" ca="1">(ROW(A1778:M3777))</f>
        <v>#VALUE!</v>
      </c>
    </row>
    <row r="3780" spans="1:1">
      <c r="A3780" t="e" cm="1" vm="1">
        <f t="array" aca="1" ref="A3780" ca="1">(ROW(A1779:M3778))</f>
        <v>#VALUE!</v>
      </c>
    </row>
    <row r="3781" spans="1:1">
      <c r="A3781" t="e" cm="1" vm="1">
        <f t="array" aca="1" ref="A3781" ca="1">(ROW(A1780:M3779))</f>
        <v>#VALUE!</v>
      </c>
    </row>
    <row r="3782" spans="1:1">
      <c r="A3782" t="e" cm="1" vm="1">
        <f t="array" aca="1" ref="A3782" ca="1">(ROW(A1781:M3780))</f>
        <v>#VALUE!</v>
      </c>
    </row>
    <row r="3783" spans="1:1">
      <c r="A3783" t="e" cm="1" vm="1">
        <f t="array" aca="1" ref="A3783" ca="1">(ROW(A1782:M3781))</f>
        <v>#VALUE!</v>
      </c>
    </row>
    <row r="3784" spans="1:1">
      <c r="A3784" t="e" cm="1" vm="1">
        <f t="array" aca="1" ref="A3784" ca="1">(ROW(A1783:M3782))</f>
        <v>#VALUE!</v>
      </c>
    </row>
    <row r="3785" spans="1:1">
      <c r="A3785" t="e" cm="1" vm="1">
        <f t="array" aca="1" ref="A3785" ca="1">(ROW(A1784:M3783))</f>
        <v>#VALUE!</v>
      </c>
    </row>
    <row r="3786" spans="1:1">
      <c r="A3786" t="e" cm="1" vm="1">
        <f t="array" aca="1" ref="A3786" ca="1">(ROW(A1785:M3784))</f>
        <v>#VALUE!</v>
      </c>
    </row>
    <row r="3787" spans="1:1">
      <c r="A3787" t="e" cm="1" vm="1">
        <f t="array" aca="1" ref="A3787" ca="1">(ROW(A1786:M3785))</f>
        <v>#VALUE!</v>
      </c>
    </row>
    <row r="3788" spans="1:1">
      <c r="A3788" t="e" cm="1" vm="1">
        <f t="array" aca="1" ref="A3788" ca="1">(ROW(A1787:M3786))</f>
        <v>#VALUE!</v>
      </c>
    </row>
    <row r="3789" spans="1:1">
      <c r="A3789" t="e" cm="1" vm="1">
        <f t="array" aca="1" ref="A3789" ca="1">(ROW(A1788:M3787))</f>
        <v>#VALUE!</v>
      </c>
    </row>
    <row r="3790" spans="1:1">
      <c r="A3790" t="e" cm="1" vm="1">
        <f t="array" aca="1" ref="A3790" ca="1">(ROW(A1789:M3788))</f>
        <v>#VALUE!</v>
      </c>
    </row>
    <row r="3791" spans="1:1">
      <c r="A3791" t="e" cm="1" vm="1">
        <f t="array" aca="1" ref="A3791" ca="1">(ROW(A1790:M3789))</f>
        <v>#VALUE!</v>
      </c>
    </row>
    <row r="3792" spans="1:1">
      <c r="A3792" t="e" cm="1" vm="1">
        <f t="array" aca="1" ref="A3792" ca="1">(ROW(A1791:M3790))</f>
        <v>#VALUE!</v>
      </c>
    </row>
    <row r="3793" spans="1:1">
      <c r="A3793" t="e" cm="1" vm="1">
        <f t="array" aca="1" ref="A3793" ca="1">(ROW(A1792:M3791))</f>
        <v>#VALUE!</v>
      </c>
    </row>
    <row r="3794" spans="1:1">
      <c r="A3794" t="e" cm="1" vm="1">
        <f t="array" aca="1" ref="A3794" ca="1">(ROW(A1793:M3792))</f>
        <v>#VALUE!</v>
      </c>
    </row>
    <row r="3795" spans="1:1">
      <c r="A3795" t="e" cm="1" vm="1">
        <f t="array" aca="1" ref="A3795" ca="1">(ROW(A1794:M3793))</f>
        <v>#VALUE!</v>
      </c>
    </row>
    <row r="3796" spans="1:1">
      <c r="A3796" t="e" cm="1" vm="1">
        <f t="array" aca="1" ref="A3796" ca="1">(ROW(A1795:M3794))</f>
        <v>#VALUE!</v>
      </c>
    </row>
    <row r="3797" spans="1:1">
      <c r="A3797" t="e" cm="1" vm="1">
        <f t="array" aca="1" ref="A3797" ca="1">(ROW(A1796:M3795))</f>
        <v>#VALUE!</v>
      </c>
    </row>
    <row r="3798" spans="1:1">
      <c r="A3798" t="e" cm="1" vm="1">
        <f t="array" aca="1" ref="A3798" ca="1">(ROW(A1797:M3796))</f>
        <v>#VALUE!</v>
      </c>
    </row>
    <row r="3799" spans="1:1">
      <c r="A3799" t="e" cm="1" vm="1">
        <f t="array" aca="1" ref="A3799" ca="1">(ROW(A1798:M3797))</f>
        <v>#VALUE!</v>
      </c>
    </row>
    <row r="3800" spans="1:1">
      <c r="A3800" t="e" cm="1" vm="1">
        <f t="array" aca="1" ref="A3800" ca="1">(ROW(A1799:M3798))</f>
        <v>#VALUE!</v>
      </c>
    </row>
    <row r="3801" spans="1:1">
      <c r="A3801" t="e" cm="1" vm="1">
        <f t="array" aca="1" ref="A3801" ca="1">(ROW(A1800:M3799))</f>
        <v>#VALUE!</v>
      </c>
    </row>
    <row r="3802" spans="1:1">
      <c r="A3802" t="e" cm="1" vm="1">
        <f t="array" aca="1" ref="A3802" ca="1">(ROW(A1801:M3800))</f>
        <v>#VALUE!</v>
      </c>
    </row>
    <row r="3803" spans="1:1">
      <c r="A3803" t="e" cm="1" vm="1">
        <f t="array" aca="1" ref="A3803" ca="1">(ROW(A1802:M3801))</f>
        <v>#VALUE!</v>
      </c>
    </row>
    <row r="3804" spans="1:1">
      <c r="A3804" t="e" cm="1" vm="1">
        <f t="array" aca="1" ref="A3804" ca="1">(ROW(A1803:M3802))</f>
        <v>#VALUE!</v>
      </c>
    </row>
    <row r="3805" spans="1:1">
      <c r="A3805" t="e" cm="1" vm="1">
        <f t="array" aca="1" ref="A3805" ca="1">(ROW(A1804:M3803))</f>
        <v>#VALUE!</v>
      </c>
    </row>
    <row r="3806" spans="1:1">
      <c r="A3806" t="e" cm="1" vm="1">
        <f t="array" aca="1" ref="A3806" ca="1">(ROW(A1805:M3804))</f>
        <v>#VALUE!</v>
      </c>
    </row>
    <row r="3807" spans="1:1">
      <c r="A3807" t="e" cm="1" vm="1">
        <f t="array" aca="1" ref="A3807" ca="1">(ROW(A1806:M3805))</f>
        <v>#VALUE!</v>
      </c>
    </row>
    <row r="3808" spans="1:1">
      <c r="A3808" t="e" cm="1" vm="1">
        <f t="array" aca="1" ref="A3808" ca="1">(ROW(A1807:M3806))</f>
        <v>#VALUE!</v>
      </c>
    </row>
    <row r="3809" spans="1:1">
      <c r="A3809" t="e" cm="1" vm="1">
        <f t="array" aca="1" ref="A3809" ca="1">(ROW(A1808:M3807))</f>
        <v>#VALUE!</v>
      </c>
    </row>
    <row r="3810" spans="1:1">
      <c r="A3810" t="e" cm="1" vm="1">
        <f t="array" aca="1" ref="A3810" ca="1">(ROW(A1809:M3808))</f>
        <v>#VALUE!</v>
      </c>
    </row>
    <row r="3811" spans="1:1">
      <c r="A3811" t="e" cm="1" vm="1">
        <f t="array" aca="1" ref="A3811" ca="1">(ROW(A1810:M3809))</f>
        <v>#VALUE!</v>
      </c>
    </row>
    <row r="3812" spans="1:1">
      <c r="A3812" t="e" cm="1" vm="1">
        <f t="array" aca="1" ref="A3812" ca="1">(ROW(A1811:M3810))</f>
        <v>#VALUE!</v>
      </c>
    </row>
    <row r="3813" spans="1:1">
      <c r="A3813" t="e" cm="1" vm="1">
        <f t="array" aca="1" ref="A3813" ca="1">(ROW(A1812:M3811))</f>
        <v>#VALUE!</v>
      </c>
    </row>
    <row r="3814" spans="1:1">
      <c r="A3814" t="e" cm="1" vm="1">
        <f t="array" aca="1" ref="A3814" ca="1">(ROW(A1813:M3812))</f>
        <v>#VALUE!</v>
      </c>
    </row>
    <row r="3815" spans="1:1">
      <c r="A3815" t="e" cm="1" vm="1">
        <f t="array" aca="1" ref="A3815" ca="1">(ROW(A1814:M3813))</f>
        <v>#VALUE!</v>
      </c>
    </row>
    <row r="3816" spans="1:1">
      <c r="A3816" t="e" cm="1" vm="1">
        <f t="array" aca="1" ref="A3816" ca="1">(ROW(A1815:M3814))</f>
        <v>#VALUE!</v>
      </c>
    </row>
    <row r="3817" spans="1:1">
      <c r="A3817" t="e" cm="1" vm="1">
        <f t="array" aca="1" ref="A3817" ca="1">(ROW(A1816:M3815))</f>
        <v>#VALUE!</v>
      </c>
    </row>
    <row r="3818" spans="1:1">
      <c r="A3818" t="e" cm="1" vm="1">
        <f t="array" aca="1" ref="A3818" ca="1">(ROW(A1817:M3816))</f>
        <v>#VALUE!</v>
      </c>
    </row>
    <row r="3819" spans="1:1">
      <c r="A3819" t="e" cm="1" vm="1">
        <f t="array" aca="1" ref="A3819" ca="1">(ROW(A1818:M3817))</f>
        <v>#VALUE!</v>
      </c>
    </row>
    <row r="3820" spans="1:1">
      <c r="A3820" t="e" cm="1" vm="1">
        <f t="array" aca="1" ref="A3820" ca="1">(ROW(A1819:M3818))</f>
        <v>#VALUE!</v>
      </c>
    </row>
    <row r="3821" spans="1:1">
      <c r="A3821" t="e" cm="1" vm="1">
        <f t="array" aca="1" ref="A3821" ca="1">(ROW(A1820:M3819))</f>
        <v>#VALUE!</v>
      </c>
    </row>
    <row r="3822" spans="1:1">
      <c r="A3822" t="e" cm="1" vm="1">
        <f t="array" aca="1" ref="A3822" ca="1">(ROW(A1821:M3820))</f>
        <v>#VALUE!</v>
      </c>
    </row>
    <row r="3823" spans="1:1">
      <c r="A3823" t="e" cm="1" vm="1">
        <f t="array" aca="1" ref="A3823" ca="1">(ROW(A1822:M3821))</f>
        <v>#VALUE!</v>
      </c>
    </row>
    <row r="3824" spans="1:1">
      <c r="A3824" t="e" cm="1" vm="1">
        <f t="array" aca="1" ref="A3824" ca="1">(ROW(A1823:M3822))</f>
        <v>#VALUE!</v>
      </c>
    </row>
    <row r="3825" spans="1:1">
      <c r="A3825" t="e" cm="1" vm="1">
        <f t="array" aca="1" ref="A3825" ca="1">(ROW(A1824:M3823))</f>
        <v>#VALUE!</v>
      </c>
    </row>
    <row r="3826" spans="1:1">
      <c r="A3826" t="e" cm="1" vm="1">
        <f t="array" aca="1" ref="A3826" ca="1">(ROW(A1825:M3824))</f>
        <v>#VALUE!</v>
      </c>
    </row>
    <row r="3827" spans="1:1">
      <c r="A3827" t="e" cm="1" vm="1">
        <f t="array" aca="1" ref="A3827" ca="1">(ROW(A1826:M3825))</f>
        <v>#VALUE!</v>
      </c>
    </row>
    <row r="3828" spans="1:1">
      <c r="A3828" t="e" cm="1" vm="1">
        <f t="array" aca="1" ref="A3828" ca="1">(ROW(A1827:M3826))</f>
        <v>#VALUE!</v>
      </c>
    </row>
    <row r="3829" spans="1:1">
      <c r="A3829" t="e" cm="1" vm="1">
        <f t="array" aca="1" ref="A3829" ca="1">(ROW(A1828:M3827))</f>
        <v>#VALUE!</v>
      </c>
    </row>
    <row r="3830" spans="1:1">
      <c r="A3830" t="e" cm="1" vm="1">
        <f t="array" aca="1" ref="A3830" ca="1">(ROW(A1829:M3828))</f>
        <v>#VALUE!</v>
      </c>
    </row>
    <row r="3831" spans="1:1">
      <c r="A3831" t="e" cm="1" vm="1">
        <f t="array" aca="1" ref="A3831" ca="1">(ROW(A1830:M3829))</f>
        <v>#VALUE!</v>
      </c>
    </row>
    <row r="3832" spans="1:1">
      <c r="A3832" t="e" cm="1" vm="1">
        <f t="array" aca="1" ref="A3832" ca="1">(ROW(A1831:M3830))</f>
        <v>#VALUE!</v>
      </c>
    </row>
    <row r="3833" spans="1:1">
      <c r="A3833" t="e" cm="1" vm="1">
        <f t="array" aca="1" ref="A3833" ca="1">(ROW(A1832:M3831))</f>
        <v>#VALUE!</v>
      </c>
    </row>
    <row r="3834" spans="1:1">
      <c r="A3834" t="e" cm="1" vm="1">
        <f t="array" aca="1" ref="A3834" ca="1">(ROW(A1833:M3832))</f>
        <v>#VALUE!</v>
      </c>
    </row>
    <row r="3835" spans="1:1">
      <c r="A3835" t="e" cm="1" vm="1">
        <f t="array" aca="1" ref="A3835" ca="1">(ROW(A1834:M3833))</f>
        <v>#VALUE!</v>
      </c>
    </row>
    <row r="3836" spans="1:1">
      <c r="A3836" t="e" cm="1" vm="1">
        <f t="array" aca="1" ref="A3836" ca="1">(ROW(A1835:M3834))</f>
        <v>#VALUE!</v>
      </c>
    </row>
    <row r="3837" spans="1:1">
      <c r="A3837" t="e" cm="1" vm="1">
        <f t="array" aca="1" ref="A3837" ca="1">(ROW(A1836:M3835))</f>
        <v>#VALUE!</v>
      </c>
    </row>
    <row r="3838" spans="1:1">
      <c r="A3838" t="e" cm="1" vm="1">
        <f t="array" aca="1" ref="A3838" ca="1">(ROW(A1837:M3836))</f>
        <v>#VALUE!</v>
      </c>
    </row>
    <row r="3839" spans="1:1">
      <c r="A3839" t="e" cm="1" vm="1">
        <f t="array" aca="1" ref="A3839" ca="1">(ROW(A1838:M3837))</f>
        <v>#VALUE!</v>
      </c>
    </row>
    <row r="3840" spans="1:1">
      <c r="A3840" t="e" cm="1" vm="1">
        <f t="array" aca="1" ref="A3840" ca="1">(ROW(A1839:M3838))</f>
        <v>#VALUE!</v>
      </c>
    </row>
    <row r="3841" spans="1:1">
      <c r="A3841" t="e" cm="1" vm="1">
        <f t="array" aca="1" ref="A3841" ca="1">(ROW(A1840:M3839))</f>
        <v>#VALUE!</v>
      </c>
    </row>
    <row r="3842" spans="1:1">
      <c r="A3842" t="e" cm="1" vm="1">
        <f t="array" aca="1" ref="A3842" ca="1">(ROW(A1841:M3840))</f>
        <v>#VALUE!</v>
      </c>
    </row>
    <row r="3843" spans="1:1">
      <c r="A3843" t="e" cm="1" vm="1">
        <f t="array" aca="1" ref="A3843" ca="1">(ROW(A1842:M3841))</f>
        <v>#VALUE!</v>
      </c>
    </row>
    <row r="3844" spans="1:1">
      <c r="A3844" t="e" cm="1" vm="1">
        <f t="array" aca="1" ref="A3844" ca="1">(ROW(A1843:M3842))</f>
        <v>#VALUE!</v>
      </c>
    </row>
    <row r="3845" spans="1:1">
      <c r="A3845" t="e" cm="1" vm="1">
        <f t="array" aca="1" ref="A3845" ca="1">(ROW(A1844:M3843))</f>
        <v>#VALUE!</v>
      </c>
    </row>
    <row r="3846" spans="1:1">
      <c r="A3846" t="e" cm="1" vm="1">
        <f t="array" aca="1" ref="A3846" ca="1">(ROW(A1845:M3844))</f>
        <v>#VALUE!</v>
      </c>
    </row>
    <row r="3847" spans="1:1">
      <c r="A3847" t="e" cm="1" vm="1">
        <f t="array" aca="1" ref="A3847" ca="1">(ROW(A1846:M3845))</f>
        <v>#VALUE!</v>
      </c>
    </row>
    <row r="3848" spans="1:1">
      <c r="A3848" t="e" cm="1" vm="1">
        <f t="array" aca="1" ref="A3848" ca="1">(ROW(A1847:M3846))</f>
        <v>#VALUE!</v>
      </c>
    </row>
    <row r="3849" spans="1:1">
      <c r="A3849" t="e" cm="1" vm="1">
        <f t="array" aca="1" ref="A3849" ca="1">(ROW(A1848:M3847))</f>
        <v>#VALUE!</v>
      </c>
    </row>
    <row r="3850" spans="1:1">
      <c r="A3850" t="e" cm="1" vm="1">
        <f t="array" aca="1" ref="A3850" ca="1">(ROW(A1849:M3848))</f>
        <v>#VALUE!</v>
      </c>
    </row>
    <row r="3851" spans="1:1">
      <c r="A3851" t="e" cm="1" vm="1">
        <f t="array" aca="1" ref="A3851" ca="1">(ROW(A1850:M3849))</f>
        <v>#VALUE!</v>
      </c>
    </row>
    <row r="3852" spans="1:1">
      <c r="A3852" t="e" cm="1" vm="1">
        <f t="array" aca="1" ref="A3852" ca="1">(ROW(A1851:M3850))</f>
        <v>#VALUE!</v>
      </c>
    </row>
    <row r="3853" spans="1:1">
      <c r="A3853" t="e" cm="1" vm="1">
        <f t="array" aca="1" ref="A3853" ca="1">(ROW(A1852:M3851))</f>
        <v>#VALUE!</v>
      </c>
    </row>
    <row r="3854" spans="1:1">
      <c r="A3854" t="e" cm="1" vm="1">
        <f t="array" aca="1" ref="A3854" ca="1">(ROW(A1853:M3852))</f>
        <v>#VALUE!</v>
      </c>
    </row>
    <row r="3855" spans="1:1">
      <c r="A3855" t="e" cm="1" vm="1">
        <f t="array" aca="1" ref="A3855" ca="1">(ROW(A1854:M3853))</f>
        <v>#VALUE!</v>
      </c>
    </row>
    <row r="3856" spans="1:1">
      <c r="A3856" t="e" cm="1" vm="1">
        <f t="array" aca="1" ref="A3856" ca="1">(ROW(A1855:M3854))</f>
        <v>#VALUE!</v>
      </c>
    </row>
    <row r="3857" spans="1:1">
      <c r="A3857" t="e" cm="1" vm="1">
        <f t="array" aca="1" ref="A3857" ca="1">(ROW(A1856:M3855))</f>
        <v>#VALUE!</v>
      </c>
    </row>
    <row r="3858" spans="1:1">
      <c r="A3858" t="e" cm="1" vm="1">
        <f t="array" aca="1" ref="A3858" ca="1">(ROW(A1857:M3856))</f>
        <v>#VALUE!</v>
      </c>
    </row>
    <row r="3859" spans="1:1">
      <c r="A3859" t="e" cm="1" vm="1">
        <f t="array" aca="1" ref="A3859" ca="1">(ROW(A1858:M3857))</f>
        <v>#VALUE!</v>
      </c>
    </row>
    <row r="3860" spans="1:1">
      <c r="A3860" t="e" cm="1" vm="1">
        <f t="array" aca="1" ref="A3860" ca="1">(ROW(A1859:M3858))</f>
        <v>#VALUE!</v>
      </c>
    </row>
    <row r="3861" spans="1:1">
      <c r="A3861" t="e" cm="1" vm="1">
        <f t="array" aca="1" ref="A3861" ca="1">(ROW(A1860:M3859))</f>
        <v>#VALUE!</v>
      </c>
    </row>
    <row r="3862" spans="1:1">
      <c r="A3862" t="e" cm="1" vm="1">
        <f t="array" aca="1" ref="A3862" ca="1">(ROW(A1861:M3860))</f>
        <v>#VALUE!</v>
      </c>
    </row>
    <row r="3863" spans="1:1">
      <c r="A3863" t="e" cm="1" vm="1">
        <f t="array" aca="1" ref="A3863" ca="1">(ROW(A1862:M3861))</f>
        <v>#VALUE!</v>
      </c>
    </row>
    <row r="3864" spans="1:1">
      <c r="A3864" t="e" cm="1" vm="1">
        <f t="array" aca="1" ref="A3864" ca="1">(ROW(A1863:M3862))</f>
        <v>#VALUE!</v>
      </c>
    </row>
    <row r="3865" spans="1:1">
      <c r="A3865" t="e" cm="1" vm="1">
        <f t="array" aca="1" ref="A3865" ca="1">(ROW(A1864:M3863))</f>
        <v>#VALUE!</v>
      </c>
    </row>
    <row r="3866" spans="1:1">
      <c r="A3866" t="e" cm="1" vm="1">
        <f t="array" aca="1" ref="A3866" ca="1">(ROW(A1865:M3864))</f>
        <v>#VALUE!</v>
      </c>
    </row>
    <row r="3867" spans="1:1">
      <c r="A3867" t="e" cm="1" vm="1">
        <f t="array" aca="1" ref="A3867" ca="1">(ROW(A1866:M3865))</f>
        <v>#VALUE!</v>
      </c>
    </row>
    <row r="3868" spans="1:1">
      <c r="A3868" t="e" cm="1" vm="1">
        <f t="array" aca="1" ref="A3868" ca="1">(ROW(A1867:M3866))</f>
        <v>#VALUE!</v>
      </c>
    </row>
    <row r="3869" spans="1:1">
      <c r="A3869" t="e" cm="1" vm="1">
        <f t="array" aca="1" ref="A3869" ca="1">(ROW(A1868:M3867))</f>
        <v>#VALUE!</v>
      </c>
    </row>
    <row r="3870" spans="1:1">
      <c r="A3870" t="e" cm="1" vm="1">
        <f t="array" aca="1" ref="A3870" ca="1">(ROW(A1869:M3868))</f>
        <v>#VALUE!</v>
      </c>
    </row>
    <row r="3871" spans="1:1">
      <c r="A3871" t="e" cm="1" vm="1">
        <f t="array" aca="1" ref="A3871" ca="1">(ROW(A1870:M3869))</f>
        <v>#VALUE!</v>
      </c>
    </row>
    <row r="3872" spans="1:1">
      <c r="A3872" t="e" cm="1" vm="1">
        <f t="array" aca="1" ref="A3872" ca="1">(ROW(A1871:M3870))</f>
        <v>#VALUE!</v>
      </c>
    </row>
    <row r="3873" spans="1:1">
      <c r="A3873" t="e" cm="1" vm="1">
        <f t="array" aca="1" ref="A3873" ca="1">(ROW(A1872:M3871))</f>
        <v>#VALUE!</v>
      </c>
    </row>
    <row r="3874" spans="1:1">
      <c r="A3874" t="e" cm="1" vm="1">
        <f t="array" aca="1" ref="A3874" ca="1">(ROW(A1873:M3872))</f>
        <v>#VALUE!</v>
      </c>
    </row>
    <row r="3875" spans="1:1">
      <c r="A3875" t="e" cm="1" vm="1">
        <f t="array" aca="1" ref="A3875" ca="1">(ROW(A1874:M3873))</f>
        <v>#VALUE!</v>
      </c>
    </row>
    <row r="3876" spans="1:1">
      <c r="A3876" t="e" cm="1" vm="1">
        <f t="array" aca="1" ref="A3876" ca="1">(ROW(A1875:M3874))</f>
        <v>#VALUE!</v>
      </c>
    </row>
    <row r="3877" spans="1:1">
      <c r="A3877" t="e" cm="1" vm="1">
        <f t="array" aca="1" ref="A3877" ca="1">(ROW(A1876:M3875))</f>
        <v>#VALUE!</v>
      </c>
    </row>
    <row r="3878" spans="1:1">
      <c r="A3878" t="e" cm="1" vm="1">
        <f t="array" aca="1" ref="A3878" ca="1">(ROW(A1877:M3876))</f>
        <v>#VALUE!</v>
      </c>
    </row>
    <row r="3879" spans="1:1">
      <c r="A3879" t="e" cm="1" vm="1">
        <f t="array" aca="1" ref="A3879" ca="1">(ROW(A1878:M3877))</f>
        <v>#VALUE!</v>
      </c>
    </row>
    <row r="3880" spans="1:1">
      <c r="A3880" t="e" cm="1" vm="1">
        <f t="array" aca="1" ref="A3880" ca="1">(ROW(A1879:M3878))</f>
        <v>#VALUE!</v>
      </c>
    </row>
    <row r="3881" spans="1:1">
      <c r="A3881" t="e" cm="1" vm="1">
        <f t="array" aca="1" ref="A3881" ca="1">(ROW(A1880:M3879))</f>
        <v>#VALUE!</v>
      </c>
    </row>
    <row r="3882" spans="1:1">
      <c r="A3882" t="e" cm="1" vm="1">
        <f t="array" aca="1" ref="A3882" ca="1">(ROW(A1881:M3880))</f>
        <v>#VALUE!</v>
      </c>
    </row>
    <row r="3883" spans="1:1">
      <c r="A3883" t="e" cm="1" vm="1">
        <f t="array" aca="1" ref="A3883" ca="1">(ROW(A1882:M3881))</f>
        <v>#VALUE!</v>
      </c>
    </row>
    <row r="3884" spans="1:1">
      <c r="A3884" t="e" cm="1" vm="1">
        <f t="array" aca="1" ref="A3884" ca="1">(ROW(A1883:M3882))</f>
        <v>#VALUE!</v>
      </c>
    </row>
    <row r="3885" spans="1:1">
      <c r="A3885" t="e" cm="1" vm="1">
        <f t="array" aca="1" ref="A3885" ca="1">(ROW(A1884:M3883))</f>
        <v>#VALUE!</v>
      </c>
    </row>
    <row r="3886" spans="1:1">
      <c r="A3886" t="e" cm="1" vm="1">
        <f t="array" aca="1" ref="A3886" ca="1">(ROW(A1885:M3884))</f>
        <v>#VALUE!</v>
      </c>
    </row>
    <row r="3887" spans="1:1">
      <c r="A3887" t="e" cm="1" vm="1">
        <f t="array" aca="1" ref="A3887" ca="1">(ROW(A1886:M3885))</f>
        <v>#VALUE!</v>
      </c>
    </row>
    <row r="3888" spans="1:1">
      <c r="A3888" t="e" cm="1" vm="1">
        <f t="array" aca="1" ref="A3888" ca="1">(ROW(A1887:M3886))</f>
        <v>#VALUE!</v>
      </c>
    </row>
    <row r="3889" spans="1:1">
      <c r="A3889" t="e" cm="1" vm="1">
        <f t="array" aca="1" ref="A3889" ca="1">(ROW(A1888:M3887))</f>
        <v>#VALUE!</v>
      </c>
    </row>
    <row r="3890" spans="1:1">
      <c r="A3890" t="e" cm="1" vm="1">
        <f t="array" aca="1" ref="A3890" ca="1">(ROW(A1889:M3888))</f>
        <v>#VALUE!</v>
      </c>
    </row>
    <row r="3891" spans="1:1">
      <c r="A3891" t="e" cm="1" vm="1">
        <f t="array" aca="1" ref="A3891" ca="1">(ROW(A1890:M3889))</f>
        <v>#VALUE!</v>
      </c>
    </row>
    <row r="3892" spans="1:1">
      <c r="A3892" t="e" cm="1" vm="1">
        <f t="array" aca="1" ref="A3892" ca="1">(ROW(A1891:M3890))</f>
        <v>#VALUE!</v>
      </c>
    </row>
    <row r="3893" spans="1:1">
      <c r="A3893" t="e" cm="1" vm="1">
        <f t="array" aca="1" ref="A3893" ca="1">(ROW(A1892:M3891))</f>
        <v>#VALUE!</v>
      </c>
    </row>
    <row r="3894" spans="1:1">
      <c r="A3894" t="e" cm="1" vm="1">
        <f t="array" aca="1" ref="A3894" ca="1">(ROW(A1893:M3892))</f>
        <v>#VALUE!</v>
      </c>
    </row>
    <row r="3895" spans="1:1">
      <c r="A3895" t="e" cm="1" vm="1">
        <f t="array" aca="1" ref="A3895" ca="1">(ROW(A1894:M3893))</f>
        <v>#VALUE!</v>
      </c>
    </row>
    <row r="3896" spans="1:1">
      <c r="A3896" t="e" cm="1" vm="1">
        <f t="array" aca="1" ref="A3896" ca="1">(ROW(A1895:M3894))</f>
        <v>#VALUE!</v>
      </c>
    </row>
    <row r="3897" spans="1:1">
      <c r="A3897" t="e" cm="1" vm="1">
        <f t="array" aca="1" ref="A3897" ca="1">(ROW(A1896:M3895))</f>
        <v>#VALUE!</v>
      </c>
    </row>
    <row r="3898" spans="1:1">
      <c r="A3898" t="e" cm="1" vm="1">
        <f t="array" aca="1" ref="A3898" ca="1">(ROW(A1897:M3896))</f>
        <v>#VALUE!</v>
      </c>
    </row>
    <row r="3899" spans="1:1">
      <c r="A3899" t="e" cm="1" vm="1">
        <f t="array" aca="1" ref="A3899" ca="1">(ROW(A1898:M3897))</f>
        <v>#VALUE!</v>
      </c>
    </row>
    <row r="3900" spans="1:1">
      <c r="A3900" t="e" cm="1" vm="1">
        <f t="array" aca="1" ref="A3900" ca="1">(ROW(A1899:M3898))</f>
        <v>#VALUE!</v>
      </c>
    </row>
    <row r="3901" spans="1:1">
      <c r="A3901" t="e" cm="1" vm="1">
        <f t="array" aca="1" ref="A3901" ca="1">(ROW(A1900:M3899))</f>
        <v>#VALUE!</v>
      </c>
    </row>
    <row r="3902" spans="1:1">
      <c r="A3902" t="e" cm="1" vm="1">
        <f t="array" aca="1" ref="A3902" ca="1">(ROW(A1901:M3900))</f>
        <v>#VALUE!</v>
      </c>
    </row>
    <row r="3903" spans="1:1">
      <c r="A3903" t="e" cm="1" vm="1">
        <f t="array" aca="1" ref="A3903" ca="1">(ROW(A1902:M3901))</f>
        <v>#VALUE!</v>
      </c>
    </row>
    <row r="3904" spans="1:1">
      <c r="A3904" t="e" cm="1" vm="1">
        <f t="array" aca="1" ref="A3904" ca="1">(ROW(A1903:M3902))</f>
        <v>#VALUE!</v>
      </c>
    </row>
    <row r="3905" spans="1:1">
      <c r="A3905" t="e" cm="1" vm="1">
        <f t="array" aca="1" ref="A3905" ca="1">(ROW(A1904:M3903))</f>
        <v>#VALUE!</v>
      </c>
    </row>
    <row r="3906" spans="1:1">
      <c r="A3906" t="e" cm="1" vm="1">
        <f t="array" aca="1" ref="A3906" ca="1">(ROW(A1905:M3904))</f>
        <v>#VALUE!</v>
      </c>
    </row>
    <row r="3907" spans="1:1">
      <c r="A3907" t="e" cm="1" vm="1">
        <f t="array" aca="1" ref="A3907" ca="1">(ROW(A1906:M3905))</f>
        <v>#VALUE!</v>
      </c>
    </row>
    <row r="3908" spans="1:1">
      <c r="A3908" t="e" cm="1" vm="1">
        <f t="array" aca="1" ref="A3908" ca="1">(ROW(A1907:M3906))</f>
        <v>#VALUE!</v>
      </c>
    </row>
    <row r="3909" spans="1:1">
      <c r="A3909" t="e" cm="1" vm="1">
        <f t="array" aca="1" ref="A3909" ca="1">(ROW(A1908:M3907))</f>
        <v>#VALUE!</v>
      </c>
    </row>
    <row r="3910" spans="1:1">
      <c r="A3910" t="e" cm="1" vm="1">
        <f t="array" aca="1" ref="A3910" ca="1">(ROW(A1909:M3908))</f>
        <v>#VALUE!</v>
      </c>
    </row>
    <row r="3911" spans="1:1">
      <c r="A3911" t="e" cm="1" vm="1">
        <f t="array" aca="1" ref="A3911" ca="1">(ROW(A1910:M3909))</f>
        <v>#VALUE!</v>
      </c>
    </row>
    <row r="3912" spans="1:1">
      <c r="A3912" t="e" cm="1" vm="1">
        <f t="array" aca="1" ref="A3912" ca="1">(ROW(A1911:M3910))</f>
        <v>#VALUE!</v>
      </c>
    </row>
    <row r="3913" spans="1:1">
      <c r="A3913" t="e" cm="1" vm="1">
        <f t="array" aca="1" ref="A3913" ca="1">(ROW(A1912:M3911))</f>
        <v>#VALUE!</v>
      </c>
    </row>
    <row r="3914" spans="1:1">
      <c r="A3914" t="e" cm="1" vm="1">
        <f t="array" aca="1" ref="A3914" ca="1">(ROW(A1913:M3912))</f>
        <v>#VALUE!</v>
      </c>
    </row>
    <row r="3915" spans="1:1">
      <c r="A3915" t="e" cm="1" vm="1">
        <f t="array" aca="1" ref="A3915" ca="1">(ROW(A1914:M3913))</f>
        <v>#VALUE!</v>
      </c>
    </row>
    <row r="3916" spans="1:1">
      <c r="A3916" t="e" cm="1" vm="1">
        <f t="array" aca="1" ref="A3916" ca="1">(ROW(A1915:M3914))</f>
        <v>#VALUE!</v>
      </c>
    </row>
    <row r="3917" spans="1:1">
      <c r="A3917" t="e" cm="1" vm="1">
        <f t="array" aca="1" ref="A3917" ca="1">(ROW(A1916:M3915))</f>
        <v>#VALUE!</v>
      </c>
    </row>
    <row r="3918" spans="1:1">
      <c r="A3918" t="e" cm="1" vm="1">
        <f t="array" aca="1" ref="A3918" ca="1">(ROW(A1917:M3916))</f>
        <v>#VALUE!</v>
      </c>
    </row>
    <row r="3919" spans="1:1">
      <c r="A3919" t="e" cm="1" vm="1">
        <f t="array" aca="1" ref="A3919" ca="1">(ROW(A1918:M3917))</f>
        <v>#VALUE!</v>
      </c>
    </row>
    <row r="3920" spans="1:1">
      <c r="A3920" t="e" cm="1" vm="1">
        <f t="array" aca="1" ref="A3920" ca="1">(ROW(A1919:M3918))</f>
        <v>#VALUE!</v>
      </c>
    </row>
    <row r="3921" spans="1:1">
      <c r="A3921" t="e" cm="1" vm="1">
        <f t="array" aca="1" ref="A3921" ca="1">(ROW(A1920:M3919))</f>
        <v>#VALUE!</v>
      </c>
    </row>
    <row r="3922" spans="1:1">
      <c r="A3922" t="e" cm="1" vm="1">
        <f t="array" aca="1" ref="A3922" ca="1">(ROW(A1921:M3920))</f>
        <v>#VALUE!</v>
      </c>
    </row>
    <row r="3923" spans="1:1">
      <c r="A3923" t="e" cm="1" vm="1">
        <f t="array" aca="1" ref="A3923" ca="1">(ROW(A1922:M3921))</f>
        <v>#VALUE!</v>
      </c>
    </row>
    <row r="3924" spans="1:1">
      <c r="A3924" t="e" cm="1" vm="1">
        <f t="array" aca="1" ref="A3924" ca="1">(ROW(A1923:M3922))</f>
        <v>#VALUE!</v>
      </c>
    </row>
    <row r="3925" spans="1:1">
      <c r="A3925" t="e" cm="1" vm="1">
        <f t="array" aca="1" ref="A3925" ca="1">(ROW(A1924:M3923))</f>
        <v>#VALUE!</v>
      </c>
    </row>
    <row r="3926" spans="1:1">
      <c r="A3926" t="e" cm="1" vm="1">
        <f t="array" aca="1" ref="A3926" ca="1">(ROW(A1925:M3924))</f>
        <v>#VALUE!</v>
      </c>
    </row>
    <row r="3927" spans="1:1">
      <c r="A3927" t="e" cm="1" vm="1">
        <f t="array" aca="1" ref="A3927" ca="1">(ROW(A1926:M3925))</f>
        <v>#VALUE!</v>
      </c>
    </row>
    <row r="3928" spans="1:1">
      <c r="A3928" t="e" cm="1" vm="1">
        <f t="array" aca="1" ref="A3928" ca="1">(ROW(A1927:M3926))</f>
        <v>#VALUE!</v>
      </c>
    </row>
    <row r="3929" spans="1:1">
      <c r="A3929" t="e" cm="1" vm="1">
        <f t="array" aca="1" ref="A3929" ca="1">(ROW(A1928:M3927))</f>
        <v>#VALUE!</v>
      </c>
    </row>
    <row r="3930" spans="1:1">
      <c r="A3930" t="e" cm="1" vm="1">
        <f t="array" aca="1" ref="A3930" ca="1">(ROW(A1929:M3928))</f>
        <v>#VALUE!</v>
      </c>
    </row>
    <row r="3931" spans="1:1">
      <c r="A3931" t="e" cm="1" vm="1">
        <f t="array" aca="1" ref="A3931" ca="1">(ROW(A1930:M3929))</f>
        <v>#VALUE!</v>
      </c>
    </row>
    <row r="3932" spans="1:1">
      <c r="A3932" t="e" cm="1" vm="1">
        <f t="array" aca="1" ref="A3932" ca="1">(ROW(A1931:M3930))</f>
        <v>#VALUE!</v>
      </c>
    </row>
    <row r="3933" spans="1:1">
      <c r="A3933" t="e" cm="1" vm="1">
        <f t="array" aca="1" ref="A3933" ca="1">(ROW(A1932:M3931))</f>
        <v>#VALUE!</v>
      </c>
    </row>
    <row r="3934" spans="1:1">
      <c r="A3934" t="e" cm="1" vm="1">
        <f t="array" aca="1" ref="A3934" ca="1">(ROW(A1933:M3932))</f>
        <v>#VALUE!</v>
      </c>
    </row>
    <row r="3935" spans="1:1">
      <c r="A3935" t="e" cm="1" vm="1">
        <f t="array" aca="1" ref="A3935" ca="1">(ROW(A1934:M3933))</f>
        <v>#VALUE!</v>
      </c>
    </row>
    <row r="3936" spans="1:1">
      <c r="A3936" t="e" cm="1" vm="1">
        <f t="array" aca="1" ref="A3936" ca="1">(ROW(A1935:M3934))</f>
        <v>#VALUE!</v>
      </c>
    </row>
    <row r="3937" spans="1:1">
      <c r="A3937" t="e" cm="1" vm="1">
        <f t="array" aca="1" ref="A3937" ca="1">(ROW(A1936:M3935))</f>
        <v>#VALUE!</v>
      </c>
    </row>
    <row r="3938" spans="1:1">
      <c r="A3938" t="e" cm="1" vm="1">
        <f t="array" aca="1" ref="A3938" ca="1">(ROW(A1937:M3936))</f>
        <v>#VALUE!</v>
      </c>
    </row>
    <row r="3939" spans="1:1">
      <c r="A3939" t="e" cm="1" vm="1">
        <f t="array" aca="1" ref="A3939" ca="1">(ROW(A1938:M3937))</f>
        <v>#VALUE!</v>
      </c>
    </row>
    <row r="3940" spans="1:1">
      <c r="A3940" t="e" cm="1" vm="1">
        <f t="array" aca="1" ref="A3940" ca="1">(ROW(A1939:M3938))</f>
        <v>#VALUE!</v>
      </c>
    </row>
    <row r="3941" spans="1:1">
      <c r="A3941" t="e" cm="1" vm="1">
        <f t="array" aca="1" ref="A3941" ca="1">(ROW(A1940:M3939))</f>
        <v>#VALUE!</v>
      </c>
    </row>
    <row r="3942" spans="1:1">
      <c r="A3942" t="e" cm="1" vm="1">
        <f t="array" aca="1" ref="A3942" ca="1">(ROW(A1941:M3940))</f>
        <v>#VALUE!</v>
      </c>
    </row>
    <row r="3943" spans="1:1">
      <c r="A3943" t="e" cm="1" vm="1">
        <f t="array" aca="1" ref="A3943" ca="1">(ROW(A1942:M3941))</f>
        <v>#VALUE!</v>
      </c>
    </row>
    <row r="3944" spans="1:1">
      <c r="A3944" t="e" cm="1" vm="1">
        <f t="array" aca="1" ref="A3944" ca="1">(ROW(A1943:M3942))</f>
        <v>#VALUE!</v>
      </c>
    </row>
    <row r="3945" spans="1:1">
      <c r="A3945" t="e" cm="1" vm="1">
        <f t="array" aca="1" ref="A3945" ca="1">(ROW(A1944:M3943))</f>
        <v>#VALUE!</v>
      </c>
    </row>
    <row r="3946" spans="1:1">
      <c r="A3946" t="e" cm="1" vm="1">
        <f t="array" aca="1" ref="A3946" ca="1">(ROW(A1945:M3944))</f>
        <v>#VALUE!</v>
      </c>
    </row>
    <row r="3947" spans="1:1">
      <c r="A3947" t="e" cm="1" vm="1">
        <f t="array" aca="1" ref="A3947" ca="1">(ROW(A1946:M3945))</f>
        <v>#VALUE!</v>
      </c>
    </row>
    <row r="3948" spans="1:1">
      <c r="A3948" t="e" cm="1" vm="1">
        <f t="array" aca="1" ref="A3948" ca="1">(ROW(A1947:M3946))</f>
        <v>#VALUE!</v>
      </c>
    </row>
    <row r="3949" spans="1:1">
      <c r="A3949" t="e" cm="1" vm="1">
        <f t="array" aca="1" ref="A3949" ca="1">(ROW(A1948:M3947))</f>
        <v>#VALUE!</v>
      </c>
    </row>
    <row r="3950" spans="1:1">
      <c r="A3950" t="e" cm="1" vm="1">
        <f t="array" aca="1" ref="A3950" ca="1">(ROW(A1949:M3948))</f>
        <v>#VALUE!</v>
      </c>
    </row>
    <row r="3951" spans="1:1">
      <c r="A3951" t="e" cm="1" vm="1">
        <f t="array" aca="1" ref="A3951" ca="1">(ROW(A1950:M3949))</f>
        <v>#VALUE!</v>
      </c>
    </row>
    <row r="3952" spans="1:1">
      <c r="A3952" t="e" cm="1" vm="1">
        <f t="array" aca="1" ref="A3952" ca="1">(ROW(A1951:M3950))</f>
        <v>#VALUE!</v>
      </c>
    </row>
    <row r="3953" spans="1:1">
      <c r="A3953" t="e" cm="1" vm="1">
        <f t="array" aca="1" ref="A3953" ca="1">(ROW(A1952:M3951))</f>
        <v>#VALUE!</v>
      </c>
    </row>
    <row r="3954" spans="1:1">
      <c r="A3954" t="e" cm="1" vm="1">
        <f t="array" aca="1" ref="A3954" ca="1">(ROW(A1953:M3952))</f>
        <v>#VALUE!</v>
      </c>
    </row>
    <row r="3955" spans="1:1">
      <c r="A3955" t="e" cm="1" vm="1">
        <f t="array" aca="1" ref="A3955" ca="1">(ROW(A1954:M3953))</f>
        <v>#VALUE!</v>
      </c>
    </row>
    <row r="3956" spans="1:1">
      <c r="A3956" t="e" cm="1" vm="1">
        <f t="array" aca="1" ref="A3956" ca="1">(ROW(A1955:M3954))</f>
        <v>#VALUE!</v>
      </c>
    </row>
    <row r="3957" spans="1:1">
      <c r="A3957" t="e" cm="1" vm="1">
        <f t="array" aca="1" ref="A3957" ca="1">(ROW(A1956:M3955))</f>
        <v>#VALUE!</v>
      </c>
    </row>
    <row r="3958" spans="1:1">
      <c r="A3958" t="e" cm="1" vm="1">
        <f t="array" aca="1" ref="A3958" ca="1">(ROW(A1957:M3956))</f>
        <v>#VALUE!</v>
      </c>
    </row>
    <row r="3959" spans="1:1">
      <c r="A3959" t="e" cm="1" vm="1">
        <f t="array" aca="1" ref="A3959" ca="1">(ROW(A1958:M3957))</f>
        <v>#VALUE!</v>
      </c>
    </row>
    <row r="3960" spans="1:1">
      <c r="A3960" t="e" cm="1" vm="1">
        <f t="array" aca="1" ref="A3960" ca="1">(ROW(A1959:M3958))</f>
        <v>#VALUE!</v>
      </c>
    </row>
    <row r="3961" spans="1:1">
      <c r="A3961" t="e" cm="1" vm="1">
        <f t="array" aca="1" ref="A3961" ca="1">(ROW(A1960:M3959))</f>
        <v>#VALUE!</v>
      </c>
    </row>
    <row r="3962" spans="1:1">
      <c r="A3962" t="e" cm="1" vm="1">
        <f t="array" aca="1" ref="A3962" ca="1">(ROW(A1961:M3960))</f>
        <v>#VALUE!</v>
      </c>
    </row>
    <row r="3963" spans="1:1">
      <c r="A3963" t="e" cm="1" vm="1">
        <f t="array" aca="1" ref="A3963" ca="1">(ROW(A1962:M3961))</f>
        <v>#VALUE!</v>
      </c>
    </row>
    <row r="3964" spans="1:1">
      <c r="A3964" t="e" cm="1" vm="1">
        <f t="array" aca="1" ref="A3964" ca="1">(ROW(A1963:M3962))</f>
        <v>#VALUE!</v>
      </c>
    </row>
    <row r="3965" spans="1:1">
      <c r="A3965" t="e" cm="1" vm="1">
        <f t="array" aca="1" ref="A3965" ca="1">(ROW(A1964:M3963))</f>
        <v>#VALUE!</v>
      </c>
    </row>
    <row r="3966" spans="1:1">
      <c r="A3966" t="e" cm="1" vm="1">
        <f t="array" aca="1" ref="A3966" ca="1">(ROW(A1965:M3964))</f>
        <v>#VALUE!</v>
      </c>
    </row>
    <row r="3967" spans="1:1">
      <c r="A3967" t="e" cm="1" vm="1">
        <f t="array" aca="1" ref="A3967" ca="1">(ROW(A1966:M3965))</f>
        <v>#VALUE!</v>
      </c>
    </row>
    <row r="3968" spans="1:1">
      <c r="A3968" t="e" cm="1" vm="1">
        <f t="array" aca="1" ref="A3968" ca="1">(ROW(A1967:M3966))</f>
        <v>#VALUE!</v>
      </c>
    </row>
    <row r="3969" spans="1:1">
      <c r="A3969" t="e" cm="1" vm="1">
        <f t="array" aca="1" ref="A3969" ca="1">(ROW(A1968:M3967))</f>
        <v>#VALUE!</v>
      </c>
    </row>
    <row r="3970" spans="1:1">
      <c r="A3970" t="e" cm="1" vm="1">
        <f t="array" aca="1" ref="A3970" ca="1">(ROW(A1969:M3968))</f>
        <v>#VALUE!</v>
      </c>
    </row>
    <row r="3971" spans="1:1">
      <c r="A3971" t="e" cm="1" vm="1">
        <f t="array" aca="1" ref="A3971" ca="1">(ROW(A1970:M3969))</f>
        <v>#VALUE!</v>
      </c>
    </row>
    <row r="3972" spans="1:1">
      <c r="A3972" t="e" cm="1" vm="1">
        <f t="array" aca="1" ref="A3972" ca="1">(ROW(A1971:M3970))</f>
        <v>#VALUE!</v>
      </c>
    </row>
    <row r="3973" spans="1:1">
      <c r="A3973" t="e" cm="1" vm="1">
        <f t="array" aca="1" ref="A3973" ca="1">(ROW(A1972:M3971))</f>
        <v>#VALUE!</v>
      </c>
    </row>
    <row r="3974" spans="1:1">
      <c r="A3974" t="e" cm="1" vm="1">
        <f t="array" aca="1" ref="A3974" ca="1">(ROW(A1973:M3972))</f>
        <v>#VALUE!</v>
      </c>
    </row>
    <row r="3975" spans="1:1">
      <c r="A3975" t="e" cm="1" vm="1">
        <f t="array" aca="1" ref="A3975" ca="1">(ROW(A1974:M3973))</f>
        <v>#VALUE!</v>
      </c>
    </row>
    <row r="3976" spans="1:1">
      <c r="A3976" t="e" cm="1" vm="1">
        <f t="array" aca="1" ref="A3976" ca="1">(ROW(A1975:M3974))</f>
        <v>#VALUE!</v>
      </c>
    </row>
    <row r="3977" spans="1:1">
      <c r="A3977" t="e" cm="1" vm="1">
        <f t="array" aca="1" ref="A3977" ca="1">(ROW(A1976:M3975))</f>
        <v>#VALUE!</v>
      </c>
    </row>
    <row r="3978" spans="1:1">
      <c r="A3978" t="e" cm="1" vm="1">
        <f t="array" aca="1" ref="A3978" ca="1">(ROW(A1977:M3976))</f>
        <v>#VALUE!</v>
      </c>
    </row>
    <row r="3979" spans="1:1">
      <c r="A3979" t="e" cm="1" vm="1">
        <f t="array" aca="1" ref="A3979" ca="1">(ROW(A1978:M3977))</f>
        <v>#VALUE!</v>
      </c>
    </row>
    <row r="3980" spans="1:1">
      <c r="A3980" t="e" cm="1" vm="1">
        <f t="array" aca="1" ref="A3980" ca="1">(ROW(A1979:M3978))</f>
        <v>#VALUE!</v>
      </c>
    </row>
    <row r="3981" spans="1:1">
      <c r="A3981" t="e" cm="1" vm="1">
        <f t="array" aca="1" ref="A3981" ca="1">(ROW(A1980:M3979))</f>
        <v>#VALUE!</v>
      </c>
    </row>
    <row r="3982" spans="1:1">
      <c r="A3982" t="e" cm="1" vm="1">
        <f t="array" aca="1" ref="A3982" ca="1">(ROW(A1981:M3980))</f>
        <v>#VALUE!</v>
      </c>
    </row>
    <row r="3983" spans="1:1">
      <c r="A3983" t="e" cm="1" vm="1">
        <f t="array" aca="1" ref="A3983" ca="1">(ROW(A1982:M3981))</f>
        <v>#VALUE!</v>
      </c>
    </row>
    <row r="3984" spans="1:1">
      <c r="A3984" t="e" cm="1" vm="1">
        <f t="array" aca="1" ref="A3984" ca="1">(ROW(A1983:M3982))</f>
        <v>#VALUE!</v>
      </c>
    </row>
    <row r="3985" spans="1:1">
      <c r="A3985" t="e" cm="1" vm="1">
        <f t="array" aca="1" ref="A3985" ca="1">(ROW(A1984:M3983))</f>
        <v>#VALUE!</v>
      </c>
    </row>
    <row r="3986" spans="1:1">
      <c r="A3986" t="e" cm="1" vm="1">
        <f t="array" aca="1" ref="A3986" ca="1">(ROW(A1985:M3984))</f>
        <v>#VALUE!</v>
      </c>
    </row>
    <row r="3987" spans="1:1">
      <c r="A3987" t="e" cm="1" vm="1">
        <f t="array" aca="1" ref="A3987" ca="1">(ROW(A1986:M3985))</f>
        <v>#VALUE!</v>
      </c>
    </row>
    <row r="3988" spans="1:1">
      <c r="A3988" t="e" cm="1" vm="1">
        <f t="array" aca="1" ref="A3988" ca="1">(ROW(A1987:M3986))</f>
        <v>#VALUE!</v>
      </c>
    </row>
    <row r="3989" spans="1:1">
      <c r="A3989" t="e" cm="1" vm="1">
        <f t="array" aca="1" ref="A3989" ca="1">(ROW(A1988:M3987))</f>
        <v>#VALUE!</v>
      </c>
    </row>
    <row r="3990" spans="1:1">
      <c r="A3990" t="e" cm="1" vm="1">
        <f t="array" aca="1" ref="A3990" ca="1">(ROW(A1989:M3988))</f>
        <v>#VALUE!</v>
      </c>
    </row>
    <row r="3991" spans="1:1">
      <c r="A3991" t="e" cm="1" vm="1">
        <f t="array" aca="1" ref="A3991" ca="1">(ROW(A1990:M3989))</f>
        <v>#VALUE!</v>
      </c>
    </row>
    <row r="3992" spans="1:1">
      <c r="A3992" t="e" cm="1" vm="1">
        <f t="array" aca="1" ref="A3992" ca="1">(ROW(A1991:M3990))</f>
        <v>#VALUE!</v>
      </c>
    </row>
    <row r="3993" spans="1:1">
      <c r="A3993" t="e" cm="1" vm="1">
        <f t="array" aca="1" ref="A3993" ca="1">(ROW(A1992:M3991))</f>
        <v>#VALUE!</v>
      </c>
    </row>
    <row r="3994" spans="1:1">
      <c r="A3994" t="e" cm="1" vm="1">
        <f t="array" aca="1" ref="A3994" ca="1">(ROW(A1993:M3992))</f>
        <v>#VALUE!</v>
      </c>
    </row>
    <row r="3995" spans="1:1">
      <c r="A3995" t="e" cm="1" vm="1">
        <f t="array" aca="1" ref="A3995" ca="1">(ROW(A1994:M3993))</f>
        <v>#VALUE!</v>
      </c>
    </row>
    <row r="3996" spans="1:1">
      <c r="A3996" t="e" cm="1" vm="1">
        <f t="array" aca="1" ref="A3996" ca="1">(ROW(A1995:M3994))</f>
        <v>#VALUE!</v>
      </c>
    </row>
    <row r="3997" spans="1:1">
      <c r="A3997" t="e" cm="1" vm="1">
        <f t="array" aca="1" ref="A3997" ca="1">(ROW(A1996:M3995))</f>
        <v>#VALUE!</v>
      </c>
    </row>
    <row r="3998" spans="1:1">
      <c r="A3998" t="e" cm="1" vm="1">
        <f t="array" aca="1" ref="A3998" ca="1">(ROW(A1997:M3996))</f>
        <v>#VALUE!</v>
      </c>
    </row>
    <row r="3999" spans="1:1">
      <c r="A3999" t="e" cm="1" vm="1">
        <f t="array" aca="1" ref="A3999" ca="1">(ROW(A1998:M3997))</f>
        <v>#VALUE!</v>
      </c>
    </row>
    <row r="4000" spans="1:1">
      <c r="A4000" t="e" cm="1" vm="1">
        <f t="array" aca="1" ref="A4000" ca="1">(ROW(A1999:M3998))</f>
        <v>#VALUE!</v>
      </c>
    </row>
    <row r="4001" spans="1:1">
      <c r="A4001" t="e" cm="1" vm="1">
        <f t="array" aca="1" ref="A4001" ca="1">(ROW(A2000:M3999))</f>
        <v>#VALUE!</v>
      </c>
    </row>
    <row r="4002" spans="1:1">
      <c r="A4002" t="e" cm="1" vm="1">
        <f t="array" aca="1" ref="A4002" ca="1">(ROW(A2001:M4000))</f>
        <v>#VALUE!</v>
      </c>
    </row>
    <row r="4003" spans="1:1">
      <c r="A4003" t="e" cm="1" vm="1">
        <f t="array" aca="1" ref="A4003" ca="1">(ROW(A2002:M4001))</f>
        <v>#VALUE!</v>
      </c>
    </row>
    <row r="4004" spans="1:1">
      <c r="A4004" t="e" cm="1" vm="1">
        <f t="array" aca="1" ref="A4004" ca="1">(ROW(A2003:M4002))</f>
        <v>#VALUE!</v>
      </c>
    </row>
    <row r="4005" spans="1:1">
      <c r="A4005" t="e" cm="1" vm="1">
        <f t="array" aca="1" ref="A4005" ca="1">(ROW(A2004:M4003))</f>
        <v>#VALUE!</v>
      </c>
    </row>
    <row r="4006" spans="1:1">
      <c r="A4006" cm="1">
        <f t="array" ref="A4006:A6005">(ROW(A2005:M4004))</f>
        <v>2005</v>
      </c>
    </row>
    <row r="4007" spans="1:1">
      <c r="A4007">
        <v>2006</v>
      </c>
    </row>
    <row r="4008" spans="1:1">
      <c r="A4008">
        <v>2007</v>
      </c>
    </row>
    <row r="4009" spans="1:1">
      <c r="A4009">
        <v>2008</v>
      </c>
    </row>
    <row r="4010" spans="1:1">
      <c r="A4010">
        <v>2009</v>
      </c>
    </row>
    <row r="4011" spans="1:1">
      <c r="A4011">
        <v>2010</v>
      </c>
    </row>
    <row r="4012" spans="1:1">
      <c r="A4012">
        <v>2011</v>
      </c>
    </row>
    <row r="4013" spans="1:1">
      <c r="A4013">
        <v>2012</v>
      </c>
    </row>
    <row r="4014" spans="1:1">
      <c r="A4014">
        <v>2013</v>
      </c>
    </row>
    <row r="4015" spans="1:1">
      <c r="A4015">
        <v>2014</v>
      </c>
    </row>
    <row r="4016" spans="1:1">
      <c r="A4016">
        <v>2015</v>
      </c>
    </row>
    <row r="4017" spans="1:1">
      <c r="A4017">
        <v>2016</v>
      </c>
    </row>
    <row r="4018" spans="1:1">
      <c r="A4018">
        <v>2017</v>
      </c>
    </row>
    <row r="4019" spans="1:1">
      <c r="A4019">
        <v>2018</v>
      </c>
    </row>
    <row r="4020" spans="1:1">
      <c r="A4020">
        <v>2019</v>
      </c>
    </row>
    <row r="4021" spans="1:1">
      <c r="A4021">
        <v>2020</v>
      </c>
    </row>
    <row r="4022" spans="1:1">
      <c r="A4022">
        <v>2021</v>
      </c>
    </row>
    <row r="4023" spans="1:1">
      <c r="A4023">
        <v>2022</v>
      </c>
    </row>
    <row r="4024" spans="1:1">
      <c r="A4024">
        <v>2023</v>
      </c>
    </row>
    <row r="4025" spans="1:1">
      <c r="A4025">
        <v>2024</v>
      </c>
    </row>
    <row r="4026" spans="1:1">
      <c r="A4026">
        <v>2025</v>
      </c>
    </row>
    <row r="4027" spans="1:1">
      <c r="A4027">
        <v>2026</v>
      </c>
    </row>
    <row r="4028" spans="1:1">
      <c r="A4028">
        <v>2027</v>
      </c>
    </row>
    <row r="4029" spans="1:1">
      <c r="A4029">
        <v>2028</v>
      </c>
    </row>
    <row r="4030" spans="1:1">
      <c r="A4030">
        <v>2029</v>
      </c>
    </row>
    <row r="4031" spans="1:1">
      <c r="A4031">
        <v>2030</v>
      </c>
    </row>
    <row r="4032" spans="1:1">
      <c r="A4032">
        <v>2031</v>
      </c>
    </row>
    <row r="4033" spans="1:1">
      <c r="A4033">
        <v>2032</v>
      </c>
    </row>
    <row r="4034" spans="1:1">
      <c r="A4034">
        <v>2033</v>
      </c>
    </row>
    <row r="4035" spans="1:1">
      <c r="A4035">
        <v>2034</v>
      </c>
    </row>
    <row r="4036" spans="1:1">
      <c r="A4036">
        <v>2035</v>
      </c>
    </row>
    <row r="4037" spans="1:1">
      <c r="A4037">
        <v>2036</v>
      </c>
    </row>
    <row r="4038" spans="1:1">
      <c r="A4038">
        <v>2037</v>
      </c>
    </row>
    <row r="4039" spans="1:1">
      <c r="A4039">
        <v>2038</v>
      </c>
    </row>
    <row r="4040" spans="1:1">
      <c r="A4040">
        <v>2039</v>
      </c>
    </row>
    <row r="4041" spans="1:1">
      <c r="A4041">
        <v>2040</v>
      </c>
    </row>
    <row r="4042" spans="1:1">
      <c r="A4042">
        <v>2041</v>
      </c>
    </row>
    <row r="4043" spans="1:1">
      <c r="A4043">
        <v>2042</v>
      </c>
    </row>
    <row r="4044" spans="1:1">
      <c r="A4044">
        <v>2043</v>
      </c>
    </row>
    <row r="4045" spans="1:1">
      <c r="A4045">
        <v>2044</v>
      </c>
    </row>
    <row r="4046" spans="1:1">
      <c r="A4046">
        <v>2045</v>
      </c>
    </row>
    <row r="4047" spans="1:1">
      <c r="A4047">
        <v>2046</v>
      </c>
    </row>
    <row r="4048" spans="1:1">
      <c r="A4048">
        <v>2047</v>
      </c>
    </row>
    <row r="4049" spans="1:1">
      <c r="A4049">
        <v>2048</v>
      </c>
    </row>
    <row r="4050" spans="1:1">
      <c r="A4050">
        <v>2049</v>
      </c>
    </row>
    <row r="4051" spans="1:1">
      <c r="A4051">
        <v>2050</v>
      </c>
    </row>
    <row r="4052" spans="1:1">
      <c r="A4052">
        <v>2051</v>
      </c>
    </row>
    <row r="4053" spans="1:1">
      <c r="A4053">
        <v>2052</v>
      </c>
    </row>
    <row r="4054" spans="1:1">
      <c r="A4054">
        <v>2053</v>
      </c>
    </row>
    <row r="4055" spans="1:1">
      <c r="A4055">
        <v>2054</v>
      </c>
    </row>
    <row r="4056" spans="1:1">
      <c r="A4056">
        <v>2055</v>
      </c>
    </row>
    <row r="4057" spans="1:1">
      <c r="A4057">
        <v>2056</v>
      </c>
    </row>
    <row r="4058" spans="1:1">
      <c r="A4058">
        <v>2057</v>
      </c>
    </row>
    <row r="4059" spans="1:1">
      <c r="A4059">
        <v>2058</v>
      </c>
    </row>
    <row r="4060" spans="1:1">
      <c r="A4060">
        <v>2059</v>
      </c>
    </row>
    <row r="4061" spans="1:1">
      <c r="A4061">
        <v>2060</v>
      </c>
    </row>
    <row r="4062" spans="1:1">
      <c r="A4062">
        <v>2061</v>
      </c>
    </row>
    <row r="4063" spans="1:1">
      <c r="A4063">
        <v>2062</v>
      </c>
    </row>
    <row r="4064" spans="1:1">
      <c r="A4064">
        <v>2063</v>
      </c>
    </row>
    <row r="4065" spans="1:1">
      <c r="A4065">
        <v>2064</v>
      </c>
    </row>
    <row r="4066" spans="1:1">
      <c r="A4066">
        <v>2065</v>
      </c>
    </row>
    <row r="4067" spans="1:1">
      <c r="A4067">
        <v>2066</v>
      </c>
    </row>
    <row r="4068" spans="1:1">
      <c r="A4068">
        <v>2067</v>
      </c>
    </row>
    <row r="4069" spans="1:1">
      <c r="A4069">
        <v>2068</v>
      </c>
    </row>
    <row r="4070" spans="1:1">
      <c r="A4070">
        <v>2069</v>
      </c>
    </row>
    <row r="4071" spans="1:1">
      <c r="A4071">
        <v>2070</v>
      </c>
    </row>
    <row r="4072" spans="1:1">
      <c r="A4072">
        <v>2071</v>
      </c>
    </row>
    <row r="4073" spans="1:1">
      <c r="A4073">
        <v>2072</v>
      </c>
    </row>
    <row r="4074" spans="1:1">
      <c r="A4074">
        <v>2073</v>
      </c>
    </row>
    <row r="4075" spans="1:1">
      <c r="A4075">
        <v>2074</v>
      </c>
    </row>
    <row r="4076" spans="1:1">
      <c r="A4076">
        <v>2075</v>
      </c>
    </row>
    <row r="4077" spans="1:1">
      <c r="A4077">
        <v>2076</v>
      </c>
    </row>
    <row r="4078" spans="1:1">
      <c r="A4078">
        <v>2077</v>
      </c>
    </row>
    <row r="4079" spans="1:1">
      <c r="A4079">
        <v>2078</v>
      </c>
    </row>
    <row r="4080" spans="1:1">
      <c r="A4080">
        <v>2079</v>
      </c>
    </row>
    <row r="4081" spans="1:1">
      <c r="A4081">
        <v>2080</v>
      </c>
    </row>
    <row r="4082" spans="1:1">
      <c r="A4082">
        <v>2081</v>
      </c>
    </row>
    <row r="4083" spans="1:1">
      <c r="A4083">
        <v>2082</v>
      </c>
    </row>
    <row r="4084" spans="1:1">
      <c r="A4084">
        <v>2083</v>
      </c>
    </row>
    <row r="4085" spans="1:1">
      <c r="A4085">
        <v>2084</v>
      </c>
    </row>
    <row r="4086" spans="1:1">
      <c r="A4086">
        <v>2085</v>
      </c>
    </row>
    <row r="4087" spans="1:1">
      <c r="A4087">
        <v>2086</v>
      </c>
    </row>
    <row r="4088" spans="1:1">
      <c r="A4088">
        <v>2087</v>
      </c>
    </row>
    <row r="4089" spans="1:1">
      <c r="A4089">
        <v>2088</v>
      </c>
    </row>
    <row r="4090" spans="1:1">
      <c r="A4090">
        <v>2089</v>
      </c>
    </row>
    <row r="4091" spans="1:1">
      <c r="A4091">
        <v>2090</v>
      </c>
    </row>
    <row r="4092" spans="1:1">
      <c r="A4092">
        <v>2091</v>
      </c>
    </row>
    <row r="4093" spans="1:1">
      <c r="A4093">
        <v>2092</v>
      </c>
    </row>
    <row r="4094" spans="1:1">
      <c r="A4094">
        <v>2093</v>
      </c>
    </row>
    <row r="4095" spans="1:1">
      <c r="A4095">
        <v>2094</v>
      </c>
    </row>
    <row r="4096" spans="1:1">
      <c r="A4096">
        <v>2095</v>
      </c>
    </row>
    <row r="4097" spans="1:1">
      <c r="A4097">
        <v>2096</v>
      </c>
    </row>
    <row r="4098" spans="1:1">
      <c r="A4098">
        <v>2097</v>
      </c>
    </row>
    <row r="4099" spans="1:1">
      <c r="A4099">
        <v>2098</v>
      </c>
    </row>
    <row r="4100" spans="1:1">
      <c r="A4100">
        <v>2099</v>
      </c>
    </row>
    <row r="4101" spans="1:1">
      <c r="A4101">
        <v>2100</v>
      </c>
    </row>
    <row r="4102" spans="1:1">
      <c r="A4102">
        <v>2101</v>
      </c>
    </row>
    <row r="4103" spans="1:1">
      <c r="A4103">
        <v>2102</v>
      </c>
    </row>
    <row r="4104" spans="1:1">
      <c r="A4104">
        <v>2103</v>
      </c>
    </row>
    <row r="4105" spans="1:1">
      <c r="A4105">
        <v>2104</v>
      </c>
    </row>
    <row r="4106" spans="1:1">
      <c r="A4106">
        <v>2105</v>
      </c>
    </row>
    <row r="4107" spans="1:1">
      <c r="A4107">
        <v>2106</v>
      </c>
    </row>
    <row r="4108" spans="1:1">
      <c r="A4108">
        <v>2107</v>
      </c>
    </row>
    <row r="4109" spans="1:1">
      <c r="A4109">
        <v>2108</v>
      </c>
    </row>
    <row r="4110" spans="1:1">
      <c r="A4110">
        <v>2109</v>
      </c>
    </row>
    <row r="4111" spans="1:1">
      <c r="A4111">
        <v>2110</v>
      </c>
    </row>
    <row r="4112" spans="1:1">
      <c r="A4112">
        <v>2111</v>
      </c>
    </row>
    <row r="4113" spans="1:1">
      <c r="A4113">
        <v>2112</v>
      </c>
    </row>
    <row r="4114" spans="1:1">
      <c r="A4114">
        <v>2113</v>
      </c>
    </row>
    <row r="4115" spans="1:1">
      <c r="A4115">
        <v>2114</v>
      </c>
    </row>
    <row r="4116" spans="1:1">
      <c r="A4116">
        <v>2115</v>
      </c>
    </row>
    <row r="4117" spans="1:1">
      <c r="A4117">
        <v>2116</v>
      </c>
    </row>
    <row r="4118" spans="1:1">
      <c r="A4118">
        <v>2117</v>
      </c>
    </row>
    <row r="4119" spans="1:1">
      <c r="A4119">
        <v>2118</v>
      </c>
    </row>
    <row r="4120" spans="1:1">
      <c r="A4120">
        <v>2119</v>
      </c>
    </row>
    <row r="4121" spans="1:1">
      <c r="A4121">
        <v>2120</v>
      </c>
    </row>
    <row r="4122" spans="1:1">
      <c r="A4122">
        <v>2121</v>
      </c>
    </row>
    <row r="4123" spans="1:1">
      <c r="A4123">
        <v>2122</v>
      </c>
    </row>
    <row r="4124" spans="1:1">
      <c r="A4124">
        <v>2123</v>
      </c>
    </row>
    <row r="4125" spans="1:1">
      <c r="A4125">
        <v>2124</v>
      </c>
    </row>
    <row r="4126" spans="1:1">
      <c r="A4126">
        <v>2125</v>
      </c>
    </row>
    <row r="4127" spans="1:1">
      <c r="A4127">
        <v>2126</v>
      </c>
    </row>
    <row r="4128" spans="1:1">
      <c r="A4128">
        <v>2127</v>
      </c>
    </row>
    <row r="4129" spans="1:1">
      <c r="A4129">
        <v>2128</v>
      </c>
    </row>
    <row r="4130" spans="1:1">
      <c r="A4130">
        <v>2129</v>
      </c>
    </row>
    <row r="4131" spans="1:1">
      <c r="A4131">
        <v>2130</v>
      </c>
    </row>
    <row r="4132" spans="1:1">
      <c r="A4132">
        <v>2131</v>
      </c>
    </row>
    <row r="4133" spans="1:1">
      <c r="A4133">
        <v>2132</v>
      </c>
    </row>
    <row r="4134" spans="1:1">
      <c r="A4134">
        <v>2133</v>
      </c>
    </row>
    <row r="4135" spans="1:1">
      <c r="A4135">
        <v>2134</v>
      </c>
    </row>
    <row r="4136" spans="1:1">
      <c r="A4136">
        <v>2135</v>
      </c>
    </row>
    <row r="4137" spans="1:1">
      <c r="A4137">
        <v>2136</v>
      </c>
    </row>
    <row r="4138" spans="1:1">
      <c r="A4138">
        <v>2137</v>
      </c>
    </row>
    <row r="4139" spans="1:1">
      <c r="A4139">
        <v>2138</v>
      </c>
    </row>
    <row r="4140" spans="1:1">
      <c r="A4140">
        <v>2139</v>
      </c>
    </row>
    <row r="4141" spans="1:1">
      <c r="A4141">
        <v>2140</v>
      </c>
    </row>
    <row r="4142" spans="1:1">
      <c r="A4142">
        <v>2141</v>
      </c>
    </row>
    <row r="4143" spans="1:1">
      <c r="A4143">
        <v>2142</v>
      </c>
    </row>
    <row r="4144" spans="1:1">
      <c r="A4144">
        <v>2143</v>
      </c>
    </row>
    <row r="4145" spans="1:1">
      <c r="A4145">
        <v>2144</v>
      </c>
    </row>
    <row r="4146" spans="1:1">
      <c r="A4146">
        <v>2145</v>
      </c>
    </row>
    <row r="4147" spans="1:1">
      <c r="A4147">
        <v>2146</v>
      </c>
    </row>
    <row r="4148" spans="1:1">
      <c r="A4148">
        <v>2147</v>
      </c>
    </row>
    <row r="4149" spans="1:1">
      <c r="A4149">
        <v>2148</v>
      </c>
    </row>
    <row r="4150" spans="1:1">
      <c r="A4150">
        <v>2149</v>
      </c>
    </row>
    <row r="4151" spans="1:1">
      <c r="A4151">
        <v>2150</v>
      </c>
    </row>
    <row r="4152" spans="1:1">
      <c r="A4152">
        <v>2151</v>
      </c>
    </row>
    <row r="4153" spans="1:1">
      <c r="A4153">
        <v>2152</v>
      </c>
    </row>
    <row r="4154" spans="1:1">
      <c r="A4154">
        <v>2153</v>
      </c>
    </row>
    <row r="4155" spans="1:1">
      <c r="A4155">
        <v>2154</v>
      </c>
    </row>
    <row r="4156" spans="1:1">
      <c r="A4156">
        <v>2155</v>
      </c>
    </row>
    <row r="4157" spans="1:1">
      <c r="A4157">
        <v>2156</v>
      </c>
    </row>
    <row r="4158" spans="1:1">
      <c r="A4158">
        <v>2157</v>
      </c>
    </row>
    <row r="4159" spans="1:1">
      <c r="A4159">
        <v>2158</v>
      </c>
    </row>
    <row r="4160" spans="1:1">
      <c r="A4160">
        <v>2159</v>
      </c>
    </row>
    <row r="4161" spans="1:1">
      <c r="A4161">
        <v>2160</v>
      </c>
    </row>
    <row r="4162" spans="1:1">
      <c r="A4162">
        <v>2161</v>
      </c>
    </row>
    <row r="4163" spans="1:1">
      <c r="A4163">
        <v>2162</v>
      </c>
    </row>
    <row r="4164" spans="1:1">
      <c r="A4164">
        <v>2163</v>
      </c>
    </row>
    <row r="4165" spans="1:1">
      <c r="A4165">
        <v>2164</v>
      </c>
    </row>
    <row r="4166" spans="1:1">
      <c r="A4166">
        <v>2165</v>
      </c>
    </row>
    <row r="4167" spans="1:1">
      <c r="A4167">
        <v>2166</v>
      </c>
    </row>
    <row r="4168" spans="1:1">
      <c r="A4168">
        <v>2167</v>
      </c>
    </row>
    <row r="4169" spans="1:1">
      <c r="A4169">
        <v>2168</v>
      </c>
    </row>
    <row r="4170" spans="1:1">
      <c r="A4170">
        <v>2169</v>
      </c>
    </row>
    <row r="4171" spans="1:1">
      <c r="A4171">
        <v>2170</v>
      </c>
    </row>
    <row r="4172" spans="1:1">
      <c r="A4172">
        <v>2171</v>
      </c>
    </row>
    <row r="4173" spans="1:1">
      <c r="A4173">
        <v>2172</v>
      </c>
    </row>
    <row r="4174" spans="1:1">
      <c r="A4174">
        <v>2173</v>
      </c>
    </row>
    <row r="4175" spans="1:1">
      <c r="A4175">
        <v>2174</v>
      </c>
    </row>
    <row r="4176" spans="1:1">
      <c r="A4176">
        <v>2175</v>
      </c>
    </row>
    <row r="4177" spans="1:1">
      <c r="A4177">
        <v>2176</v>
      </c>
    </row>
    <row r="4178" spans="1:1">
      <c r="A4178">
        <v>2177</v>
      </c>
    </row>
    <row r="4179" spans="1:1">
      <c r="A4179">
        <v>2178</v>
      </c>
    </row>
    <row r="4180" spans="1:1">
      <c r="A4180">
        <v>2179</v>
      </c>
    </row>
    <row r="4181" spans="1:1">
      <c r="A4181">
        <v>2180</v>
      </c>
    </row>
    <row r="4182" spans="1:1">
      <c r="A4182">
        <v>2181</v>
      </c>
    </row>
    <row r="4183" spans="1:1">
      <c r="A4183">
        <v>2182</v>
      </c>
    </row>
    <row r="4184" spans="1:1">
      <c r="A4184">
        <v>2183</v>
      </c>
    </row>
    <row r="4185" spans="1:1">
      <c r="A4185">
        <v>2184</v>
      </c>
    </row>
    <row r="4186" spans="1:1">
      <c r="A4186">
        <v>2185</v>
      </c>
    </row>
    <row r="4187" spans="1:1">
      <c r="A4187">
        <v>2186</v>
      </c>
    </row>
    <row r="4188" spans="1:1">
      <c r="A4188">
        <v>2187</v>
      </c>
    </row>
    <row r="4189" spans="1:1">
      <c r="A4189">
        <v>2188</v>
      </c>
    </row>
    <row r="4190" spans="1:1">
      <c r="A4190">
        <v>2189</v>
      </c>
    </row>
    <row r="4191" spans="1:1">
      <c r="A4191">
        <v>2190</v>
      </c>
    </row>
    <row r="4192" spans="1:1">
      <c r="A4192">
        <v>2191</v>
      </c>
    </row>
    <row r="4193" spans="1:1">
      <c r="A4193">
        <v>2192</v>
      </c>
    </row>
    <row r="4194" spans="1:1">
      <c r="A4194">
        <v>2193</v>
      </c>
    </row>
    <row r="4195" spans="1:1">
      <c r="A4195">
        <v>2194</v>
      </c>
    </row>
    <row r="4196" spans="1:1">
      <c r="A4196">
        <v>2195</v>
      </c>
    </row>
    <row r="4197" spans="1:1">
      <c r="A4197">
        <v>2196</v>
      </c>
    </row>
    <row r="4198" spans="1:1">
      <c r="A4198">
        <v>2197</v>
      </c>
    </row>
    <row r="4199" spans="1:1">
      <c r="A4199">
        <v>2198</v>
      </c>
    </row>
    <row r="4200" spans="1:1">
      <c r="A4200">
        <v>2199</v>
      </c>
    </row>
    <row r="4201" spans="1:1">
      <c r="A4201">
        <v>2200</v>
      </c>
    </row>
    <row r="4202" spans="1:1">
      <c r="A4202">
        <v>2201</v>
      </c>
    </row>
    <row r="4203" spans="1:1">
      <c r="A4203">
        <v>2202</v>
      </c>
    </row>
    <row r="4204" spans="1:1">
      <c r="A4204">
        <v>2203</v>
      </c>
    </row>
    <row r="4205" spans="1:1">
      <c r="A4205">
        <v>2204</v>
      </c>
    </row>
    <row r="4206" spans="1:1">
      <c r="A4206">
        <v>2205</v>
      </c>
    </row>
    <row r="4207" spans="1:1">
      <c r="A4207">
        <v>2206</v>
      </c>
    </row>
    <row r="4208" spans="1:1">
      <c r="A4208">
        <v>2207</v>
      </c>
    </row>
    <row r="4209" spans="1:1">
      <c r="A4209">
        <v>2208</v>
      </c>
    </row>
    <row r="4210" spans="1:1">
      <c r="A4210">
        <v>2209</v>
      </c>
    </row>
    <row r="4211" spans="1:1">
      <c r="A4211">
        <v>2210</v>
      </c>
    </row>
    <row r="4212" spans="1:1">
      <c r="A4212">
        <v>2211</v>
      </c>
    </row>
    <row r="4213" spans="1:1">
      <c r="A4213">
        <v>2212</v>
      </c>
    </row>
    <row r="4214" spans="1:1">
      <c r="A4214">
        <v>2213</v>
      </c>
    </row>
    <row r="4215" spans="1:1">
      <c r="A4215">
        <v>2214</v>
      </c>
    </row>
    <row r="4216" spans="1:1">
      <c r="A4216">
        <v>2215</v>
      </c>
    </row>
    <row r="4217" spans="1:1">
      <c r="A4217">
        <v>2216</v>
      </c>
    </row>
    <row r="4218" spans="1:1">
      <c r="A4218">
        <v>2217</v>
      </c>
    </row>
    <row r="4219" spans="1:1">
      <c r="A4219">
        <v>2218</v>
      </c>
    </row>
    <row r="4220" spans="1:1">
      <c r="A4220">
        <v>2219</v>
      </c>
    </row>
    <row r="4221" spans="1:1">
      <c r="A4221">
        <v>2220</v>
      </c>
    </row>
    <row r="4222" spans="1:1">
      <c r="A4222">
        <v>2221</v>
      </c>
    </row>
    <row r="4223" spans="1:1">
      <c r="A4223">
        <v>2222</v>
      </c>
    </row>
    <row r="4224" spans="1:1">
      <c r="A4224">
        <v>2223</v>
      </c>
    </row>
    <row r="4225" spans="1:1">
      <c r="A4225">
        <v>2224</v>
      </c>
    </row>
    <row r="4226" spans="1:1">
      <c r="A4226">
        <v>2225</v>
      </c>
    </row>
    <row r="4227" spans="1:1">
      <c r="A4227">
        <v>2226</v>
      </c>
    </row>
    <row r="4228" spans="1:1">
      <c r="A4228">
        <v>2227</v>
      </c>
    </row>
    <row r="4229" spans="1:1">
      <c r="A4229">
        <v>2228</v>
      </c>
    </row>
    <row r="4230" spans="1:1">
      <c r="A4230">
        <v>2229</v>
      </c>
    </row>
    <row r="4231" spans="1:1">
      <c r="A4231">
        <v>2230</v>
      </c>
    </row>
    <row r="4232" spans="1:1">
      <c r="A4232">
        <v>2231</v>
      </c>
    </row>
    <row r="4233" spans="1:1">
      <c r="A4233">
        <v>2232</v>
      </c>
    </row>
    <row r="4234" spans="1:1">
      <c r="A4234">
        <v>2233</v>
      </c>
    </row>
    <row r="4235" spans="1:1">
      <c r="A4235">
        <v>2234</v>
      </c>
    </row>
    <row r="4236" spans="1:1">
      <c r="A4236">
        <v>2235</v>
      </c>
    </row>
    <row r="4237" spans="1:1">
      <c r="A4237">
        <v>2236</v>
      </c>
    </row>
    <row r="4238" spans="1:1">
      <c r="A4238">
        <v>2237</v>
      </c>
    </row>
    <row r="4239" spans="1:1">
      <c r="A4239">
        <v>2238</v>
      </c>
    </row>
    <row r="4240" spans="1:1">
      <c r="A4240">
        <v>2239</v>
      </c>
    </row>
    <row r="4241" spans="1:1">
      <c r="A4241">
        <v>2240</v>
      </c>
    </row>
    <row r="4242" spans="1:1">
      <c r="A4242">
        <v>2241</v>
      </c>
    </row>
    <row r="4243" spans="1:1">
      <c r="A4243">
        <v>2242</v>
      </c>
    </row>
    <row r="4244" spans="1:1">
      <c r="A4244">
        <v>2243</v>
      </c>
    </row>
    <row r="4245" spans="1:1">
      <c r="A4245">
        <v>2244</v>
      </c>
    </row>
    <row r="4246" spans="1:1">
      <c r="A4246">
        <v>2245</v>
      </c>
    </row>
    <row r="4247" spans="1:1">
      <c r="A4247">
        <v>2246</v>
      </c>
    </row>
    <row r="4248" spans="1:1">
      <c r="A4248">
        <v>2247</v>
      </c>
    </row>
    <row r="4249" spans="1:1">
      <c r="A4249">
        <v>2248</v>
      </c>
    </row>
    <row r="4250" spans="1:1">
      <c r="A4250">
        <v>2249</v>
      </c>
    </row>
    <row r="4251" spans="1:1">
      <c r="A4251">
        <v>2250</v>
      </c>
    </row>
    <row r="4252" spans="1:1">
      <c r="A4252">
        <v>2251</v>
      </c>
    </row>
    <row r="4253" spans="1:1">
      <c r="A4253">
        <v>2252</v>
      </c>
    </row>
    <row r="4254" spans="1:1">
      <c r="A4254">
        <v>2253</v>
      </c>
    </row>
    <row r="4255" spans="1:1">
      <c r="A4255">
        <v>2254</v>
      </c>
    </row>
    <row r="4256" spans="1:1">
      <c r="A4256">
        <v>2255</v>
      </c>
    </row>
    <row r="4257" spans="1:1">
      <c r="A4257">
        <v>2256</v>
      </c>
    </row>
    <row r="4258" spans="1:1">
      <c r="A4258">
        <v>2257</v>
      </c>
    </row>
    <row r="4259" spans="1:1">
      <c r="A4259">
        <v>2258</v>
      </c>
    </row>
    <row r="4260" spans="1:1">
      <c r="A4260">
        <v>2259</v>
      </c>
    </row>
    <row r="4261" spans="1:1">
      <c r="A4261">
        <v>2260</v>
      </c>
    </row>
    <row r="4262" spans="1:1">
      <c r="A4262">
        <v>2261</v>
      </c>
    </row>
    <row r="4263" spans="1:1">
      <c r="A4263">
        <v>2262</v>
      </c>
    </row>
    <row r="4264" spans="1:1">
      <c r="A4264">
        <v>2263</v>
      </c>
    </row>
    <row r="4265" spans="1:1">
      <c r="A4265">
        <v>2264</v>
      </c>
    </row>
    <row r="4266" spans="1:1">
      <c r="A4266">
        <v>2265</v>
      </c>
    </row>
    <row r="4267" spans="1:1">
      <c r="A4267">
        <v>2266</v>
      </c>
    </row>
    <row r="4268" spans="1:1">
      <c r="A4268">
        <v>2267</v>
      </c>
    </row>
    <row r="4269" spans="1:1">
      <c r="A4269">
        <v>2268</v>
      </c>
    </row>
    <row r="4270" spans="1:1">
      <c r="A4270">
        <v>2269</v>
      </c>
    </row>
    <row r="4271" spans="1:1">
      <c r="A4271">
        <v>2270</v>
      </c>
    </row>
    <row r="4272" spans="1:1">
      <c r="A4272">
        <v>2271</v>
      </c>
    </row>
    <row r="4273" spans="1:1">
      <c r="A4273">
        <v>2272</v>
      </c>
    </row>
    <row r="4274" spans="1:1">
      <c r="A4274">
        <v>2273</v>
      </c>
    </row>
    <row r="4275" spans="1:1">
      <c r="A4275">
        <v>2274</v>
      </c>
    </row>
    <row r="4276" spans="1:1">
      <c r="A4276">
        <v>2275</v>
      </c>
    </row>
    <row r="4277" spans="1:1">
      <c r="A4277">
        <v>2276</v>
      </c>
    </row>
    <row r="4278" spans="1:1">
      <c r="A4278">
        <v>2277</v>
      </c>
    </row>
    <row r="4279" spans="1:1">
      <c r="A4279">
        <v>2278</v>
      </c>
    </row>
    <row r="4280" spans="1:1">
      <c r="A4280">
        <v>2279</v>
      </c>
    </row>
    <row r="4281" spans="1:1">
      <c r="A4281">
        <v>2280</v>
      </c>
    </row>
    <row r="4282" spans="1:1">
      <c r="A4282">
        <v>2281</v>
      </c>
    </row>
    <row r="4283" spans="1:1">
      <c r="A4283">
        <v>2282</v>
      </c>
    </row>
    <row r="4284" spans="1:1">
      <c r="A4284">
        <v>2283</v>
      </c>
    </row>
    <row r="4285" spans="1:1">
      <c r="A4285">
        <v>2284</v>
      </c>
    </row>
    <row r="4286" spans="1:1">
      <c r="A4286">
        <v>2285</v>
      </c>
    </row>
    <row r="4287" spans="1:1">
      <c r="A4287">
        <v>2286</v>
      </c>
    </row>
    <row r="4288" spans="1:1">
      <c r="A4288">
        <v>2287</v>
      </c>
    </row>
    <row r="4289" spans="1:1">
      <c r="A4289">
        <v>2288</v>
      </c>
    </row>
    <row r="4290" spans="1:1">
      <c r="A4290">
        <v>2289</v>
      </c>
    </row>
    <row r="4291" spans="1:1">
      <c r="A4291">
        <v>2290</v>
      </c>
    </row>
    <row r="4292" spans="1:1">
      <c r="A4292">
        <v>2291</v>
      </c>
    </row>
    <row r="4293" spans="1:1">
      <c r="A4293">
        <v>2292</v>
      </c>
    </row>
    <row r="4294" spans="1:1">
      <c r="A4294">
        <v>2293</v>
      </c>
    </row>
    <row r="4295" spans="1:1">
      <c r="A4295">
        <v>2294</v>
      </c>
    </row>
    <row r="4296" spans="1:1">
      <c r="A4296">
        <v>2295</v>
      </c>
    </row>
    <row r="4297" spans="1:1">
      <c r="A4297">
        <v>2296</v>
      </c>
    </row>
    <row r="4298" spans="1:1">
      <c r="A4298">
        <v>2297</v>
      </c>
    </row>
    <row r="4299" spans="1:1">
      <c r="A4299">
        <v>2298</v>
      </c>
    </row>
    <row r="4300" spans="1:1">
      <c r="A4300">
        <v>2299</v>
      </c>
    </row>
    <row r="4301" spans="1:1">
      <c r="A4301">
        <v>2300</v>
      </c>
    </row>
    <row r="4302" spans="1:1">
      <c r="A4302">
        <v>2301</v>
      </c>
    </row>
    <row r="4303" spans="1:1">
      <c r="A4303">
        <v>2302</v>
      </c>
    </row>
    <row r="4304" spans="1:1">
      <c r="A4304">
        <v>2303</v>
      </c>
    </row>
    <row r="4305" spans="1:1">
      <c r="A4305">
        <v>2304</v>
      </c>
    </row>
    <row r="4306" spans="1:1">
      <c r="A4306">
        <v>2305</v>
      </c>
    </row>
    <row r="4307" spans="1:1">
      <c r="A4307">
        <v>2306</v>
      </c>
    </row>
    <row r="4308" spans="1:1">
      <c r="A4308">
        <v>2307</v>
      </c>
    </row>
    <row r="4309" spans="1:1">
      <c r="A4309">
        <v>2308</v>
      </c>
    </row>
    <row r="4310" spans="1:1">
      <c r="A4310">
        <v>2309</v>
      </c>
    </row>
    <row r="4311" spans="1:1">
      <c r="A4311">
        <v>2310</v>
      </c>
    </row>
    <row r="4312" spans="1:1">
      <c r="A4312">
        <v>2311</v>
      </c>
    </row>
    <row r="4313" spans="1:1">
      <c r="A4313">
        <v>2312</v>
      </c>
    </row>
    <row r="4314" spans="1:1">
      <c r="A4314">
        <v>2313</v>
      </c>
    </row>
    <row r="4315" spans="1:1">
      <c r="A4315">
        <v>2314</v>
      </c>
    </row>
    <row r="4316" spans="1:1">
      <c r="A4316">
        <v>2315</v>
      </c>
    </row>
    <row r="4317" spans="1:1">
      <c r="A4317">
        <v>2316</v>
      </c>
    </row>
    <row r="4318" spans="1:1">
      <c r="A4318">
        <v>2317</v>
      </c>
    </row>
    <row r="4319" spans="1:1">
      <c r="A4319">
        <v>2318</v>
      </c>
    </row>
    <row r="4320" spans="1:1">
      <c r="A4320">
        <v>2319</v>
      </c>
    </row>
    <row r="4321" spans="1:1">
      <c r="A4321">
        <v>2320</v>
      </c>
    </row>
    <row r="4322" spans="1:1">
      <c r="A4322">
        <v>2321</v>
      </c>
    </row>
    <row r="4323" spans="1:1">
      <c r="A4323">
        <v>2322</v>
      </c>
    </row>
    <row r="4324" spans="1:1">
      <c r="A4324">
        <v>2323</v>
      </c>
    </row>
    <row r="4325" spans="1:1">
      <c r="A4325">
        <v>2324</v>
      </c>
    </row>
    <row r="4326" spans="1:1">
      <c r="A4326">
        <v>2325</v>
      </c>
    </row>
    <row r="4327" spans="1:1">
      <c r="A4327">
        <v>2326</v>
      </c>
    </row>
    <row r="4328" spans="1:1">
      <c r="A4328">
        <v>2327</v>
      </c>
    </row>
    <row r="4329" spans="1:1">
      <c r="A4329">
        <v>2328</v>
      </c>
    </row>
    <row r="4330" spans="1:1">
      <c r="A4330">
        <v>2329</v>
      </c>
    </row>
    <row r="4331" spans="1:1">
      <c r="A4331">
        <v>2330</v>
      </c>
    </row>
    <row r="4332" spans="1:1">
      <c r="A4332">
        <v>2331</v>
      </c>
    </row>
    <row r="4333" spans="1:1">
      <c r="A4333">
        <v>2332</v>
      </c>
    </row>
    <row r="4334" spans="1:1">
      <c r="A4334">
        <v>2333</v>
      </c>
    </row>
    <row r="4335" spans="1:1">
      <c r="A4335">
        <v>2334</v>
      </c>
    </row>
    <row r="4336" spans="1:1">
      <c r="A4336">
        <v>2335</v>
      </c>
    </row>
    <row r="4337" spans="1:1">
      <c r="A4337">
        <v>2336</v>
      </c>
    </row>
    <row r="4338" spans="1:1">
      <c r="A4338">
        <v>2337</v>
      </c>
    </row>
    <row r="4339" spans="1:1">
      <c r="A4339">
        <v>2338</v>
      </c>
    </row>
    <row r="4340" spans="1:1">
      <c r="A4340">
        <v>2339</v>
      </c>
    </row>
    <row r="4341" spans="1:1">
      <c r="A4341">
        <v>2340</v>
      </c>
    </row>
    <row r="4342" spans="1:1">
      <c r="A4342">
        <v>2341</v>
      </c>
    </row>
    <row r="4343" spans="1:1">
      <c r="A4343">
        <v>2342</v>
      </c>
    </row>
    <row r="4344" spans="1:1">
      <c r="A4344">
        <v>2343</v>
      </c>
    </row>
    <row r="4345" spans="1:1">
      <c r="A4345">
        <v>2344</v>
      </c>
    </row>
    <row r="4346" spans="1:1">
      <c r="A4346">
        <v>2345</v>
      </c>
    </row>
    <row r="4347" spans="1:1">
      <c r="A4347">
        <v>2346</v>
      </c>
    </row>
    <row r="4348" spans="1:1">
      <c r="A4348">
        <v>2347</v>
      </c>
    </row>
    <row r="4349" spans="1:1">
      <c r="A4349">
        <v>2348</v>
      </c>
    </row>
    <row r="4350" spans="1:1">
      <c r="A4350">
        <v>2349</v>
      </c>
    </row>
    <row r="4351" spans="1:1">
      <c r="A4351">
        <v>2350</v>
      </c>
    </row>
    <row r="4352" spans="1:1">
      <c r="A4352">
        <v>2351</v>
      </c>
    </row>
    <row r="4353" spans="1:1">
      <c r="A4353">
        <v>2352</v>
      </c>
    </row>
    <row r="4354" spans="1:1">
      <c r="A4354">
        <v>2353</v>
      </c>
    </row>
    <row r="4355" spans="1:1">
      <c r="A4355">
        <v>2354</v>
      </c>
    </row>
    <row r="4356" spans="1:1">
      <c r="A4356">
        <v>2355</v>
      </c>
    </row>
    <row r="4357" spans="1:1">
      <c r="A4357">
        <v>2356</v>
      </c>
    </row>
    <row r="4358" spans="1:1">
      <c r="A4358">
        <v>2357</v>
      </c>
    </row>
    <row r="4359" spans="1:1">
      <c r="A4359">
        <v>2358</v>
      </c>
    </row>
    <row r="4360" spans="1:1">
      <c r="A4360">
        <v>2359</v>
      </c>
    </row>
    <row r="4361" spans="1:1">
      <c r="A4361">
        <v>2360</v>
      </c>
    </row>
    <row r="4362" spans="1:1">
      <c r="A4362">
        <v>2361</v>
      </c>
    </row>
    <row r="4363" spans="1:1">
      <c r="A4363">
        <v>2362</v>
      </c>
    </row>
    <row r="4364" spans="1:1">
      <c r="A4364">
        <v>2363</v>
      </c>
    </row>
    <row r="4365" spans="1:1">
      <c r="A4365">
        <v>2364</v>
      </c>
    </row>
    <row r="4366" spans="1:1">
      <c r="A4366">
        <v>2365</v>
      </c>
    </row>
    <row r="4367" spans="1:1">
      <c r="A4367">
        <v>2366</v>
      </c>
    </row>
    <row r="4368" spans="1:1">
      <c r="A4368">
        <v>2367</v>
      </c>
    </row>
    <row r="4369" spans="1:1">
      <c r="A4369">
        <v>2368</v>
      </c>
    </row>
    <row r="4370" spans="1:1">
      <c r="A4370">
        <v>2369</v>
      </c>
    </row>
    <row r="4371" spans="1:1">
      <c r="A4371">
        <v>2370</v>
      </c>
    </row>
    <row r="4372" spans="1:1">
      <c r="A4372">
        <v>2371</v>
      </c>
    </row>
    <row r="4373" spans="1:1">
      <c r="A4373">
        <v>2372</v>
      </c>
    </row>
    <row r="4374" spans="1:1">
      <c r="A4374">
        <v>2373</v>
      </c>
    </row>
    <row r="4375" spans="1:1">
      <c r="A4375">
        <v>2374</v>
      </c>
    </row>
    <row r="4376" spans="1:1">
      <c r="A4376">
        <v>2375</v>
      </c>
    </row>
    <row r="4377" spans="1:1">
      <c r="A4377">
        <v>2376</v>
      </c>
    </row>
    <row r="4378" spans="1:1">
      <c r="A4378">
        <v>2377</v>
      </c>
    </row>
    <row r="4379" spans="1:1">
      <c r="A4379">
        <v>2378</v>
      </c>
    </row>
    <row r="4380" spans="1:1">
      <c r="A4380">
        <v>2379</v>
      </c>
    </row>
    <row r="4381" spans="1:1">
      <c r="A4381">
        <v>2380</v>
      </c>
    </row>
    <row r="4382" spans="1:1">
      <c r="A4382">
        <v>2381</v>
      </c>
    </row>
    <row r="4383" spans="1:1">
      <c r="A4383">
        <v>2382</v>
      </c>
    </row>
    <row r="4384" spans="1:1">
      <c r="A4384">
        <v>2383</v>
      </c>
    </row>
    <row r="4385" spans="1:1">
      <c r="A4385">
        <v>2384</v>
      </c>
    </row>
    <row r="4386" spans="1:1">
      <c r="A4386">
        <v>2385</v>
      </c>
    </row>
    <row r="4387" spans="1:1">
      <c r="A4387">
        <v>2386</v>
      </c>
    </row>
    <row r="4388" spans="1:1">
      <c r="A4388">
        <v>2387</v>
      </c>
    </row>
    <row r="4389" spans="1:1">
      <c r="A4389">
        <v>2388</v>
      </c>
    </row>
    <row r="4390" spans="1:1">
      <c r="A4390">
        <v>2389</v>
      </c>
    </row>
    <row r="4391" spans="1:1">
      <c r="A4391">
        <v>2390</v>
      </c>
    </row>
    <row r="4392" spans="1:1">
      <c r="A4392">
        <v>2391</v>
      </c>
    </row>
    <row r="4393" spans="1:1">
      <c r="A4393">
        <v>2392</v>
      </c>
    </row>
    <row r="4394" spans="1:1">
      <c r="A4394">
        <v>2393</v>
      </c>
    </row>
    <row r="4395" spans="1:1">
      <c r="A4395">
        <v>2394</v>
      </c>
    </row>
    <row r="4396" spans="1:1">
      <c r="A4396">
        <v>2395</v>
      </c>
    </row>
    <row r="4397" spans="1:1">
      <c r="A4397">
        <v>2396</v>
      </c>
    </row>
    <row r="4398" spans="1:1">
      <c r="A4398">
        <v>2397</v>
      </c>
    </row>
    <row r="4399" spans="1:1">
      <c r="A4399">
        <v>2398</v>
      </c>
    </row>
    <row r="4400" spans="1:1">
      <c r="A4400">
        <v>2399</v>
      </c>
    </row>
    <row r="4401" spans="1:1">
      <c r="A4401">
        <v>2400</v>
      </c>
    </row>
    <row r="4402" spans="1:1">
      <c r="A4402">
        <v>2401</v>
      </c>
    </row>
    <row r="4403" spans="1:1">
      <c r="A4403">
        <v>2402</v>
      </c>
    </row>
    <row r="4404" spans="1:1">
      <c r="A4404">
        <v>2403</v>
      </c>
    </row>
    <row r="4405" spans="1:1">
      <c r="A4405">
        <v>2404</v>
      </c>
    </row>
    <row r="4406" spans="1:1">
      <c r="A4406">
        <v>2405</v>
      </c>
    </row>
    <row r="4407" spans="1:1">
      <c r="A4407">
        <v>2406</v>
      </c>
    </row>
    <row r="4408" spans="1:1">
      <c r="A4408">
        <v>2407</v>
      </c>
    </row>
    <row r="4409" spans="1:1">
      <c r="A4409">
        <v>2408</v>
      </c>
    </row>
    <row r="4410" spans="1:1">
      <c r="A4410">
        <v>2409</v>
      </c>
    </row>
    <row r="4411" spans="1:1">
      <c r="A4411">
        <v>2410</v>
      </c>
    </row>
    <row r="4412" spans="1:1">
      <c r="A4412">
        <v>2411</v>
      </c>
    </row>
    <row r="4413" spans="1:1">
      <c r="A4413">
        <v>2412</v>
      </c>
    </row>
    <row r="4414" spans="1:1">
      <c r="A4414">
        <v>2413</v>
      </c>
    </row>
    <row r="4415" spans="1:1">
      <c r="A4415">
        <v>2414</v>
      </c>
    </row>
    <row r="4416" spans="1:1">
      <c r="A4416">
        <v>2415</v>
      </c>
    </row>
    <row r="4417" spans="1:1">
      <c r="A4417">
        <v>2416</v>
      </c>
    </row>
    <row r="4418" spans="1:1">
      <c r="A4418">
        <v>2417</v>
      </c>
    </row>
    <row r="4419" spans="1:1">
      <c r="A4419">
        <v>2418</v>
      </c>
    </row>
    <row r="4420" spans="1:1">
      <c r="A4420">
        <v>2419</v>
      </c>
    </row>
    <row r="4421" spans="1:1">
      <c r="A4421">
        <v>2420</v>
      </c>
    </row>
    <row r="4422" spans="1:1">
      <c r="A4422">
        <v>2421</v>
      </c>
    </row>
    <row r="4423" spans="1:1">
      <c r="A4423">
        <v>2422</v>
      </c>
    </row>
    <row r="4424" spans="1:1">
      <c r="A4424">
        <v>2423</v>
      </c>
    </row>
    <row r="4425" spans="1:1">
      <c r="A4425">
        <v>2424</v>
      </c>
    </row>
    <row r="4426" spans="1:1">
      <c r="A4426">
        <v>2425</v>
      </c>
    </row>
    <row r="4427" spans="1:1">
      <c r="A4427">
        <v>2426</v>
      </c>
    </row>
    <row r="4428" spans="1:1">
      <c r="A4428">
        <v>2427</v>
      </c>
    </row>
    <row r="4429" spans="1:1">
      <c r="A4429">
        <v>2428</v>
      </c>
    </row>
    <row r="4430" spans="1:1">
      <c r="A4430">
        <v>2429</v>
      </c>
    </row>
    <row r="4431" spans="1:1">
      <c r="A4431">
        <v>2430</v>
      </c>
    </row>
    <row r="4432" spans="1:1">
      <c r="A4432">
        <v>2431</v>
      </c>
    </row>
    <row r="4433" spans="1:1">
      <c r="A4433">
        <v>2432</v>
      </c>
    </row>
    <row r="4434" spans="1:1">
      <c r="A4434">
        <v>2433</v>
      </c>
    </row>
    <row r="4435" spans="1:1">
      <c r="A4435">
        <v>2434</v>
      </c>
    </row>
    <row r="4436" spans="1:1">
      <c r="A4436">
        <v>2435</v>
      </c>
    </row>
    <row r="4437" spans="1:1">
      <c r="A4437">
        <v>2436</v>
      </c>
    </row>
    <row r="4438" spans="1:1">
      <c r="A4438">
        <v>2437</v>
      </c>
    </row>
    <row r="4439" spans="1:1">
      <c r="A4439">
        <v>2438</v>
      </c>
    </row>
    <row r="4440" spans="1:1">
      <c r="A4440">
        <v>2439</v>
      </c>
    </row>
    <row r="4441" spans="1:1">
      <c r="A4441">
        <v>2440</v>
      </c>
    </row>
    <row r="4442" spans="1:1">
      <c r="A4442">
        <v>2441</v>
      </c>
    </row>
    <row r="4443" spans="1:1">
      <c r="A4443">
        <v>2442</v>
      </c>
    </row>
    <row r="4444" spans="1:1">
      <c r="A4444">
        <v>2443</v>
      </c>
    </row>
    <row r="4445" spans="1:1">
      <c r="A4445">
        <v>2444</v>
      </c>
    </row>
    <row r="4446" spans="1:1">
      <c r="A4446">
        <v>2445</v>
      </c>
    </row>
    <row r="4447" spans="1:1">
      <c r="A4447">
        <v>2446</v>
      </c>
    </row>
    <row r="4448" spans="1:1">
      <c r="A4448">
        <v>2447</v>
      </c>
    </row>
    <row r="4449" spans="1:1">
      <c r="A4449">
        <v>2448</v>
      </c>
    </row>
    <row r="4450" spans="1:1">
      <c r="A4450">
        <v>2449</v>
      </c>
    </row>
    <row r="4451" spans="1:1">
      <c r="A4451">
        <v>2450</v>
      </c>
    </row>
    <row r="4452" spans="1:1">
      <c r="A4452">
        <v>2451</v>
      </c>
    </row>
    <row r="4453" spans="1:1">
      <c r="A4453">
        <v>2452</v>
      </c>
    </row>
    <row r="4454" spans="1:1">
      <c r="A4454">
        <v>2453</v>
      </c>
    </row>
    <row r="4455" spans="1:1">
      <c r="A4455">
        <v>2454</v>
      </c>
    </row>
    <row r="4456" spans="1:1">
      <c r="A4456">
        <v>2455</v>
      </c>
    </row>
    <row r="4457" spans="1:1">
      <c r="A4457">
        <v>2456</v>
      </c>
    </row>
    <row r="4458" spans="1:1">
      <c r="A4458">
        <v>2457</v>
      </c>
    </row>
    <row r="4459" spans="1:1">
      <c r="A4459">
        <v>2458</v>
      </c>
    </row>
    <row r="4460" spans="1:1">
      <c r="A4460">
        <v>2459</v>
      </c>
    </row>
    <row r="4461" spans="1:1">
      <c r="A4461">
        <v>2460</v>
      </c>
    </row>
    <row r="4462" spans="1:1">
      <c r="A4462">
        <v>2461</v>
      </c>
    </row>
    <row r="4463" spans="1:1">
      <c r="A4463">
        <v>2462</v>
      </c>
    </row>
    <row r="4464" spans="1:1">
      <c r="A4464">
        <v>2463</v>
      </c>
    </row>
    <row r="4465" spans="1:1">
      <c r="A4465">
        <v>2464</v>
      </c>
    </row>
    <row r="4466" spans="1:1">
      <c r="A4466">
        <v>2465</v>
      </c>
    </row>
    <row r="4467" spans="1:1">
      <c r="A4467">
        <v>2466</v>
      </c>
    </row>
    <row r="4468" spans="1:1">
      <c r="A4468">
        <v>2467</v>
      </c>
    </row>
    <row r="4469" spans="1:1">
      <c r="A4469">
        <v>2468</v>
      </c>
    </row>
    <row r="4470" spans="1:1">
      <c r="A4470">
        <v>2469</v>
      </c>
    </row>
    <row r="4471" spans="1:1">
      <c r="A4471">
        <v>2470</v>
      </c>
    </row>
    <row r="4472" spans="1:1">
      <c r="A4472">
        <v>2471</v>
      </c>
    </row>
    <row r="4473" spans="1:1">
      <c r="A4473">
        <v>2472</v>
      </c>
    </row>
    <row r="4474" spans="1:1">
      <c r="A4474">
        <v>2473</v>
      </c>
    </row>
    <row r="4475" spans="1:1">
      <c r="A4475">
        <v>2474</v>
      </c>
    </row>
    <row r="4476" spans="1:1">
      <c r="A4476">
        <v>2475</v>
      </c>
    </row>
    <row r="4477" spans="1:1">
      <c r="A4477">
        <v>2476</v>
      </c>
    </row>
    <row r="4478" spans="1:1">
      <c r="A4478">
        <v>2477</v>
      </c>
    </row>
    <row r="4479" spans="1:1">
      <c r="A4479">
        <v>2478</v>
      </c>
    </row>
    <row r="4480" spans="1:1">
      <c r="A4480">
        <v>2479</v>
      </c>
    </row>
    <row r="4481" spans="1:1">
      <c r="A4481">
        <v>2480</v>
      </c>
    </row>
    <row r="4482" spans="1:1">
      <c r="A4482">
        <v>2481</v>
      </c>
    </row>
    <row r="4483" spans="1:1">
      <c r="A4483">
        <v>2482</v>
      </c>
    </row>
    <row r="4484" spans="1:1">
      <c r="A4484">
        <v>2483</v>
      </c>
    </row>
    <row r="4485" spans="1:1">
      <c r="A4485">
        <v>2484</v>
      </c>
    </row>
    <row r="4486" spans="1:1">
      <c r="A4486">
        <v>2485</v>
      </c>
    </row>
    <row r="4487" spans="1:1">
      <c r="A4487">
        <v>2486</v>
      </c>
    </row>
    <row r="4488" spans="1:1">
      <c r="A4488">
        <v>2487</v>
      </c>
    </row>
    <row r="4489" spans="1:1">
      <c r="A4489">
        <v>2488</v>
      </c>
    </row>
    <row r="4490" spans="1:1">
      <c r="A4490">
        <v>2489</v>
      </c>
    </row>
    <row r="4491" spans="1:1">
      <c r="A4491">
        <v>2490</v>
      </c>
    </row>
    <row r="4492" spans="1:1">
      <c r="A4492">
        <v>2491</v>
      </c>
    </row>
    <row r="4493" spans="1:1">
      <c r="A4493">
        <v>2492</v>
      </c>
    </row>
    <row r="4494" spans="1:1">
      <c r="A4494">
        <v>2493</v>
      </c>
    </row>
    <row r="4495" spans="1:1">
      <c r="A4495">
        <v>2494</v>
      </c>
    </row>
    <row r="4496" spans="1:1">
      <c r="A4496">
        <v>2495</v>
      </c>
    </row>
    <row r="4497" spans="1:1">
      <c r="A4497">
        <v>2496</v>
      </c>
    </row>
    <row r="4498" spans="1:1">
      <c r="A4498">
        <v>2497</v>
      </c>
    </row>
    <row r="4499" spans="1:1">
      <c r="A4499">
        <v>2498</v>
      </c>
    </row>
    <row r="4500" spans="1:1">
      <c r="A4500">
        <v>2499</v>
      </c>
    </row>
    <row r="4501" spans="1:1">
      <c r="A4501">
        <v>2500</v>
      </c>
    </row>
    <row r="4502" spans="1:1">
      <c r="A4502">
        <v>2501</v>
      </c>
    </row>
    <row r="4503" spans="1:1">
      <c r="A4503">
        <v>2502</v>
      </c>
    </row>
    <row r="4504" spans="1:1">
      <c r="A4504">
        <v>2503</v>
      </c>
    </row>
    <row r="4505" spans="1:1">
      <c r="A4505">
        <v>2504</v>
      </c>
    </row>
    <row r="4506" spans="1:1">
      <c r="A4506">
        <v>2505</v>
      </c>
    </row>
    <row r="4507" spans="1:1">
      <c r="A4507">
        <v>2506</v>
      </c>
    </row>
    <row r="4508" spans="1:1">
      <c r="A4508">
        <v>2507</v>
      </c>
    </row>
    <row r="4509" spans="1:1">
      <c r="A4509">
        <v>2508</v>
      </c>
    </row>
    <row r="4510" spans="1:1">
      <c r="A4510">
        <v>2509</v>
      </c>
    </row>
    <row r="4511" spans="1:1">
      <c r="A4511">
        <v>2510</v>
      </c>
    </row>
    <row r="4512" spans="1:1">
      <c r="A4512">
        <v>2511</v>
      </c>
    </row>
    <row r="4513" spans="1:1">
      <c r="A4513">
        <v>2512</v>
      </c>
    </row>
    <row r="4514" spans="1:1">
      <c r="A4514">
        <v>2513</v>
      </c>
    </row>
    <row r="4515" spans="1:1">
      <c r="A4515">
        <v>2514</v>
      </c>
    </row>
    <row r="4516" spans="1:1">
      <c r="A4516">
        <v>2515</v>
      </c>
    </row>
    <row r="4517" spans="1:1">
      <c r="A4517">
        <v>2516</v>
      </c>
    </row>
    <row r="4518" spans="1:1">
      <c r="A4518">
        <v>2517</v>
      </c>
    </row>
    <row r="4519" spans="1:1">
      <c r="A4519">
        <v>2518</v>
      </c>
    </row>
    <row r="4520" spans="1:1">
      <c r="A4520">
        <v>2519</v>
      </c>
    </row>
    <row r="4521" spans="1:1">
      <c r="A4521">
        <v>2520</v>
      </c>
    </row>
    <row r="4522" spans="1:1">
      <c r="A4522">
        <v>2521</v>
      </c>
    </row>
    <row r="4523" spans="1:1">
      <c r="A4523">
        <v>2522</v>
      </c>
    </row>
    <row r="4524" spans="1:1">
      <c r="A4524">
        <v>2523</v>
      </c>
    </row>
    <row r="4525" spans="1:1">
      <c r="A4525">
        <v>2524</v>
      </c>
    </row>
    <row r="4526" spans="1:1">
      <c r="A4526">
        <v>2525</v>
      </c>
    </row>
    <row r="4527" spans="1:1">
      <c r="A4527">
        <v>2526</v>
      </c>
    </row>
    <row r="4528" spans="1:1">
      <c r="A4528">
        <v>2527</v>
      </c>
    </row>
    <row r="4529" spans="1:1">
      <c r="A4529">
        <v>2528</v>
      </c>
    </row>
    <row r="4530" spans="1:1">
      <c r="A4530">
        <v>2529</v>
      </c>
    </row>
    <row r="4531" spans="1:1">
      <c r="A4531">
        <v>2530</v>
      </c>
    </row>
    <row r="4532" spans="1:1">
      <c r="A4532">
        <v>2531</v>
      </c>
    </row>
    <row r="4533" spans="1:1">
      <c r="A4533">
        <v>2532</v>
      </c>
    </row>
    <row r="4534" spans="1:1">
      <c r="A4534">
        <v>2533</v>
      </c>
    </row>
    <row r="4535" spans="1:1">
      <c r="A4535">
        <v>2534</v>
      </c>
    </row>
    <row r="4536" spans="1:1">
      <c r="A4536">
        <v>2535</v>
      </c>
    </row>
    <row r="4537" spans="1:1">
      <c r="A4537">
        <v>2536</v>
      </c>
    </row>
    <row r="4538" spans="1:1">
      <c r="A4538">
        <v>2537</v>
      </c>
    </row>
    <row r="4539" spans="1:1">
      <c r="A4539">
        <v>2538</v>
      </c>
    </row>
    <row r="4540" spans="1:1">
      <c r="A4540">
        <v>2539</v>
      </c>
    </row>
    <row r="4541" spans="1:1">
      <c r="A4541">
        <v>2540</v>
      </c>
    </row>
    <row r="4542" spans="1:1">
      <c r="A4542">
        <v>2541</v>
      </c>
    </row>
    <row r="4543" spans="1:1">
      <c r="A4543">
        <v>2542</v>
      </c>
    </row>
    <row r="4544" spans="1:1">
      <c r="A4544">
        <v>2543</v>
      </c>
    </row>
    <row r="4545" spans="1:1">
      <c r="A4545">
        <v>2544</v>
      </c>
    </row>
    <row r="4546" spans="1:1">
      <c r="A4546">
        <v>2545</v>
      </c>
    </row>
    <row r="4547" spans="1:1">
      <c r="A4547">
        <v>2546</v>
      </c>
    </row>
    <row r="4548" spans="1:1">
      <c r="A4548">
        <v>2547</v>
      </c>
    </row>
    <row r="4549" spans="1:1">
      <c r="A4549">
        <v>2548</v>
      </c>
    </row>
    <row r="4550" spans="1:1">
      <c r="A4550">
        <v>2549</v>
      </c>
    </row>
    <row r="4551" spans="1:1">
      <c r="A4551">
        <v>2550</v>
      </c>
    </row>
    <row r="4552" spans="1:1">
      <c r="A4552">
        <v>2551</v>
      </c>
    </row>
    <row r="4553" spans="1:1">
      <c r="A4553">
        <v>2552</v>
      </c>
    </row>
    <row r="4554" spans="1:1">
      <c r="A4554">
        <v>2553</v>
      </c>
    </row>
    <row r="4555" spans="1:1">
      <c r="A4555">
        <v>2554</v>
      </c>
    </row>
    <row r="4556" spans="1:1">
      <c r="A4556">
        <v>2555</v>
      </c>
    </row>
    <row r="4557" spans="1:1">
      <c r="A4557">
        <v>2556</v>
      </c>
    </row>
    <row r="4558" spans="1:1">
      <c r="A4558">
        <v>2557</v>
      </c>
    </row>
    <row r="4559" spans="1:1">
      <c r="A4559">
        <v>2558</v>
      </c>
    </row>
    <row r="4560" spans="1:1">
      <c r="A4560">
        <v>2559</v>
      </c>
    </row>
    <row r="4561" spans="1:1">
      <c r="A4561">
        <v>2560</v>
      </c>
    </row>
    <row r="4562" spans="1:1">
      <c r="A4562">
        <v>2561</v>
      </c>
    </row>
    <row r="4563" spans="1:1">
      <c r="A4563">
        <v>2562</v>
      </c>
    </row>
    <row r="4564" spans="1:1">
      <c r="A4564">
        <v>2563</v>
      </c>
    </row>
    <row r="4565" spans="1:1">
      <c r="A4565">
        <v>2564</v>
      </c>
    </row>
    <row r="4566" spans="1:1">
      <c r="A4566">
        <v>2565</v>
      </c>
    </row>
    <row r="4567" spans="1:1">
      <c r="A4567">
        <v>2566</v>
      </c>
    </row>
    <row r="4568" spans="1:1">
      <c r="A4568">
        <v>2567</v>
      </c>
    </row>
    <row r="4569" spans="1:1">
      <c r="A4569">
        <v>2568</v>
      </c>
    </row>
    <row r="4570" spans="1:1">
      <c r="A4570">
        <v>2569</v>
      </c>
    </row>
    <row r="4571" spans="1:1">
      <c r="A4571">
        <v>2570</v>
      </c>
    </row>
    <row r="4572" spans="1:1">
      <c r="A4572">
        <v>2571</v>
      </c>
    </row>
    <row r="4573" spans="1:1">
      <c r="A4573">
        <v>2572</v>
      </c>
    </row>
    <row r="4574" spans="1:1">
      <c r="A4574">
        <v>2573</v>
      </c>
    </row>
    <row r="4575" spans="1:1">
      <c r="A4575">
        <v>2574</v>
      </c>
    </row>
    <row r="4576" spans="1:1">
      <c r="A4576">
        <v>2575</v>
      </c>
    </row>
    <row r="4577" spans="1:1">
      <c r="A4577">
        <v>2576</v>
      </c>
    </row>
    <row r="4578" spans="1:1">
      <c r="A4578">
        <v>2577</v>
      </c>
    </row>
    <row r="4579" spans="1:1">
      <c r="A4579">
        <v>2578</v>
      </c>
    </row>
    <row r="4580" spans="1:1">
      <c r="A4580">
        <v>2579</v>
      </c>
    </row>
    <row r="4581" spans="1:1">
      <c r="A4581">
        <v>2580</v>
      </c>
    </row>
    <row r="4582" spans="1:1">
      <c r="A4582">
        <v>2581</v>
      </c>
    </row>
    <row r="4583" spans="1:1">
      <c r="A4583">
        <v>2582</v>
      </c>
    </row>
    <row r="4584" spans="1:1">
      <c r="A4584">
        <v>2583</v>
      </c>
    </row>
    <row r="4585" spans="1:1">
      <c r="A4585">
        <v>2584</v>
      </c>
    </row>
    <row r="4586" spans="1:1">
      <c r="A4586">
        <v>2585</v>
      </c>
    </row>
    <row r="4587" spans="1:1">
      <c r="A4587">
        <v>2586</v>
      </c>
    </row>
    <row r="4588" spans="1:1">
      <c r="A4588">
        <v>2587</v>
      </c>
    </row>
    <row r="4589" spans="1:1">
      <c r="A4589">
        <v>2588</v>
      </c>
    </row>
    <row r="4590" spans="1:1">
      <c r="A4590">
        <v>2589</v>
      </c>
    </row>
    <row r="4591" spans="1:1">
      <c r="A4591">
        <v>2590</v>
      </c>
    </row>
    <row r="4592" spans="1:1">
      <c r="A4592">
        <v>2591</v>
      </c>
    </row>
    <row r="4593" spans="1:1">
      <c r="A4593">
        <v>2592</v>
      </c>
    </row>
    <row r="4594" spans="1:1">
      <c r="A4594">
        <v>2593</v>
      </c>
    </row>
    <row r="4595" spans="1:1">
      <c r="A4595">
        <v>2594</v>
      </c>
    </row>
    <row r="4596" spans="1:1">
      <c r="A4596">
        <v>2595</v>
      </c>
    </row>
    <row r="4597" spans="1:1">
      <c r="A4597">
        <v>2596</v>
      </c>
    </row>
    <row r="4598" spans="1:1">
      <c r="A4598">
        <v>2597</v>
      </c>
    </row>
    <row r="4599" spans="1:1">
      <c r="A4599">
        <v>2598</v>
      </c>
    </row>
    <row r="4600" spans="1:1">
      <c r="A4600">
        <v>2599</v>
      </c>
    </row>
    <row r="4601" spans="1:1">
      <c r="A4601">
        <v>2600</v>
      </c>
    </row>
    <row r="4602" spans="1:1">
      <c r="A4602">
        <v>2601</v>
      </c>
    </row>
    <row r="4603" spans="1:1">
      <c r="A4603">
        <v>2602</v>
      </c>
    </row>
    <row r="4604" spans="1:1">
      <c r="A4604">
        <v>2603</v>
      </c>
    </row>
    <row r="4605" spans="1:1">
      <c r="A4605">
        <v>2604</v>
      </c>
    </row>
    <row r="4606" spans="1:1">
      <c r="A4606">
        <v>2605</v>
      </c>
    </row>
    <row r="4607" spans="1:1">
      <c r="A4607">
        <v>2606</v>
      </c>
    </row>
    <row r="4608" spans="1:1">
      <c r="A4608">
        <v>2607</v>
      </c>
    </row>
    <row r="4609" spans="1:1">
      <c r="A4609">
        <v>2608</v>
      </c>
    </row>
    <row r="4610" spans="1:1">
      <c r="A4610">
        <v>2609</v>
      </c>
    </row>
    <row r="4611" spans="1:1">
      <c r="A4611">
        <v>2610</v>
      </c>
    </row>
    <row r="4612" spans="1:1">
      <c r="A4612">
        <v>2611</v>
      </c>
    </row>
    <row r="4613" spans="1:1">
      <c r="A4613">
        <v>2612</v>
      </c>
    </row>
    <row r="4614" spans="1:1">
      <c r="A4614">
        <v>2613</v>
      </c>
    </row>
    <row r="4615" spans="1:1">
      <c r="A4615">
        <v>2614</v>
      </c>
    </row>
    <row r="4616" spans="1:1">
      <c r="A4616">
        <v>2615</v>
      </c>
    </row>
    <row r="4617" spans="1:1">
      <c r="A4617">
        <v>2616</v>
      </c>
    </row>
    <row r="4618" spans="1:1">
      <c r="A4618">
        <v>2617</v>
      </c>
    </row>
    <row r="4619" spans="1:1">
      <c r="A4619">
        <v>2618</v>
      </c>
    </row>
    <row r="4620" spans="1:1">
      <c r="A4620">
        <v>2619</v>
      </c>
    </row>
    <row r="4621" spans="1:1">
      <c r="A4621">
        <v>2620</v>
      </c>
    </row>
    <row r="4622" spans="1:1">
      <c r="A4622">
        <v>2621</v>
      </c>
    </row>
    <row r="4623" spans="1:1">
      <c r="A4623">
        <v>2622</v>
      </c>
    </row>
    <row r="4624" spans="1:1">
      <c r="A4624">
        <v>2623</v>
      </c>
    </row>
    <row r="4625" spans="1:1">
      <c r="A4625">
        <v>2624</v>
      </c>
    </row>
    <row r="4626" spans="1:1">
      <c r="A4626">
        <v>2625</v>
      </c>
    </row>
    <row r="4627" spans="1:1">
      <c r="A4627">
        <v>2626</v>
      </c>
    </row>
    <row r="4628" spans="1:1">
      <c r="A4628">
        <v>2627</v>
      </c>
    </row>
    <row r="4629" spans="1:1">
      <c r="A4629">
        <v>2628</v>
      </c>
    </row>
    <row r="4630" spans="1:1">
      <c r="A4630">
        <v>2629</v>
      </c>
    </row>
    <row r="4631" spans="1:1">
      <c r="A4631">
        <v>2630</v>
      </c>
    </row>
    <row r="4632" spans="1:1">
      <c r="A4632">
        <v>2631</v>
      </c>
    </row>
    <row r="4633" spans="1:1">
      <c r="A4633">
        <v>2632</v>
      </c>
    </row>
    <row r="4634" spans="1:1">
      <c r="A4634">
        <v>2633</v>
      </c>
    </row>
    <row r="4635" spans="1:1">
      <c r="A4635">
        <v>2634</v>
      </c>
    </row>
    <row r="4636" spans="1:1">
      <c r="A4636">
        <v>2635</v>
      </c>
    </row>
    <row r="4637" spans="1:1">
      <c r="A4637">
        <v>2636</v>
      </c>
    </row>
    <row r="4638" spans="1:1">
      <c r="A4638">
        <v>2637</v>
      </c>
    </row>
    <row r="4639" spans="1:1">
      <c r="A4639">
        <v>2638</v>
      </c>
    </row>
    <row r="4640" spans="1:1">
      <c r="A4640">
        <v>2639</v>
      </c>
    </row>
    <row r="4641" spans="1:1">
      <c r="A4641">
        <v>2640</v>
      </c>
    </row>
    <row r="4642" spans="1:1">
      <c r="A4642">
        <v>2641</v>
      </c>
    </row>
    <row r="4643" spans="1:1">
      <c r="A4643">
        <v>2642</v>
      </c>
    </row>
    <row r="4644" spans="1:1">
      <c r="A4644">
        <v>2643</v>
      </c>
    </row>
    <row r="4645" spans="1:1">
      <c r="A4645">
        <v>2644</v>
      </c>
    </row>
    <row r="4646" spans="1:1">
      <c r="A4646">
        <v>2645</v>
      </c>
    </row>
    <row r="4647" spans="1:1">
      <c r="A4647">
        <v>2646</v>
      </c>
    </row>
    <row r="4648" spans="1:1">
      <c r="A4648">
        <v>2647</v>
      </c>
    </row>
    <row r="4649" spans="1:1">
      <c r="A4649">
        <v>2648</v>
      </c>
    </row>
    <row r="4650" spans="1:1">
      <c r="A4650">
        <v>2649</v>
      </c>
    </row>
    <row r="4651" spans="1:1">
      <c r="A4651">
        <v>2650</v>
      </c>
    </row>
    <row r="4652" spans="1:1">
      <c r="A4652">
        <v>2651</v>
      </c>
    </row>
    <row r="4653" spans="1:1">
      <c r="A4653">
        <v>2652</v>
      </c>
    </row>
    <row r="4654" spans="1:1">
      <c r="A4654">
        <v>2653</v>
      </c>
    </row>
    <row r="4655" spans="1:1">
      <c r="A4655">
        <v>2654</v>
      </c>
    </row>
    <row r="4656" spans="1:1">
      <c r="A4656">
        <v>2655</v>
      </c>
    </row>
    <row r="4657" spans="1:1">
      <c r="A4657">
        <v>2656</v>
      </c>
    </row>
    <row r="4658" spans="1:1">
      <c r="A4658">
        <v>2657</v>
      </c>
    </row>
    <row r="4659" spans="1:1">
      <c r="A4659">
        <v>2658</v>
      </c>
    </row>
    <row r="4660" spans="1:1">
      <c r="A4660">
        <v>2659</v>
      </c>
    </row>
    <row r="4661" spans="1:1">
      <c r="A4661">
        <v>2660</v>
      </c>
    </row>
    <row r="4662" spans="1:1">
      <c r="A4662">
        <v>2661</v>
      </c>
    </row>
    <row r="4663" spans="1:1">
      <c r="A4663">
        <v>2662</v>
      </c>
    </row>
    <row r="4664" spans="1:1">
      <c r="A4664">
        <v>2663</v>
      </c>
    </row>
    <row r="4665" spans="1:1">
      <c r="A4665">
        <v>2664</v>
      </c>
    </row>
    <row r="4666" spans="1:1">
      <c r="A4666">
        <v>2665</v>
      </c>
    </row>
    <row r="4667" spans="1:1">
      <c r="A4667">
        <v>2666</v>
      </c>
    </row>
    <row r="4668" spans="1:1">
      <c r="A4668">
        <v>2667</v>
      </c>
    </row>
    <row r="4669" spans="1:1">
      <c r="A4669">
        <v>2668</v>
      </c>
    </row>
    <row r="4670" spans="1:1">
      <c r="A4670">
        <v>2669</v>
      </c>
    </row>
    <row r="4671" spans="1:1">
      <c r="A4671">
        <v>2670</v>
      </c>
    </row>
    <row r="4672" spans="1:1">
      <c r="A4672">
        <v>2671</v>
      </c>
    </row>
    <row r="4673" spans="1:1">
      <c r="A4673">
        <v>2672</v>
      </c>
    </row>
    <row r="4674" spans="1:1">
      <c r="A4674">
        <v>2673</v>
      </c>
    </row>
    <row r="4675" spans="1:1">
      <c r="A4675">
        <v>2674</v>
      </c>
    </row>
    <row r="4676" spans="1:1">
      <c r="A4676">
        <v>2675</v>
      </c>
    </row>
    <row r="4677" spans="1:1">
      <c r="A4677">
        <v>2676</v>
      </c>
    </row>
    <row r="4678" spans="1:1">
      <c r="A4678">
        <v>2677</v>
      </c>
    </row>
    <row r="4679" spans="1:1">
      <c r="A4679">
        <v>2678</v>
      </c>
    </row>
    <row r="4680" spans="1:1">
      <c r="A4680">
        <v>2679</v>
      </c>
    </row>
    <row r="4681" spans="1:1">
      <c r="A4681">
        <v>2680</v>
      </c>
    </row>
    <row r="4682" spans="1:1">
      <c r="A4682">
        <v>2681</v>
      </c>
    </row>
    <row r="4683" spans="1:1">
      <c r="A4683">
        <v>2682</v>
      </c>
    </row>
    <row r="4684" spans="1:1">
      <c r="A4684">
        <v>2683</v>
      </c>
    </row>
    <row r="4685" spans="1:1">
      <c r="A4685">
        <v>2684</v>
      </c>
    </row>
    <row r="4686" spans="1:1">
      <c r="A4686">
        <v>2685</v>
      </c>
    </row>
    <row r="4687" spans="1:1">
      <c r="A4687">
        <v>2686</v>
      </c>
    </row>
    <row r="4688" spans="1:1">
      <c r="A4688">
        <v>2687</v>
      </c>
    </row>
    <row r="4689" spans="1:1">
      <c r="A4689">
        <v>2688</v>
      </c>
    </row>
    <row r="4690" spans="1:1">
      <c r="A4690">
        <v>2689</v>
      </c>
    </row>
    <row r="4691" spans="1:1">
      <c r="A4691">
        <v>2690</v>
      </c>
    </row>
    <row r="4692" spans="1:1">
      <c r="A4692">
        <v>2691</v>
      </c>
    </row>
    <row r="4693" spans="1:1">
      <c r="A4693">
        <v>2692</v>
      </c>
    </row>
    <row r="4694" spans="1:1">
      <c r="A4694">
        <v>2693</v>
      </c>
    </row>
    <row r="4695" spans="1:1">
      <c r="A4695">
        <v>2694</v>
      </c>
    </row>
    <row r="4696" spans="1:1">
      <c r="A4696">
        <v>2695</v>
      </c>
    </row>
    <row r="4697" spans="1:1">
      <c r="A4697">
        <v>2696</v>
      </c>
    </row>
    <row r="4698" spans="1:1">
      <c r="A4698">
        <v>2697</v>
      </c>
    </row>
    <row r="4699" spans="1:1">
      <c r="A4699">
        <v>2698</v>
      </c>
    </row>
    <row r="4700" spans="1:1">
      <c r="A4700">
        <v>2699</v>
      </c>
    </row>
    <row r="4701" spans="1:1">
      <c r="A4701">
        <v>2700</v>
      </c>
    </row>
    <row r="4702" spans="1:1">
      <c r="A4702">
        <v>2701</v>
      </c>
    </row>
    <row r="4703" spans="1:1">
      <c r="A4703">
        <v>2702</v>
      </c>
    </row>
    <row r="4704" spans="1:1">
      <c r="A4704">
        <v>2703</v>
      </c>
    </row>
    <row r="4705" spans="1:1">
      <c r="A4705">
        <v>2704</v>
      </c>
    </row>
    <row r="4706" spans="1:1">
      <c r="A4706">
        <v>2705</v>
      </c>
    </row>
    <row r="4707" spans="1:1">
      <c r="A4707">
        <v>2706</v>
      </c>
    </row>
    <row r="4708" spans="1:1">
      <c r="A4708">
        <v>2707</v>
      </c>
    </row>
    <row r="4709" spans="1:1">
      <c r="A4709">
        <v>2708</v>
      </c>
    </row>
    <row r="4710" spans="1:1">
      <c r="A4710">
        <v>2709</v>
      </c>
    </row>
    <row r="4711" spans="1:1">
      <c r="A4711">
        <v>2710</v>
      </c>
    </row>
    <row r="4712" spans="1:1">
      <c r="A4712">
        <v>2711</v>
      </c>
    </row>
    <row r="4713" spans="1:1">
      <c r="A4713">
        <v>2712</v>
      </c>
    </row>
    <row r="4714" spans="1:1">
      <c r="A4714">
        <v>2713</v>
      </c>
    </row>
    <row r="4715" spans="1:1">
      <c r="A4715">
        <v>2714</v>
      </c>
    </row>
    <row r="4716" spans="1:1">
      <c r="A4716">
        <v>2715</v>
      </c>
    </row>
    <row r="4717" spans="1:1">
      <c r="A4717">
        <v>2716</v>
      </c>
    </row>
    <row r="4718" spans="1:1">
      <c r="A4718">
        <v>2717</v>
      </c>
    </row>
    <row r="4719" spans="1:1">
      <c r="A4719">
        <v>2718</v>
      </c>
    </row>
    <row r="4720" spans="1:1">
      <c r="A4720">
        <v>2719</v>
      </c>
    </row>
    <row r="4721" spans="1:1">
      <c r="A4721">
        <v>2720</v>
      </c>
    </row>
    <row r="4722" spans="1:1">
      <c r="A4722">
        <v>2721</v>
      </c>
    </row>
    <row r="4723" spans="1:1">
      <c r="A4723">
        <v>2722</v>
      </c>
    </row>
    <row r="4724" spans="1:1">
      <c r="A4724">
        <v>2723</v>
      </c>
    </row>
    <row r="4725" spans="1:1">
      <c r="A4725">
        <v>2724</v>
      </c>
    </row>
    <row r="4726" spans="1:1">
      <c r="A4726">
        <v>2725</v>
      </c>
    </row>
    <row r="4727" spans="1:1">
      <c r="A4727">
        <v>2726</v>
      </c>
    </row>
    <row r="4728" spans="1:1">
      <c r="A4728">
        <v>2727</v>
      </c>
    </row>
    <row r="4729" spans="1:1">
      <c r="A4729">
        <v>2728</v>
      </c>
    </row>
    <row r="4730" spans="1:1">
      <c r="A4730">
        <v>2729</v>
      </c>
    </row>
    <row r="4731" spans="1:1">
      <c r="A4731">
        <v>2730</v>
      </c>
    </row>
    <row r="4732" spans="1:1">
      <c r="A4732">
        <v>2731</v>
      </c>
    </row>
    <row r="4733" spans="1:1">
      <c r="A4733">
        <v>2732</v>
      </c>
    </row>
    <row r="4734" spans="1:1">
      <c r="A4734">
        <v>2733</v>
      </c>
    </row>
    <row r="4735" spans="1:1">
      <c r="A4735">
        <v>2734</v>
      </c>
    </row>
    <row r="4736" spans="1:1">
      <c r="A4736">
        <v>2735</v>
      </c>
    </row>
    <row r="4737" spans="1:1">
      <c r="A4737">
        <v>2736</v>
      </c>
    </row>
    <row r="4738" spans="1:1">
      <c r="A4738">
        <v>2737</v>
      </c>
    </row>
    <row r="4739" spans="1:1">
      <c r="A4739">
        <v>2738</v>
      </c>
    </row>
    <row r="4740" spans="1:1">
      <c r="A4740">
        <v>2739</v>
      </c>
    </row>
    <row r="4741" spans="1:1">
      <c r="A4741">
        <v>2740</v>
      </c>
    </row>
    <row r="4742" spans="1:1">
      <c r="A4742">
        <v>2741</v>
      </c>
    </row>
    <row r="4743" spans="1:1">
      <c r="A4743">
        <v>2742</v>
      </c>
    </row>
    <row r="4744" spans="1:1">
      <c r="A4744">
        <v>2743</v>
      </c>
    </row>
    <row r="4745" spans="1:1">
      <c r="A4745">
        <v>2744</v>
      </c>
    </row>
    <row r="4746" spans="1:1">
      <c r="A4746">
        <v>2745</v>
      </c>
    </row>
    <row r="4747" spans="1:1">
      <c r="A4747">
        <v>2746</v>
      </c>
    </row>
    <row r="4748" spans="1:1">
      <c r="A4748">
        <v>2747</v>
      </c>
    </row>
    <row r="4749" spans="1:1">
      <c r="A4749">
        <v>2748</v>
      </c>
    </row>
    <row r="4750" spans="1:1">
      <c r="A4750">
        <v>2749</v>
      </c>
    </row>
    <row r="4751" spans="1:1">
      <c r="A4751">
        <v>2750</v>
      </c>
    </row>
    <row r="4752" spans="1:1">
      <c r="A4752">
        <v>2751</v>
      </c>
    </row>
    <row r="4753" spans="1:1">
      <c r="A4753">
        <v>2752</v>
      </c>
    </row>
    <row r="4754" spans="1:1">
      <c r="A4754">
        <v>2753</v>
      </c>
    </row>
    <row r="4755" spans="1:1">
      <c r="A4755">
        <v>2754</v>
      </c>
    </row>
    <row r="4756" spans="1:1">
      <c r="A4756">
        <v>2755</v>
      </c>
    </row>
    <row r="4757" spans="1:1">
      <c r="A4757">
        <v>2756</v>
      </c>
    </row>
    <row r="4758" spans="1:1">
      <c r="A4758">
        <v>2757</v>
      </c>
    </row>
    <row r="4759" spans="1:1">
      <c r="A4759">
        <v>2758</v>
      </c>
    </row>
    <row r="4760" spans="1:1">
      <c r="A4760">
        <v>2759</v>
      </c>
    </row>
    <row r="4761" spans="1:1">
      <c r="A4761">
        <v>2760</v>
      </c>
    </row>
    <row r="4762" spans="1:1">
      <c r="A4762">
        <v>2761</v>
      </c>
    </row>
    <row r="4763" spans="1:1">
      <c r="A4763">
        <v>2762</v>
      </c>
    </row>
    <row r="4764" spans="1:1">
      <c r="A4764">
        <v>2763</v>
      </c>
    </row>
    <row r="4765" spans="1:1">
      <c r="A4765">
        <v>2764</v>
      </c>
    </row>
    <row r="4766" spans="1:1">
      <c r="A4766">
        <v>2765</v>
      </c>
    </row>
    <row r="4767" spans="1:1">
      <c r="A4767">
        <v>2766</v>
      </c>
    </row>
    <row r="4768" spans="1:1">
      <c r="A4768">
        <v>2767</v>
      </c>
    </row>
    <row r="4769" spans="1:1">
      <c r="A4769">
        <v>2768</v>
      </c>
    </row>
    <row r="4770" spans="1:1">
      <c r="A4770">
        <v>2769</v>
      </c>
    </row>
    <row r="4771" spans="1:1">
      <c r="A4771">
        <v>2770</v>
      </c>
    </row>
    <row r="4772" spans="1:1">
      <c r="A4772">
        <v>2771</v>
      </c>
    </row>
    <row r="4773" spans="1:1">
      <c r="A4773">
        <v>2772</v>
      </c>
    </row>
    <row r="4774" spans="1:1">
      <c r="A4774">
        <v>2773</v>
      </c>
    </row>
    <row r="4775" spans="1:1">
      <c r="A4775">
        <v>2774</v>
      </c>
    </row>
    <row r="4776" spans="1:1">
      <c r="A4776">
        <v>2775</v>
      </c>
    </row>
    <row r="4777" spans="1:1">
      <c r="A4777">
        <v>2776</v>
      </c>
    </row>
    <row r="4778" spans="1:1">
      <c r="A4778">
        <v>2777</v>
      </c>
    </row>
    <row r="4779" spans="1:1">
      <c r="A4779">
        <v>2778</v>
      </c>
    </row>
    <row r="4780" spans="1:1">
      <c r="A4780">
        <v>2779</v>
      </c>
    </row>
    <row r="4781" spans="1:1">
      <c r="A4781">
        <v>2780</v>
      </c>
    </row>
    <row r="4782" spans="1:1">
      <c r="A4782">
        <v>2781</v>
      </c>
    </row>
    <row r="4783" spans="1:1">
      <c r="A4783">
        <v>2782</v>
      </c>
    </row>
    <row r="4784" spans="1:1">
      <c r="A4784">
        <v>2783</v>
      </c>
    </row>
    <row r="4785" spans="1:1">
      <c r="A4785">
        <v>2784</v>
      </c>
    </row>
    <row r="4786" spans="1:1">
      <c r="A4786">
        <v>2785</v>
      </c>
    </row>
    <row r="4787" spans="1:1">
      <c r="A4787">
        <v>2786</v>
      </c>
    </row>
    <row r="4788" spans="1:1">
      <c r="A4788">
        <v>2787</v>
      </c>
    </row>
    <row r="4789" spans="1:1">
      <c r="A4789">
        <v>2788</v>
      </c>
    </row>
    <row r="4790" spans="1:1">
      <c r="A4790">
        <v>2789</v>
      </c>
    </row>
    <row r="4791" spans="1:1">
      <c r="A4791">
        <v>2790</v>
      </c>
    </row>
    <row r="4792" spans="1:1">
      <c r="A4792">
        <v>2791</v>
      </c>
    </row>
    <row r="4793" spans="1:1">
      <c r="A4793">
        <v>2792</v>
      </c>
    </row>
    <row r="4794" spans="1:1">
      <c r="A4794">
        <v>2793</v>
      </c>
    </row>
    <row r="4795" spans="1:1">
      <c r="A4795">
        <v>2794</v>
      </c>
    </row>
    <row r="4796" spans="1:1">
      <c r="A4796">
        <v>2795</v>
      </c>
    </row>
    <row r="4797" spans="1:1">
      <c r="A4797">
        <v>2796</v>
      </c>
    </row>
    <row r="4798" spans="1:1">
      <c r="A4798">
        <v>2797</v>
      </c>
    </row>
    <row r="4799" spans="1:1">
      <c r="A4799">
        <v>2798</v>
      </c>
    </row>
    <row r="4800" spans="1:1">
      <c r="A4800">
        <v>2799</v>
      </c>
    </row>
    <row r="4801" spans="1:1">
      <c r="A4801">
        <v>2800</v>
      </c>
    </row>
    <row r="4802" spans="1:1">
      <c r="A4802">
        <v>2801</v>
      </c>
    </row>
    <row r="4803" spans="1:1">
      <c r="A4803">
        <v>2802</v>
      </c>
    </row>
    <row r="4804" spans="1:1">
      <c r="A4804">
        <v>2803</v>
      </c>
    </row>
    <row r="4805" spans="1:1">
      <c r="A4805">
        <v>2804</v>
      </c>
    </row>
    <row r="4806" spans="1:1">
      <c r="A4806">
        <v>2805</v>
      </c>
    </row>
    <row r="4807" spans="1:1">
      <c r="A4807">
        <v>2806</v>
      </c>
    </row>
    <row r="4808" spans="1:1">
      <c r="A4808">
        <v>2807</v>
      </c>
    </row>
    <row r="4809" spans="1:1">
      <c r="A4809">
        <v>2808</v>
      </c>
    </row>
    <row r="4810" spans="1:1">
      <c r="A4810">
        <v>2809</v>
      </c>
    </row>
    <row r="4811" spans="1:1">
      <c r="A4811">
        <v>2810</v>
      </c>
    </row>
    <row r="4812" spans="1:1">
      <c r="A4812">
        <v>2811</v>
      </c>
    </row>
    <row r="4813" spans="1:1">
      <c r="A4813">
        <v>2812</v>
      </c>
    </row>
    <row r="4814" spans="1:1">
      <c r="A4814">
        <v>2813</v>
      </c>
    </row>
    <row r="4815" spans="1:1">
      <c r="A4815">
        <v>2814</v>
      </c>
    </row>
    <row r="4816" spans="1:1">
      <c r="A4816">
        <v>2815</v>
      </c>
    </row>
    <row r="4817" spans="1:1">
      <c r="A4817">
        <v>2816</v>
      </c>
    </row>
    <row r="4818" spans="1:1">
      <c r="A4818">
        <v>2817</v>
      </c>
    </row>
    <row r="4819" spans="1:1">
      <c r="A4819">
        <v>2818</v>
      </c>
    </row>
    <row r="4820" spans="1:1">
      <c r="A4820">
        <v>2819</v>
      </c>
    </row>
    <row r="4821" spans="1:1">
      <c r="A4821">
        <v>2820</v>
      </c>
    </row>
    <row r="4822" spans="1:1">
      <c r="A4822">
        <v>2821</v>
      </c>
    </row>
    <row r="4823" spans="1:1">
      <c r="A4823">
        <v>2822</v>
      </c>
    </row>
    <row r="4824" spans="1:1">
      <c r="A4824">
        <v>2823</v>
      </c>
    </row>
    <row r="4825" spans="1:1">
      <c r="A4825">
        <v>2824</v>
      </c>
    </row>
    <row r="4826" spans="1:1">
      <c r="A4826">
        <v>2825</v>
      </c>
    </row>
    <row r="4827" spans="1:1">
      <c r="A4827">
        <v>2826</v>
      </c>
    </row>
    <row r="4828" spans="1:1">
      <c r="A4828">
        <v>2827</v>
      </c>
    </row>
    <row r="4829" spans="1:1">
      <c r="A4829">
        <v>2828</v>
      </c>
    </row>
    <row r="4830" spans="1:1">
      <c r="A4830">
        <v>2829</v>
      </c>
    </row>
    <row r="4831" spans="1:1">
      <c r="A4831">
        <v>2830</v>
      </c>
    </row>
    <row r="4832" spans="1:1">
      <c r="A4832">
        <v>2831</v>
      </c>
    </row>
    <row r="4833" spans="1:1">
      <c r="A4833">
        <v>2832</v>
      </c>
    </row>
    <row r="4834" spans="1:1">
      <c r="A4834">
        <v>2833</v>
      </c>
    </row>
    <row r="4835" spans="1:1">
      <c r="A4835">
        <v>2834</v>
      </c>
    </row>
    <row r="4836" spans="1:1">
      <c r="A4836">
        <v>2835</v>
      </c>
    </row>
    <row r="4837" spans="1:1">
      <c r="A4837">
        <v>2836</v>
      </c>
    </row>
    <row r="4838" spans="1:1">
      <c r="A4838">
        <v>2837</v>
      </c>
    </row>
    <row r="4839" spans="1:1">
      <c r="A4839">
        <v>2838</v>
      </c>
    </row>
    <row r="4840" spans="1:1">
      <c r="A4840">
        <v>2839</v>
      </c>
    </row>
    <row r="4841" spans="1:1">
      <c r="A4841">
        <v>2840</v>
      </c>
    </row>
    <row r="4842" spans="1:1">
      <c r="A4842">
        <v>2841</v>
      </c>
    </row>
    <row r="4843" spans="1:1">
      <c r="A4843">
        <v>2842</v>
      </c>
    </row>
    <row r="4844" spans="1:1">
      <c r="A4844">
        <v>2843</v>
      </c>
    </row>
    <row r="4845" spans="1:1">
      <c r="A4845">
        <v>2844</v>
      </c>
    </row>
    <row r="4846" spans="1:1">
      <c r="A4846">
        <v>2845</v>
      </c>
    </row>
    <row r="4847" spans="1:1">
      <c r="A4847">
        <v>2846</v>
      </c>
    </row>
    <row r="4848" spans="1:1">
      <c r="A4848">
        <v>2847</v>
      </c>
    </row>
    <row r="4849" spans="1:1">
      <c r="A4849">
        <v>2848</v>
      </c>
    </row>
    <row r="4850" spans="1:1">
      <c r="A4850">
        <v>2849</v>
      </c>
    </row>
    <row r="4851" spans="1:1">
      <c r="A4851">
        <v>2850</v>
      </c>
    </row>
    <row r="4852" spans="1:1">
      <c r="A4852">
        <v>2851</v>
      </c>
    </row>
    <row r="4853" spans="1:1">
      <c r="A4853">
        <v>2852</v>
      </c>
    </row>
    <row r="4854" spans="1:1">
      <c r="A4854">
        <v>2853</v>
      </c>
    </row>
    <row r="4855" spans="1:1">
      <c r="A4855">
        <v>2854</v>
      </c>
    </row>
    <row r="4856" spans="1:1">
      <c r="A4856">
        <v>2855</v>
      </c>
    </row>
    <row r="4857" spans="1:1">
      <c r="A4857">
        <v>2856</v>
      </c>
    </row>
    <row r="4858" spans="1:1">
      <c r="A4858">
        <v>2857</v>
      </c>
    </row>
    <row r="4859" spans="1:1">
      <c r="A4859">
        <v>2858</v>
      </c>
    </row>
    <row r="4860" spans="1:1">
      <c r="A4860">
        <v>2859</v>
      </c>
    </row>
    <row r="4861" spans="1:1">
      <c r="A4861">
        <v>2860</v>
      </c>
    </row>
    <row r="4862" spans="1:1">
      <c r="A4862">
        <v>2861</v>
      </c>
    </row>
    <row r="4863" spans="1:1">
      <c r="A4863">
        <v>2862</v>
      </c>
    </row>
    <row r="4864" spans="1:1">
      <c r="A4864">
        <v>2863</v>
      </c>
    </row>
    <row r="4865" spans="1:1">
      <c r="A4865">
        <v>2864</v>
      </c>
    </row>
    <row r="4866" spans="1:1">
      <c r="A4866">
        <v>2865</v>
      </c>
    </row>
    <row r="4867" spans="1:1">
      <c r="A4867">
        <v>2866</v>
      </c>
    </row>
    <row r="4868" spans="1:1">
      <c r="A4868">
        <v>2867</v>
      </c>
    </row>
    <row r="4869" spans="1:1">
      <c r="A4869">
        <v>2868</v>
      </c>
    </row>
    <row r="4870" spans="1:1">
      <c r="A4870">
        <v>2869</v>
      </c>
    </row>
    <row r="4871" spans="1:1">
      <c r="A4871">
        <v>2870</v>
      </c>
    </row>
    <row r="4872" spans="1:1">
      <c r="A4872">
        <v>2871</v>
      </c>
    </row>
    <row r="4873" spans="1:1">
      <c r="A4873">
        <v>2872</v>
      </c>
    </row>
    <row r="4874" spans="1:1">
      <c r="A4874">
        <v>2873</v>
      </c>
    </row>
    <row r="4875" spans="1:1">
      <c r="A4875">
        <v>2874</v>
      </c>
    </row>
    <row r="4876" spans="1:1">
      <c r="A4876">
        <v>2875</v>
      </c>
    </row>
    <row r="4877" spans="1:1">
      <c r="A4877">
        <v>2876</v>
      </c>
    </row>
    <row r="4878" spans="1:1">
      <c r="A4878">
        <v>2877</v>
      </c>
    </row>
    <row r="4879" spans="1:1">
      <c r="A4879">
        <v>2878</v>
      </c>
    </row>
    <row r="4880" spans="1:1">
      <c r="A4880">
        <v>2879</v>
      </c>
    </row>
    <row r="4881" spans="1:1">
      <c r="A4881">
        <v>2880</v>
      </c>
    </row>
    <row r="4882" spans="1:1">
      <c r="A4882">
        <v>2881</v>
      </c>
    </row>
    <row r="4883" spans="1:1">
      <c r="A4883">
        <v>2882</v>
      </c>
    </row>
    <row r="4884" spans="1:1">
      <c r="A4884">
        <v>2883</v>
      </c>
    </row>
    <row r="4885" spans="1:1">
      <c r="A4885">
        <v>2884</v>
      </c>
    </row>
    <row r="4886" spans="1:1">
      <c r="A4886">
        <v>2885</v>
      </c>
    </row>
    <row r="4887" spans="1:1">
      <c r="A4887">
        <v>2886</v>
      </c>
    </row>
    <row r="4888" spans="1:1">
      <c r="A4888">
        <v>2887</v>
      </c>
    </row>
    <row r="4889" spans="1:1">
      <c r="A4889">
        <v>2888</v>
      </c>
    </row>
    <row r="4890" spans="1:1">
      <c r="A4890">
        <v>2889</v>
      </c>
    </row>
    <row r="4891" spans="1:1">
      <c r="A4891">
        <v>2890</v>
      </c>
    </row>
    <row r="4892" spans="1:1">
      <c r="A4892">
        <v>2891</v>
      </c>
    </row>
    <row r="4893" spans="1:1">
      <c r="A4893">
        <v>2892</v>
      </c>
    </row>
    <row r="4894" spans="1:1">
      <c r="A4894">
        <v>2893</v>
      </c>
    </row>
    <row r="4895" spans="1:1">
      <c r="A4895">
        <v>2894</v>
      </c>
    </row>
    <row r="4896" spans="1:1">
      <c r="A4896">
        <v>2895</v>
      </c>
    </row>
    <row r="4897" spans="1:1">
      <c r="A4897">
        <v>2896</v>
      </c>
    </row>
    <row r="4898" spans="1:1">
      <c r="A4898">
        <v>2897</v>
      </c>
    </row>
    <row r="4899" spans="1:1">
      <c r="A4899">
        <v>2898</v>
      </c>
    </row>
    <row r="4900" spans="1:1">
      <c r="A4900">
        <v>2899</v>
      </c>
    </row>
    <row r="4901" spans="1:1">
      <c r="A4901">
        <v>2900</v>
      </c>
    </row>
    <row r="4902" spans="1:1">
      <c r="A4902">
        <v>2901</v>
      </c>
    </row>
    <row r="4903" spans="1:1">
      <c r="A4903">
        <v>2902</v>
      </c>
    </row>
    <row r="4904" spans="1:1">
      <c r="A4904">
        <v>2903</v>
      </c>
    </row>
    <row r="4905" spans="1:1">
      <c r="A4905">
        <v>2904</v>
      </c>
    </row>
    <row r="4906" spans="1:1">
      <c r="A4906">
        <v>2905</v>
      </c>
    </row>
    <row r="4907" spans="1:1">
      <c r="A4907">
        <v>2906</v>
      </c>
    </row>
    <row r="4908" spans="1:1">
      <c r="A4908">
        <v>2907</v>
      </c>
    </row>
    <row r="4909" spans="1:1">
      <c r="A4909">
        <v>2908</v>
      </c>
    </row>
    <row r="4910" spans="1:1">
      <c r="A4910">
        <v>2909</v>
      </c>
    </row>
    <row r="4911" spans="1:1">
      <c r="A4911">
        <v>2910</v>
      </c>
    </row>
    <row r="4912" spans="1:1">
      <c r="A4912">
        <v>2911</v>
      </c>
    </row>
    <row r="4913" spans="1:1">
      <c r="A4913">
        <v>2912</v>
      </c>
    </row>
    <row r="4914" spans="1:1">
      <c r="A4914">
        <v>2913</v>
      </c>
    </row>
    <row r="4915" spans="1:1">
      <c r="A4915">
        <v>2914</v>
      </c>
    </row>
    <row r="4916" spans="1:1">
      <c r="A4916">
        <v>2915</v>
      </c>
    </row>
    <row r="4917" spans="1:1">
      <c r="A4917">
        <v>2916</v>
      </c>
    </row>
    <row r="4918" spans="1:1">
      <c r="A4918">
        <v>2917</v>
      </c>
    </row>
    <row r="4919" spans="1:1">
      <c r="A4919">
        <v>2918</v>
      </c>
    </row>
    <row r="4920" spans="1:1">
      <c r="A4920">
        <v>2919</v>
      </c>
    </row>
    <row r="4921" spans="1:1">
      <c r="A4921">
        <v>2920</v>
      </c>
    </row>
    <row r="4922" spans="1:1">
      <c r="A4922">
        <v>2921</v>
      </c>
    </row>
    <row r="4923" spans="1:1">
      <c r="A4923">
        <v>2922</v>
      </c>
    </row>
    <row r="4924" spans="1:1">
      <c r="A4924">
        <v>2923</v>
      </c>
    </row>
    <row r="4925" spans="1:1">
      <c r="A4925">
        <v>2924</v>
      </c>
    </row>
    <row r="4926" spans="1:1">
      <c r="A4926">
        <v>2925</v>
      </c>
    </row>
    <row r="4927" spans="1:1">
      <c r="A4927">
        <v>2926</v>
      </c>
    </row>
    <row r="4928" spans="1:1">
      <c r="A4928">
        <v>2927</v>
      </c>
    </row>
    <row r="4929" spans="1:1">
      <c r="A4929">
        <v>2928</v>
      </c>
    </row>
    <row r="4930" spans="1:1">
      <c r="A4930">
        <v>2929</v>
      </c>
    </row>
    <row r="4931" spans="1:1">
      <c r="A4931">
        <v>2930</v>
      </c>
    </row>
    <row r="4932" spans="1:1">
      <c r="A4932">
        <v>2931</v>
      </c>
    </row>
    <row r="4933" spans="1:1">
      <c r="A4933">
        <v>2932</v>
      </c>
    </row>
    <row r="4934" spans="1:1">
      <c r="A4934">
        <v>2933</v>
      </c>
    </row>
    <row r="4935" spans="1:1">
      <c r="A4935">
        <v>2934</v>
      </c>
    </row>
    <row r="4936" spans="1:1">
      <c r="A4936">
        <v>2935</v>
      </c>
    </row>
    <row r="4937" spans="1:1">
      <c r="A4937">
        <v>2936</v>
      </c>
    </row>
    <row r="4938" spans="1:1">
      <c r="A4938">
        <v>2937</v>
      </c>
    </row>
    <row r="4939" spans="1:1">
      <c r="A4939">
        <v>2938</v>
      </c>
    </row>
    <row r="4940" spans="1:1">
      <c r="A4940">
        <v>2939</v>
      </c>
    </row>
    <row r="4941" spans="1:1">
      <c r="A4941">
        <v>2940</v>
      </c>
    </row>
    <row r="4942" spans="1:1">
      <c r="A4942">
        <v>2941</v>
      </c>
    </row>
    <row r="4943" spans="1:1">
      <c r="A4943">
        <v>2942</v>
      </c>
    </row>
    <row r="4944" spans="1:1">
      <c r="A4944">
        <v>2943</v>
      </c>
    </row>
    <row r="4945" spans="1:1">
      <c r="A4945">
        <v>2944</v>
      </c>
    </row>
    <row r="4946" spans="1:1">
      <c r="A4946">
        <v>2945</v>
      </c>
    </row>
    <row r="4947" spans="1:1">
      <c r="A4947">
        <v>2946</v>
      </c>
    </row>
    <row r="4948" spans="1:1">
      <c r="A4948">
        <v>2947</v>
      </c>
    </row>
    <row r="4949" spans="1:1">
      <c r="A4949">
        <v>2948</v>
      </c>
    </row>
    <row r="4950" spans="1:1">
      <c r="A4950">
        <v>2949</v>
      </c>
    </row>
    <row r="4951" spans="1:1">
      <c r="A4951">
        <v>2950</v>
      </c>
    </row>
    <row r="4952" spans="1:1">
      <c r="A4952">
        <v>2951</v>
      </c>
    </row>
    <row r="4953" spans="1:1">
      <c r="A4953">
        <v>2952</v>
      </c>
    </row>
    <row r="4954" spans="1:1">
      <c r="A4954">
        <v>2953</v>
      </c>
    </row>
    <row r="4955" spans="1:1">
      <c r="A4955">
        <v>2954</v>
      </c>
    </row>
    <row r="4956" spans="1:1">
      <c r="A4956">
        <v>2955</v>
      </c>
    </row>
    <row r="4957" spans="1:1">
      <c r="A4957">
        <v>2956</v>
      </c>
    </row>
    <row r="4958" spans="1:1">
      <c r="A4958">
        <v>2957</v>
      </c>
    </row>
    <row r="4959" spans="1:1">
      <c r="A4959">
        <v>2958</v>
      </c>
    </row>
    <row r="4960" spans="1:1">
      <c r="A4960">
        <v>2959</v>
      </c>
    </row>
    <row r="4961" spans="1:1">
      <c r="A4961">
        <v>2960</v>
      </c>
    </row>
    <row r="4962" spans="1:1">
      <c r="A4962">
        <v>2961</v>
      </c>
    </row>
    <row r="4963" spans="1:1">
      <c r="A4963">
        <v>2962</v>
      </c>
    </row>
    <row r="4964" spans="1:1">
      <c r="A4964">
        <v>2963</v>
      </c>
    </row>
    <row r="4965" spans="1:1">
      <c r="A4965">
        <v>2964</v>
      </c>
    </row>
    <row r="4966" spans="1:1">
      <c r="A4966">
        <v>2965</v>
      </c>
    </row>
    <row r="4967" spans="1:1">
      <c r="A4967">
        <v>2966</v>
      </c>
    </row>
    <row r="4968" spans="1:1">
      <c r="A4968">
        <v>2967</v>
      </c>
    </row>
    <row r="4969" spans="1:1">
      <c r="A4969">
        <v>2968</v>
      </c>
    </row>
    <row r="4970" spans="1:1">
      <c r="A4970">
        <v>2969</v>
      </c>
    </row>
    <row r="4971" spans="1:1">
      <c r="A4971">
        <v>2970</v>
      </c>
    </row>
    <row r="4972" spans="1:1">
      <c r="A4972">
        <v>2971</v>
      </c>
    </row>
    <row r="4973" spans="1:1">
      <c r="A4973">
        <v>2972</v>
      </c>
    </row>
    <row r="4974" spans="1:1">
      <c r="A4974">
        <v>2973</v>
      </c>
    </row>
    <row r="4975" spans="1:1">
      <c r="A4975">
        <v>2974</v>
      </c>
    </row>
    <row r="4976" spans="1:1">
      <c r="A4976">
        <v>2975</v>
      </c>
    </row>
    <row r="4977" spans="1:1">
      <c r="A4977">
        <v>2976</v>
      </c>
    </row>
    <row r="4978" spans="1:1">
      <c r="A4978">
        <v>2977</v>
      </c>
    </row>
    <row r="4979" spans="1:1">
      <c r="A4979">
        <v>2978</v>
      </c>
    </row>
    <row r="4980" spans="1:1">
      <c r="A4980">
        <v>2979</v>
      </c>
    </row>
    <row r="4981" spans="1:1">
      <c r="A4981">
        <v>2980</v>
      </c>
    </row>
    <row r="4982" spans="1:1">
      <c r="A4982">
        <v>2981</v>
      </c>
    </row>
    <row r="4983" spans="1:1">
      <c r="A4983">
        <v>2982</v>
      </c>
    </row>
    <row r="4984" spans="1:1">
      <c r="A4984">
        <v>2983</v>
      </c>
    </row>
    <row r="4985" spans="1:1">
      <c r="A4985">
        <v>2984</v>
      </c>
    </row>
    <row r="4986" spans="1:1">
      <c r="A4986">
        <v>2985</v>
      </c>
    </row>
    <row r="4987" spans="1:1">
      <c r="A4987">
        <v>2986</v>
      </c>
    </row>
    <row r="4988" spans="1:1">
      <c r="A4988">
        <v>2987</v>
      </c>
    </row>
    <row r="4989" spans="1:1">
      <c r="A4989">
        <v>2988</v>
      </c>
    </row>
    <row r="4990" spans="1:1">
      <c r="A4990">
        <v>2989</v>
      </c>
    </row>
    <row r="4991" spans="1:1">
      <c r="A4991">
        <v>2990</v>
      </c>
    </row>
    <row r="4992" spans="1:1">
      <c r="A4992">
        <v>2991</v>
      </c>
    </row>
    <row r="4993" spans="1:1">
      <c r="A4993">
        <v>2992</v>
      </c>
    </row>
    <row r="4994" spans="1:1">
      <c r="A4994">
        <v>2993</v>
      </c>
    </row>
    <row r="4995" spans="1:1">
      <c r="A4995">
        <v>2994</v>
      </c>
    </row>
    <row r="4996" spans="1:1">
      <c r="A4996">
        <v>2995</v>
      </c>
    </row>
    <row r="4997" spans="1:1">
      <c r="A4997">
        <v>2996</v>
      </c>
    </row>
    <row r="4998" spans="1:1">
      <c r="A4998">
        <v>2997</v>
      </c>
    </row>
    <row r="4999" spans="1:1">
      <c r="A4999">
        <v>2998</v>
      </c>
    </row>
    <row r="5000" spans="1:1">
      <c r="A5000">
        <v>2999</v>
      </c>
    </row>
    <row r="5001" spans="1:1">
      <c r="A5001">
        <v>3000</v>
      </c>
    </row>
    <row r="5002" spans="1:1">
      <c r="A5002">
        <v>3001</v>
      </c>
    </row>
    <row r="5003" spans="1:1">
      <c r="A5003">
        <v>3002</v>
      </c>
    </row>
    <row r="5004" spans="1:1">
      <c r="A5004">
        <v>3003</v>
      </c>
    </row>
    <row r="5005" spans="1:1">
      <c r="A5005">
        <v>3004</v>
      </c>
    </row>
    <row r="5006" spans="1:1">
      <c r="A5006">
        <v>3005</v>
      </c>
    </row>
    <row r="5007" spans="1:1">
      <c r="A5007">
        <v>3006</v>
      </c>
    </row>
    <row r="5008" spans="1:1">
      <c r="A5008">
        <v>3007</v>
      </c>
    </row>
    <row r="5009" spans="1:1">
      <c r="A5009">
        <v>3008</v>
      </c>
    </row>
    <row r="5010" spans="1:1">
      <c r="A5010">
        <v>3009</v>
      </c>
    </row>
    <row r="5011" spans="1:1">
      <c r="A5011">
        <v>3010</v>
      </c>
    </row>
    <row r="5012" spans="1:1">
      <c r="A5012">
        <v>3011</v>
      </c>
    </row>
    <row r="5013" spans="1:1">
      <c r="A5013">
        <v>3012</v>
      </c>
    </row>
    <row r="5014" spans="1:1">
      <c r="A5014">
        <v>3013</v>
      </c>
    </row>
    <row r="5015" spans="1:1">
      <c r="A5015">
        <v>3014</v>
      </c>
    </row>
    <row r="5016" spans="1:1">
      <c r="A5016">
        <v>3015</v>
      </c>
    </row>
    <row r="5017" spans="1:1">
      <c r="A5017">
        <v>3016</v>
      </c>
    </row>
    <row r="5018" spans="1:1">
      <c r="A5018">
        <v>3017</v>
      </c>
    </row>
    <row r="5019" spans="1:1">
      <c r="A5019">
        <v>3018</v>
      </c>
    </row>
    <row r="5020" spans="1:1">
      <c r="A5020">
        <v>3019</v>
      </c>
    </row>
    <row r="5021" spans="1:1">
      <c r="A5021">
        <v>3020</v>
      </c>
    </row>
    <row r="5022" spans="1:1">
      <c r="A5022">
        <v>3021</v>
      </c>
    </row>
    <row r="5023" spans="1:1">
      <c r="A5023">
        <v>3022</v>
      </c>
    </row>
    <row r="5024" spans="1:1">
      <c r="A5024">
        <v>3023</v>
      </c>
    </row>
    <row r="5025" spans="1:1">
      <c r="A5025">
        <v>3024</v>
      </c>
    </row>
    <row r="5026" spans="1:1">
      <c r="A5026">
        <v>3025</v>
      </c>
    </row>
    <row r="5027" spans="1:1">
      <c r="A5027">
        <v>3026</v>
      </c>
    </row>
    <row r="5028" spans="1:1">
      <c r="A5028">
        <v>3027</v>
      </c>
    </row>
    <row r="5029" spans="1:1">
      <c r="A5029">
        <v>3028</v>
      </c>
    </row>
    <row r="5030" spans="1:1">
      <c r="A5030">
        <v>3029</v>
      </c>
    </row>
    <row r="5031" spans="1:1">
      <c r="A5031">
        <v>3030</v>
      </c>
    </row>
    <row r="5032" spans="1:1">
      <c r="A5032">
        <v>3031</v>
      </c>
    </row>
    <row r="5033" spans="1:1">
      <c r="A5033">
        <v>3032</v>
      </c>
    </row>
    <row r="5034" spans="1:1">
      <c r="A5034">
        <v>3033</v>
      </c>
    </row>
    <row r="5035" spans="1:1">
      <c r="A5035">
        <v>3034</v>
      </c>
    </row>
    <row r="5036" spans="1:1">
      <c r="A5036">
        <v>3035</v>
      </c>
    </row>
    <row r="5037" spans="1:1">
      <c r="A5037">
        <v>3036</v>
      </c>
    </row>
    <row r="5038" spans="1:1">
      <c r="A5038">
        <v>3037</v>
      </c>
    </row>
    <row r="5039" spans="1:1">
      <c r="A5039">
        <v>3038</v>
      </c>
    </row>
    <row r="5040" spans="1:1">
      <c r="A5040">
        <v>3039</v>
      </c>
    </row>
    <row r="5041" spans="1:1">
      <c r="A5041">
        <v>3040</v>
      </c>
    </row>
    <row r="5042" spans="1:1">
      <c r="A5042">
        <v>3041</v>
      </c>
    </row>
    <row r="5043" spans="1:1">
      <c r="A5043">
        <v>3042</v>
      </c>
    </row>
    <row r="5044" spans="1:1">
      <c r="A5044">
        <v>3043</v>
      </c>
    </row>
    <row r="5045" spans="1:1">
      <c r="A5045">
        <v>3044</v>
      </c>
    </row>
    <row r="5046" spans="1:1">
      <c r="A5046">
        <v>3045</v>
      </c>
    </row>
    <row r="5047" spans="1:1">
      <c r="A5047">
        <v>3046</v>
      </c>
    </row>
    <row r="5048" spans="1:1">
      <c r="A5048">
        <v>3047</v>
      </c>
    </row>
    <row r="5049" spans="1:1">
      <c r="A5049">
        <v>3048</v>
      </c>
    </row>
    <row r="5050" spans="1:1">
      <c r="A5050">
        <v>3049</v>
      </c>
    </row>
    <row r="5051" spans="1:1">
      <c r="A5051">
        <v>3050</v>
      </c>
    </row>
    <row r="5052" spans="1:1">
      <c r="A5052">
        <v>3051</v>
      </c>
    </row>
    <row r="5053" spans="1:1">
      <c r="A5053">
        <v>3052</v>
      </c>
    </row>
    <row r="5054" spans="1:1">
      <c r="A5054">
        <v>3053</v>
      </c>
    </row>
    <row r="5055" spans="1:1">
      <c r="A5055">
        <v>3054</v>
      </c>
    </row>
    <row r="5056" spans="1:1">
      <c r="A5056">
        <v>3055</v>
      </c>
    </row>
    <row r="5057" spans="1:1">
      <c r="A5057">
        <v>3056</v>
      </c>
    </row>
    <row r="5058" spans="1:1">
      <c r="A5058">
        <v>3057</v>
      </c>
    </row>
    <row r="5059" spans="1:1">
      <c r="A5059">
        <v>3058</v>
      </c>
    </row>
    <row r="5060" spans="1:1">
      <c r="A5060">
        <v>3059</v>
      </c>
    </row>
    <row r="5061" spans="1:1">
      <c r="A5061">
        <v>3060</v>
      </c>
    </row>
    <row r="5062" spans="1:1">
      <c r="A5062">
        <v>3061</v>
      </c>
    </row>
    <row r="5063" spans="1:1">
      <c r="A5063">
        <v>3062</v>
      </c>
    </row>
    <row r="5064" spans="1:1">
      <c r="A5064">
        <v>3063</v>
      </c>
    </row>
    <row r="5065" spans="1:1">
      <c r="A5065">
        <v>3064</v>
      </c>
    </row>
    <row r="5066" spans="1:1">
      <c r="A5066">
        <v>3065</v>
      </c>
    </row>
    <row r="5067" spans="1:1">
      <c r="A5067">
        <v>3066</v>
      </c>
    </row>
    <row r="5068" spans="1:1">
      <c r="A5068">
        <v>3067</v>
      </c>
    </row>
    <row r="5069" spans="1:1">
      <c r="A5069">
        <v>3068</v>
      </c>
    </row>
    <row r="5070" spans="1:1">
      <c r="A5070">
        <v>3069</v>
      </c>
    </row>
    <row r="5071" spans="1:1">
      <c r="A5071">
        <v>3070</v>
      </c>
    </row>
    <row r="5072" spans="1:1">
      <c r="A5072">
        <v>3071</v>
      </c>
    </row>
    <row r="5073" spans="1:1">
      <c r="A5073">
        <v>3072</v>
      </c>
    </row>
    <row r="5074" spans="1:1">
      <c r="A5074">
        <v>3073</v>
      </c>
    </row>
    <row r="5075" spans="1:1">
      <c r="A5075">
        <v>3074</v>
      </c>
    </row>
    <row r="5076" spans="1:1">
      <c r="A5076">
        <v>3075</v>
      </c>
    </row>
    <row r="5077" spans="1:1">
      <c r="A5077">
        <v>3076</v>
      </c>
    </row>
    <row r="5078" spans="1:1">
      <c r="A5078">
        <v>3077</v>
      </c>
    </row>
    <row r="5079" spans="1:1">
      <c r="A5079">
        <v>3078</v>
      </c>
    </row>
    <row r="5080" spans="1:1">
      <c r="A5080">
        <v>3079</v>
      </c>
    </row>
    <row r="5081" spans="1:1">
      <c r="A5081">
        <v>3080</v>
      </c>
    </row>
    <row r="5082" spans="1:1">
      <c r="A5082">
        <v>3081</v>
      </c>
    </row>
    <row r="5083" spans="1:1">
      <c r="A5083">
        <v>3082</v>
      </c>
    </row>
    <row r="5084" spans="1:1">
      <c r="A5084">
        <v>3083</v>
      </c>
    </row>
    <row r="5085" spans="1:1">
      <c r="A5085">
        <v>3084</v>
      </c>
    </row>
    <row r="5086" spans="1:1">
      <c r="A5086">
        <v>3085</v>
      </c>
    </row>
    <row r="5087" spans="1:1">
      <c r="A5087">
        <v>3086</v>
      </c>
    </row>
    <row r="5088" spans="1:1">
      <c r="A5088">
        <v>3087</v>
      </c>
    </row>
    <row r="5089" spans="1:1">
      <c r="A5089">
        <v>3088</v>
      </c>
    </row>
    <row r="5090" spans="1:1">
      <c r="A5090">
        <v>3089</v>
      </c>
    </row>
    <row r="5091" spans="1:1">
      <c r="A5091">
        <v>3090</v>
      </c>
    </row>
    <row r="5092" spans="1:1">
      <c r="A5092">
        <v>3091</v>
      </c>
    </row>
    <row r="5093" spans="1:1">
      <c r="A5093">
        <v>3092</v>
      </c>
    </row>
    <row r="5094" spans="1:1">
      <c r="A5094">
        <v>3093</v>
      </c>
    </row>
    <row r="5095" spans="1:1">
      <c r="A5095">
        <v>3094</v>
      </c>
    </row>
    <row r="5096" spans="1:1">
      <c r="A5096">
        <v>3095</v>
      </c>
    </row>
    <row r="5097" spans="1:1">
      <c r="A5097">
        <v>3096</v>
      </c>
    </row>
    <row r="5098" spans="1:1">
      <c r="A5098">
        <v>3097</v>
      </c>
    </row>
    <row r="5099" spans="1:1">
      <c r="A5099">
        <v>3098</v>
      </c>
    </row>
    <row r="5100" spans="1:1">
      <c r="A5100">
        <v>3099</v>
      </c>
    </row>
    <row r="5101" spans="1:1">
      <c r="A5101">
        <v>3100</v>
      </c>
    </row>
    <row r="5102" spans="1:1">
      <c r="A5102">
        <v>3101</v>
      </c>
    </row>
    <row r="5103" spans="1:1">
      <c r="A5103">
        <v>3102</v>
      </c>
    </row>
    <row r="5104" spans="1:1">
      <c r="A5104">
        <v>3103</v>
      </c>
    </row>
    <row r="5105" spans="1:1">
      <c r="A5105">
        <v>3104</v>
      </c>
    </row>
    <row r="5106" spans="1:1">
      <c r="A5106">
        <v>3105</v>
      </c>
    </row>
    <row r="5107" spans="1:1">
      <c r="A5107">
        <v>3106</v>
      </c>
    </row>
    <row r="5108" spans="1:1">
      <c r="A5108">
        <v>3107</v>
      </c>
    </row>
    <row r="5109" spans="1:1">
      <c r="A5109">
        <v>3108</v>
      </c>
    </row>
    <row r="5110" spans="1:1">
      <c r="A5110">
        <v>3109</v>
      </c>
    </row>
    <row r="5111" spans="1:1">
      <c r="A5111">
        <v>3110</v>
      </c>
    </row>
    <row r="5112" spans="1:1">
      <c r="A5112">
        <v>3111</v>
      </c>
    </row>
    <row r="5113" spans="1:1">
      <c r="A5113">
        <v>3112</v>
      </c>
    </row>
    <row r="5114" spans="1:1">
      <c r="A5114">
        <v>3113</v>
      </c>
    </row>
    <row r="5115" spans="1:1">
      <c r="A5115">
        <v>3114</v>
      </c>
    </row>
    <row r="5116" spans="1:1">
      <c r="A5116">
        <v>3115</v>
      </c>
    </row>
    <row r="5117" spans="1:1">
      <c r="A5117">
        <v>3116</v>
      </c>
    </row>
    <row r="5118" spans="1:1">
      <c r="A5118">
        <v>3117</v>
      </c>
    </row>
    <row r="5119" spans="1:1">
      <c r="A5119">
        <v>3118</v>
      </c>
    </row>
    <row r="5120" spans="1:1">
      <c r="A5120">
        <v>3119</v>
      </c>
    </row>
    <row r="5121" spans="1:1">
      <c r="A5121">
        <v>3120</v>
      </c>
    </row>
    <row r="5122" spans="1:1">
      <c r="A5122">
        <v>3121</v>
      </c>
    </row>
    <row r="5123" spans="1:1">
      <c r="A5123">
        <v>3122</v>
      </c>
    </row>
    <row r="5124" spans="1:1">
      <c r="A5124">
        <v>3123</v>
      </c>
    </row>
    <row r="5125" spans="1:1">
      <c r="A5125">
        <v>3124</v>
      </c>
    </row>
    <row r="5126" spans="1:1">
      <c r="A5126">
        <v>3125</v>
      </c>
    </row>
    <row r="5127" spans="1:1">
      <c r="A5127">
        <v>3126</v>
      </c>
    </row>
    <row r="5128" spans="1:1">
      <c r="A5128">
        <v>3127</v>
      </c>
    </row>
    <row r="5129" spans="1:1">
      <c r="A5129">
        <v>3128</v>
      </c>
    </row>
    <row r="5130" spans="1:1">
      <c r="A5130">
        <v>3129</v>
      </c>
    </row>
    <row r="5131" spans="1:1">
      <c r="A5131">
        <v>3130</v>
      </c>
    </row>
    <row r="5132" spans="1:1">
      <c r="A5132">
        <v>3131</v>
      </c>
    </row>
    <row r="5133" spans="1:1">
      <c r="A5133">
        <v>3132</v>
      </c>
    </row>
    <row r="5134" spans="1:1">
      <c r="A5134">
        <v>3133</v>
      </c>
    </row>
    <row r="5135" spans="1:1">
      <c r="A5135">
        <v>3134</v>
      </c>
    </row>
    <row r="5136" spans="1:1">
      <c r="A5136">
        <v>3135</v>
      </c>
    </row>
    <row r="5137" spans="1:1">
      <c r="A5137">
        <v>3136</v>
      </c>
    </row>
    <row r="5138" spans="1:1">
      <c r="A5138">
        <v>3137</v>
      </c>
    </row>
    <row r="5139" spans="1:1">
      <c r="A5139">
        <v>3138</v>
      </c>
    </row>
    <row r="5140" spans="1:1">
      <c r="A5140">
        <v>3139</v>
      </c>
    </row>
    <row r="5141" spans="1:1">
      <c r="A5141">
        <v>3140</v>
      </c>
    </row>
    <row r="5142" spans="1:1">
      <c r="A5142">
        <v>3141</v>
      </c>
    </row>
    <row r="5143" spans="1:1">
      <c r="A5143">
        <v>3142</v>
      </c>
    </row>
    <row r="5144" spans="1:1">
      <c r="A5144">
        <v>3143</v>
      </c>
    </row>
    <row r="5145" spans="1:1">
      <c r="A5145">
        <v>3144</v>
      </c>
    </row>
    <row r="5146" spans="1:1">
      <c r="A5146">
        <v>3145</v>
      </c>
    </row>
    <row r="5147" spans="1:1">
      <c r="A5147">
        <v>3146</v>
      </c>
    </row>
    <row r="5148" spans="1:1">
      <c r="A5148">
        <v>3147</v>
      </c>
    </row>
    <row r="5149" spans="1:1">
      <c r="A5149">
        <v>3148</v>
      </c>
    </row>
    <row r="5150" spans="1:1">
      <c r="A5150">
        <v>3149</v>
      </c>
    </row>
    <row r="5151" spans="1:1">
      <c r="A5151">
        <v>3150</v>
      </c>
    </row>
    <row r="5152" spans="1:1">
      <c r="A5152">
        <v>3151</v>
      </c>
    </row>
    <row r="5153" spans="1:1">
      <c r="A5153">
        <v>3152</v>
      </c>
    </row>
    <row r="5154" spans="1:1">
      <c r="A5154">
        <v>3153</v>
      </c>
    </row>
    <row r="5155" spans="1:1">
      <c r="A5155">
        <v>3154</v>
      </c>
    </row>
    <row r="5156" spans="1:1">
      <c r="A5156">
        <v>3155</v>
      </c>
    </row>
    <row r="5157" spans="1:1">
      <c r="A5157">
        <v>3156</v>
      </c>
    </row>
    <row r="5158" spans="1:1">
      <c r="A5158">
        <v>3157</v>
      </c>
    </row>
    <row r="5159" spans="1:1">
      <c r="A5159">
        <v>3158</v>
      </c>
    </row>
    <row r="5160" spans="1:1">
      <c r="A5160">
        <v>3159</v>
      </c>
    </row>
    <row r="5161" spans="1:1">
      <c r="A5161">
        <v>3160</v>
      </c>
    </row>
    <row r="5162" spans="1:1">
      <c r="A5162">
        <v>3161</v>
      </c>
    </row>
    <row r="5163" spans="1:1">
      <c r="A5163">
        <v>3162</v>
      </c>
    </row>
    <row r="5164" spans="1:1">
      <c r="A5164">
        <v>3163</v>
      </c>
    </row>
    <row r="5165" spans="1:1">
      <c r="A5165">
        <v>3164</v>
      </c>
    </row>
    <row r="5166" spans="1:1">
      <c r="A5166">
        <v>3165</v>
      </c>
    </row>
    <row r="5167" spans="1:1">
      <c r="A5167">
        <v>3166</v>
      </c>
    </row>
    <row r="5168" spans="1:1">
      <c r="A5168">
        <v>3167</v>
      </c>
    </row>
    <row r="5169" spans="1:1">
      <c r="A5169">
        <v>3168</v>
      </c>
    </row>
    <row r="5170" spans="1:1">
      <c r="A5170">
        <v>3169</v>
      </c>
    </row>
    <row r="5171" spans="1:1">
      <c r="A5171">
        <v>3170</v>
      </c>
    </row>
    <row r="5172" spans="1:1">
      <c r="A5172">
        <v>3171</v>
      </c>
    </row>
    <row r="5173" spans="1:1">
      <c r="A5173">
        <v>3172</v>
      </c>
    </row>
    <row r="5174" spans="1:1">
      <c r="A5174">
        <v>3173</v>
      </c>
    </row>
    <row r="5175" spans="1:1">
      <c r="A5175">
        <v>3174</v>
      </c>
    </row>
    <row r="5176" spans="1:1">
      <c r="A5176">
        <v>3175</v>
      </c>
    </row>
    <row r="5177" spans="1:1">
      <c r="A5177">
        <v>3176</v>
      </c>
    </row>
    <row r="5178" spans="1:1">
      <c r="A5178">
        <v>3177</v>
      </c>
    </row>
    <row r="5179" spans="1:1">
      <c r="A5179">
        <v>3178</v>
      </c>
    </row>
    <row r="5180" spans="1:1">
      <c r="A5180">
        <v>3179</v>
      </c>
    </row>
    <row r="5181" spans="1:1">
      <c r="A5181">
        <v>3180</v>
      </c>
    </row>
    <row r="5182" spans="1:1">
      <c r="A5182">
        <v>3181</v>
      </c>
    </row>
    <row r="5183" spans="1:1">
      <c r="A5183">
        <v>3182</v>
      </c>
    </row>
    <row r="5184" spans="1:1">
      <c r="A5184">
        <v>3183</v>
      </c>
    </row>
    <row r="5185" spans="1:1">
      <c r="A5185">
        <v>3184</v>
      </c>
    </row>
    <row r="5186" spans="1:1">
      <c r="A5186">
        <v>3185</v>
      </c>
    </row>
    <row r="5187" spans="1:1">
      <c r="A5187">
        <v>3186</v>
      </c>
    </row>
    <row r="5188" spans="1:1">
      <c r="A5188">
        <v>3187</v>
      </c>
    </row>
    <row r="5189" spans="1:1">
      <c r="A5189">
        <v>3188</v>
      </c>
    </row>
    <row r="5190" spans="1:1">
      <c r="A5190">
        <v>3189</v>
      </c>
    </row>
    <row r="5191" spans="1:1">
      <c r="A5191">
        <v>3190</v>
      </c>
    </row>
    <row r="5192" spans="1:1">
      <c r="A5192">
        <v>3191</v>
      </c>
    </row>
    <row r="5193" spans="1:1">
      <c r="A5193">
        <v>3192</v>
      </c>
    </row>
    <row r="5194" spans="1:1">
      <c r="A5194">
        <v>3193</v>
      </c>
    </row>
    <row r="5195" spans="1:1">
      <c r="A5195">
        <v>3194</v>
      </c>
    </row>
    <row r="5196" spans="1:1">
      <c r="A5196">
        <v>3195</v>
      </c>
    </row>
    <row r="5197" spans="1:1">
      <c r="A5197">
        <v>3196</v>
      </c>
    </row>
    <row r="5198" spans="1:1">
      <c r="A5198">
        <v>3197</v>
      </c>
    </row>
    <row r="5199" spans="1:1">
      <c r="A5199">
        <v>3198</v>
      </c>
    </row>
    <row r="5200" spans="1:1">
      <c r="A5200">
        <v>3199</v>
      </c>
    </row>
    <row r="5201" spans="1:1">
      <c r="A5201">
        <v>3200</v>
      </c>
    </row>
    <row r="5202" spans="1:1">
      <c r="A5202">
        <v>3201</v>
      </c>
    </row>
    <row r="5203" spans="1:1">
      <c r="A5203">
        <v>3202</v>
      </c>
    </row>
    <row r="5204" spans="1:1">
      <c r="A5204">
        <v>3203</v>
      </c>
    </row>
    <row r="5205" spans="1:1">
      <c r="A5205">
        <v>3204</v>
      </c>
    </row>
    <row r="5206" spans="1:1">
      <c r="A5206">
        <v>3205</v>
      </c>
    </row>
    <row r="5207" spans="1:1">
      <c r="A5207">
        <v>3206</v>
      </c>
    </row>
    <row r="5208" spans="1:1">
      <c r="A5208">
        <v>3207</v>
      </c>
    </row>
    <row r="5209" spans="1:1">
      <c r="A5209">
        <v>3208</v>
      </c>
    </row>
    <row r="5210" spans="1:1">
      <c r="A5210">
        <v>3209</v>
      </c>
    </row>
    <row r="5211" spans="1:1">
      <c r="A5211">
        <v>3210</v>
      </c>
    </row>
    <row r="5212" spans="1:1">
      <c r="A5212">
        <v>3211</v>
      </c>
    </row>
    <row r="5213" spans="1:1">
      <c r="A5213">
        <v>3212</v>
      </c>
    </row>
    <row r="5214" spans="1:1">
      <c r="A5214">
        <v>3213</v>
      </c>
    </row>
    <row r="5215" spans="1:1">
      <c r="A5215">
        <v>3214</v>
      </c>
    </row>
    <row r="5216" spans="1:1">
      <c r="A5216">
        <v>3215</v>
      </c>
    </row>
    <row r="5217" spans="1:1">
      <c r="A5217">
        <v>3216</v>
      </c>
    </row>
    <row r="5218" spans="1:1">
      <c r="A5218">
        <v>3217</v>
      </c>
    </row>
    <row r="5219" spans="1:1">
      <c r="A5219">
        <v>3218</v>
      </c>
    </row>
    <row r="5220" spans="1:1">
      <c r="A5220">
        <v>3219</v>
      </c>
    </row>
    <row r="5221" spans="1:1">
      <c r="A5221">
        <v>3220</v>
      </c>
    </row>
    <row r="5222" spans="1:1">
      <c r="A5222">
        <v>3221</v>
      </c>
    </row>
    <row r="5223" spans="1:1">
      <c r="A5223">
        <v>3222</v>
      </c>
    </row>
    <row r="5224" spans="1:1">
      <c r="A5224">
        <v>3223</v>
      </c>
    </row>
    <row r="5225" spans="1:1">
      <c r="A5225">
        <v>3224</v>
      </c>
    </row>
    <row r="5226" spans="1:1">
      <c r="A5226">
        <v>3225</v>
      </c>
    </row>
    <row r="5227" spans="1:1">
      <c r="A5227">
        <v>3226</v>
      </c>
    </row>
    <row r="5228" spans="1:1">
      <c r="A5228">
        <v>3227</v>
      </c>
    </row>
    <row r="5229" spans="1:1">
      <c r="A5229">
        <v>3228</v>
      </c>
    </row>
    <row r="5230" spans="1:1">
      <c r="A5230">
        <v>3229</v>
      </c>
    </row>
    <row r="5231" spans="1:1">
      <c r="A5231">
        <v>3230</v>
      </c>
    </row>
    <row r="5232" spans="1:1">
      <c r="A5232">
        <v>3231</v>
      </c>
    </row>
    <row r="5233" spans="1:1">
      <c r="A5233">
        <v>3232</v>
      </c>
    </row>
    <row r="5234" spans="1:1">
      <c r="A5234">
        <v>3233</v>
      </c>
    </row>
    <row r="5235" spans="1:1">
      <c r="A5235">
        <v>3234</v>
      </c>
    </row>
    <row r="5236" spans="1:1">
      <c r="A5236">
        <v>3235</v>
      </c>
    </row>
    <row r="5237" spans="1:1">
      <c r="A5237">
        <v>3236</v>
      </c>
    </row>
    <row r="5238" spans="1:1">
      <c r="A5238">
        <v>3237</v>
      </c>
    </row>
    <row r="5239" spans="1:1">
      <c r="A5239">
        <v>3238</v>
      </c>
    </row>
    <row r="5240" spans="1:1">
      <c r="A5240">
        <v>3239</v>
      </c>
    </row>
    <row r="5241" spans="1:1">
      <c r="A5241">
        <v>3240</v>
      </c>
    </row>
    <row r="5242" spans="1:1">
      <c r="A5242">
        <v>3241</v>
      </c>
    </row>
    <row r="5243" spans="1:1">
      <c r="A5243">
        <v>3242</v>
      </c>
    </row>
    <row r="5244" spans="1:1">
      <c r="A5244">
        <v>3243</v>
      </c>
    </row>
    <row r="5245" spans="1:1">
      <c r="A5245">
        <v>3244</v>
      </c>
    </row>
    <row r="5246" spans="1:1">
      <c r="A5246">
        <v>3245</v>
      </c>
    </row>
    <row r="5247" spans="1:1">
      <c r="A5247">
        <v>3246</v>
      </c>
    </row>
    <row r="5248" spans="1:1">
      <c r="A5248">
        <v>3247</v>
      </c>
    </row>
    <row r="5249" spans="1:1">
      <c r="A5249">
        <v>3248</v>
      </c>
    </row>
    <row r="5250" spans="1:1">
      <c r="A5250">
        <v>3249</v>
      </c>
    </row>
    <row r="5251" spans="1:1">
      <c r="A5251">
        <v>3250</v>
      </c>
    </row>
    <row r="5252" spans="1:1">
      <c r="A5252">
        <v>3251</v>
      </c>
    </row>
    <row r="5253" spans="1:1">
      <c r="A5253">
        <v>3252</v>
      </c>
    </row>
    <row r="5254" spans="1:1">
      <c r="A5254">
        <v>3253</v>
      </c>
    </row>
    <row r="5255" spans="1:1">
      <c r="A5255">
        <v>3254</v>
      </c>
    </row>
    <row r="5256" spans="1:1">
      <c r="A5256">
        <v>3255</v>
      </c>
    </row>
    <row r="5257" spans="1:1">
      <c r="A5257">
        <v>3256</v>
      </c>
    </row>
    <row r="5258" spans="1:1">
      <c r="A5258">
        <v>3257</v>
      </c>
    </row>
    <row r="5259" spans="1:1">
      <c r="A5259">
        <v>3258</v>
      </c>
    </row>
    <row r="5260" spans="1:1">
      <c r="A5260">
        <v>3259</v>
      </c>
    </row>
    <row r="5261" spans="1:1">
      <c r="A5261">
        <v>3260</v>
      </c>
    </row>
    <row r="5262" spans="1:1">
      <c r="A5262">
        <v>3261</v>
      </c>
    </row>
    <row r="5263" spans="1:1">
      <c r="A5263">
        <v>3262</v>
      </c>
    </row>
    <row r="5264" spans="1:1">
      <c r="A5264">
        <v>3263</v>
      </c>
    </row>
    <row r="5265" spans="1:1">
      <c r="A5265">
        <v>3264</v>
      </c>
    </row>
    <row r="5266" spans="1:1">
      <c r="A5266">
        <v>3265</v>
      </c>
    </row>
    <row r="5267" spans="1:1">
      <c r="A5267">
        <v>3266</v>
      </c>
    </row>
    <row r="5268" spans="1:1">
      <c r="A5268">
        <v>3267</v>
      </c>
    </row>
    <row r="5269" spans="1:1">
      <c r="A5269">
        <v>3268</v>
      </c>
    </row>
    <row r="5270" spans="1:1">
      <c r="A5270">
        <v>3269</v>
      </c>
    </row>
    <row r="5271" spans="1:1">
      <c r="A5271">
        <v>3270</v>
      </c>
    </row>
    <row r="5272" spans="1:1">
      <c r="A5272">
        <v>3271</v>
      </c>
    </row>
    <row r="5273" spans="1:1">
      <c r="A5273">
        <v>3272</v>
      </c>
    </row>
    <row r="5274" spans="1:1">
      <c r="A5274">
        <v>3273</v>
      </c>
    </row>
    <row r="5275" spans="1:1">
      <c r="A5275">
        <v>3274</v>
      </c>
    </row>
    <row r="5276" spans="1:1">
      <c r="A5276">
        <v>3275</v>
      </c>
    </row>
    <row r="5277" spans="1:1">
      <c r="A5277">
        <v>3276</v>
      </c>
    </row>
    <row r="5278" spans="1:1">
      <c r="A5278">
        <v>3277</v>
      </c>
    </row>
    <row r="5279" spans="1:1">
      <c r="A5279">
        <v>3278</v>
      </c>
    </row>
    <row r="5280" spans="1:1">
      <c r="A5280">
        <v>3279</v>
      </c>
    </row>
    <row r="5281" spans="1:1">
      <c r="A5281">
        <v>3280</v>
      </c>
    </row>
    <row r="5282" spans="1:1">
      <c r="A5282">
        <v>3281</v>
      </c>
    </row>
    <row r="5283" spans="1:1">
      <c r="A5283">
        <v>3282</v>
      </c>
    </row>
    <row r="5284" spans="1:1">
      <c r="A5284">
        <v>3283</v>
      </c>
    </row>
    <row r="5285" spans="1:1">
      <c r="A5285">
        <v>3284</v>
      </c>
    </row>
    <row r="5286" spans="1:1">
      <c r="A5286">
        <v>3285</v>
      </c>
    </row>
    <row r="5287" spans="1:1">
      <c r="A5287">
        <v>3286</v>
      </c>
    </row>
    <row r="5288" spans="1:1">
      <c r="A5288">
        <v>3287</v>
      </c>
    </row>
    <row r="5289" spans="1:1">
      <c r="A5289">
        <v>3288</v>
      </c>
    </row>
    <row r="5290" spans="1:1">
      <c r="A5290">
        <v>3289</v>
      </c>
    </row>
    <row r="5291" spans="1:1">
      <c r="A5291">
        <v>3290</v>
      </c>
    </row>
    <row r="5292" spans="1:1">
      <c r="A5292">
        <v>3291</v>
      </c>
    </row>
    <row r="5293" spans="1:1">
      <c r="A5293">
        <v>3292</v>
      </c>
    </row>
    <row r="5294" spans="1:1">
      <c r="A5294">
        <v>3293</v>
      </c>
    </row>
    <row r="5295" spans="1:1">
      <c r="A5295">
        <v>3294</v>
      </c>
    </row>
    <row r="5296" spans="1:1">
      <c r="A5296">
        <v>3295</v>
      </c>
    </row>
    <row r="5297" spans="1:1">
      <c r="A5297">
        <v>3296</v>
      </c>
    </row>
    <row r="5298" spans="1:1">
      <c r="A5298">
        <v>3297</v>
      </c>
    </row>
    <row r="5299" spans="1:1">
      <c r="A5299">
        <v>3298</v>
      </c>
    </row>
    <row r="5300" spans="1:1">
      <c r="A5300">
        <v>3299</v>
      </c>
    </row>
    <row r="5301" spans="1:1">
      <c r="A5301">
        <v>3300</v>
      </c>
    </row>
    <row r="5302" spans="1:1">
      <c r="A5302">
        <v>3301</v>
      </c>
    </row>
    <row r="5303" spans="1:1">
      <c r="A5303">
        <v>3302</v>
      </c>
    </row>
    <row r="5304" spans="1:1">
      <c r="A5304">
        <v>3303</v>
      </c>
    </row>
    <row r="5305" spans="1:1">
      <c r="A5305">
        <v>3304</v>
      </c>
    </row>
    <row r="5306" spans="1:1">
      <c r="A5306">
        <v>3305</v>
      </c>
    </row>
    <row r="5307" spans="1:1">
      <c r="A5307">
        <v>3306</v>
      </c>
    </row>
    <row r="5308" spans="1:1">
      <c r="A5308">
        <v>3307</v>
      </c>
    </row>
    <row r="5309" spans="1:1">
      <c r="A5309">
        <v>3308</v>
      </c>
    </row>
    <row r="5310" spans="1:1">
      <c r="A5310">
        <v>3309</v>
      </c>
    </row>
    <row r="5311" spans="1:1">
      <c r="A5311">
        <v>3310</v>
      </c>
    </row>
    <row r="5312" spans="1:1">
      <c r="A5312">
        <v>3311</v>
      </c>
    </row>
    <row r="5313" spans="1:1">
      <c r="A5313">
        <v>3312</v>
      </c>
    </row>
    <row r="5314" spans="1:1">
      <c r="A5314">
        <v>3313</v>
      </c>
    </row>
    <row r="5315" spans="1:1">
      <c r="A5315">
        <v>3314</v>
      </c>
    </row>
    <row r="5316" spans="1:1">
      <c r="A5316">
        <v>3315</v>
      </c>
    </row>
    <row r="5317" spans="1:1">
      <c r="A5317">
        <v>3316</v>
      </c>
    </row>
    <row r="5318" spans="1:1">
      <c r="A5318">
        <v>3317</v>
      </c>
    </row>
    <row r="5319" spans="1:1">
      <c r="A5319">
        <v>3318</v>
      </c>
    </row>
    <row r="5320" spans="1:1">
      <c r="A5320">
        <v>3319</v>
      </c>
    </row>
    <row r="5321" spans="1:1">
      <c r="A5321">
        <v>3320</v>
      </c>
    </row>
    <row r="5322" spans="1:1">
      <c r="A5322">
        <v>3321</v>
      </c>
    </row>
    <row r="5323" spans="1:1">
      <c r="A5323">
        <v>3322</v>
      </c>
    </row>
    <row r="5324" spans="1:1">
      <c r="A5324">
        <v>3323</v>
      </c>
    </row>
    <row r="5325" spans="1:1">
      <c r="A5325">
        <v>3324</v>
      </c>
    </row>
    <row r="5326" spans="1:1">
      <c r="A5326">
        <v>3325</v>
      </c>
    </row>
    <row r="5327" spans="1:1">
      <c r="A5327">
        <v>3326</v>
      </c>
    </row>
    <row r="5328" spans="1:1">
      <c r="A5328">
        <v>3327</v>
      </c>
    </row>
    <row r="5329" spans="1:1">
      <c r="A5329">
        <v>3328</v>
      </c>
    </row>
    <row r="5330" spans="1:1">
      <c r="A5330">
        <v>3329</v>
      </c>
    </row>
    <row r="5331" spans="1:1">
      <c r="A5331">
        <v>3330</v>
      </c>
    </row>
    <row r="5332" spans="1:1">
      <c r="A5332">
        <v>3331</v>
      </c>
    </row>
    <row r="5333" spans="1:1">
      <c r="A5333">
        <v>3332</v>
      </c>
    </row>
    <row r="5334" spans="1:1">
      <c r="A5334">
        <v>3333</v>
      </c>
    </row>
    <row r="5335" spans="1:1">
      <c r="A5335">
        <v>3334</v>
      </c>
    </row>
    <row r="5336" spans="1:1">
      <c r="A5336">
        <v>3335</v>
      </c>
    </row>
    <row r="5337" spans="1:1">
      <c r="A5337">
        <v>3336</v>
      </c>
    </row>
    <row r="5338" spans="1:1">
      <c r="A5338">
        <v>3337</v>
      </c>
    </row>
    <row r="5339" spans="1:1">
      <c r="A5339">
        <v>3338</v>
      </c>
    </row>
    <row r="5340" spans="1:1">
      <c r="A5340">
        <v>3339</v>
      </c>
    </row>
    <row r="5341" spans="1:1">
      <c r="A5341">
        <v>3340</v>
      </c>
    </row>
    <row r="5342" spans="1:1">
      <c r="A5342">
        <v>3341</v>
      </c>
    </row>
    <row r="5343" spans="1:1">
      <c r="A5343">
        <v>3342</v>
      </c>
    </row>
    <row r="5344" spans="1:1">
      <c r="A5344">
        <v>3343</v>
      </c>
    </row>
    <row r="5345" spans="1:1">
      <c r="A5345">
        <v>3344</v>
      </c>
    </row>
    <row r="5346" spans="1:1">
      <c r="A5346">
        <v>3345</v>
      </c>
    </row>
    <row r="5347" spans="1:1">
      <c r="A5347">
        <v>3346</v>
      </c>
    </row>
    <row r="5348" spans="1:1">
      <c r="A5348">
        <v>3347</v>
      </c>
    </row>
    <row r="5349" spans="1:1">
      <c r="A5349">
        <v>3348</v>
      </c>
    </row>
    <row r="5350" spans="1:1">
      <c r="A5350">
        <v>3349</v>
      </c>
    </row>
    <row r="5351" spans="1:1">
      <c r="A5351">
        <v>3350</v>
      </c>
    </row>
    <row r="5352" spans="1:1">
      <c r="A5352">
        <v>3351</v>
      </c>
    </row>
    <row r="5353" spans="1:1">
      <c r="A5353">
        <v>3352</v>
      </c>
    </row>
    <row r="5354" spans="1:1">
      <c r="A5354">
        <v>3353</v>
      </c>
    </row>
    <row r="5355" spans="1:1">
      <c r="A5355">
        <v>3354</v>
      </c>
    </row>
    <row r="5356" spans="1:1">
      <c r="A5356">
        <v>3355</v>
      </c>
    </row>
    <row r="5357" spans="1:1">
      <c r="A5357">
        <v>3356</v>
      </c>
    </row>
    <row r="5358" spans="1:1">
      <c r="A5358">
        <v>3357</v>
      </c>
    </row>
    <row r="5359" spans="1:1">
      <c r="A5359">
        <v>3358</v>
      </c>
    </row>
    <row r="5360" spans="1:1">
      <c r="A5360">
        <v>3359</v>
      </c>
    </row>
    <row r="5361" spans="1:1">
      <c r="A5361">
        <v>3360</v>
      </c>
    </row>
    <row r="5362" spans="1:1">
      <c r="A5362">
        <v>3361</v>
      </c>
    </row>
    <row r="5363" spans="1:1">
      <c r="A5363">
        <v>3362</v>
      </c>
    </row>
    <row r="5364" spans="1:1">
      <c r="A5364">
        <v>3363</v>
      </c>
    </row>
    <row r="5365" spans="1:1">
      <c r="A5365">
        <v>3364</v>
      </c>
    </row>
    <row r="5366" spans="1:1">
      <c r="A5366">
        <v>3365</v>
      </c>
    </row>
    <row r="5367" spans="1:1">
      <c r="A5367">
        <v>3366</v>
      </c>
    </row>
    <row r="5368" spans="1:1">
      <c r="A5368">
        <v>3367</v>
      </c>
    </row>
    <row r="5369" spans="1:1">
      <c r="A5369">
        <v>3368</v>
      </c>
    </row>
    <row r="5370" spans="1:1">
      <c r="A5370">
        <v>3369</v>
      </c>
    </row>
    <row r="5371" spans="1:1">
      <c r="A5371">
        <v>3370</v>
      </c>
    </row>
    <row r="5372" spans="1:1">
      <c r="A5372">
        <v>3371</v>
      </c>
    </row>
    <row r="5373" spans="1:1">
      <c r="A5373">
        <v>3372</v>
      </c>
    </row>
    <row r="5374" spans="1:1">
      <c r="A5374">
        <v>3373</v>
      </c>
    </row>
    <row r="5375" spans="1:1">
      <c r="A5375">
        <v>3374</v>
      </c>
    </row>
    <row r="5376" spans="1:1">
      <c r="A5376">
        <v>3375</v>
      </c>
    </row>
    <row r="5377" spans="1:1">
      <c r="A5377">
        <v>3376</v>
      </c>
    </row>
    <row r="5378" spans="1:1">
      <c r="A5378">
        <v>3377</v>
      </c>
    </row>
    <row r="5379" spans="1:1">
      <c r="A5379">
        <v>3378</v>
      </c>
    </row>
    <row r="5380" spans="1:1">
      <c r="A5380">
        <v>3379</v>
      </c>
    </row>
    <row r="5381" spans="1:1">
      <c r="A5381">
        <v>3380</v>
      </c>
    </row>
    <row r="5382" spans="1:1">
      <c r="A5382">
        <v>3381</v>
      </c>
    </row>
    <row r="5383" spans="1:1">
      <c r="A5383">
        <v>3382</v>
      </c>
    </row>
    <row r="5384" spans="1:1">
      <c r="A5384">
        <v>3383</v>
      </c>
    </row>
    <row r="5385" spans="1:1">
      <c r="A5385">
        <v>3384</v>
      </c>
    </row>
    <row r="5386" spans="1:1">
      <c r="A5386">
        <v>3385</v>
      </c>
    </row>
    <row r="5387" spans="1:1">
      <c r="A5387">
        <v>3386</v>
      </c>
    </row>
    <row r="5388" spans="1:1">
      <c r="A5388">
        <v>3387</v>
      </c>
    </row>
    <row r="5389" spans="1:1">
      <c r="A5389">
        <v>3388</v>
      </c>
    </row>
    <row r="5390" spans="1:1">
      <c r="A5390">
        <v>3389</v>
      </c>
    </row>
    <row r="5391" spans="1:1">
      <c r="A5391">
        <v>3390</v>
      </c>
    </row>
    <row r="5392" spans="1:1">
      <c r="A5392">
        <v>3391</v>
      </c>
    </row>
    <row r="5393" spans="1:1">
      <c r="A5393">
        <v>3392</v>
      </c>
    </row>
    <row r="5394" spans="1:1">
      <c r="A5394">
        <v>3393</v>
      </c>
    </row>
    <row r="5395" spans="1:1">
      <c r="A5395">
        <v>3394</v>
      </c>
    </row>
    <row r="5396" spans="1:1">
      <c r="A5396">
        <v>3395</v>
      </c>
    </row>
    <row r="5397" spans="1:1">
      <c r="A5397">
        <v>3396</v>
      </c>
    </row>
    <row r="5398" spans="1:1">
      <c r="A5398">
        <v>3397</v>
      </c>
    </row>
    <row r="5399" spans="1:1">
      <c r="A5399">
        <v>3398</v>
      </c>
    </row>
    <row r="5400" spans="1:1">
      <c r="A5400">
        <v>3399</v>
      </c>
    </row>
    <row r="5401" spans="1:1">
      <c r="A5401">
        <v>3400</v>
      </c>
    </row>
    <row r="5402" spans="1:1">
      <c r="A5402">
        <v>3401</v>
      </c>
    </row>
    <row r="5403" spans="1:1">
      <c r="A5403">
        <v>3402</v>
      </c>
    </row>
    <row r="5404" spans="1:1">
      <c r="A5404">
        <v>3403</v>
      </c>
    </row>
    <row r="5405" spans="1:1">
      <c r="A5405">
        <v>3404</v>
      </c>
    </row>
    <row r="5406" spans="1:1">
      <c r="A5406">
        <v>3405</v>
      </c>
    </row>
    <row r="5407" spans="1:1">
      <c r="A5407">
        <v>3406</v>
      </c>
    </row>
    <row r="5408" spans="1:1">
      <c r="A5408">
        <v>3407</v>
      </c>
    </row>
    <row r="5409" spans="1:1">
      <c r="A5409">
        <v>3408</v>
      </c>
    </row>
    <row r="5410" spans="1:1">
      <c r="A5410">
        <v>3409</v>
      </c>
    </row>
    <row r="5411" spans="1:1">
      <c r="A5411">
        <v>3410</v>
      </c>
    </row>
    <row r="5412" spans="1:1">
      <c r="A5412">
        <v>3411</v>
      </c>
    </row>
    <row r="5413" spans="1:1">
      <c r="A5413">
        <v>3412</v>
      </c>
    </row>
    <row r="5414" spans="1:1">
      <c r="A5414">
        <v>3413</v>
      </c>
    </row>
    <row r="5415" spans="1:1">
      <c r="A5415">
        <v>3414</v>
      </c>
    </row>
    <row r="5416" spans="1:1">
      <c r="A5416">
        <v>3415</v>
      </c>
    </row>
    <row r="5417" spans="1:1">
      <c r="A5417">
        <v>3416</v>
      </c>
    </row>
    <row r="5418" spans="1:1">
      <c r="A5418">
        <v>3417</v>
      </c>
    </row>
    <row r="5419" spans="1:1">
      <c r="A5419">
        <v>3418</v>
      </c>
    </row>
    <row r="5420" spans="1:1">
      <c r="A5420">
        <v>3419</v>
      </c>
    </row>
    <row r="5421" spans="1:1">
      <c r="A5421">
        <v>3420</v>
      </c>
    </row>
    <row r="5422" spans="1:1">
      <c r="A5422">
        <v>3421</v>
      </c>
    </row>
    <row r="5423" spans="1:1">
      <c r="A5423">
        <v>3422</v>
      </c>
    </row>
    <row r="5424" spans="1:1">
      <c r="A5424">
        <v>3423</v>
      </c>
    </row>
    <row r="5425" spans="1:1">
      <c r="A5425">
        <v>3424</v>
      </c>
    </row>
    <row r="5426" spans="1:1">
      <c r="A5426">
        <v>3425</v>
      </c>
    </row>
    <row r="5427" spans="1:1">
      <c r="A5427">
        <v>3426</v>
      </c>
    </row>
    <row r="5428" spans="1:1">
      <c r="A5428">
        <v>3427</v>
      </c>
    </row>
    <row r="5429" spans="1:1">
      <c r="A5429">
        <v>3428</v>
      </c>
    </row>
    <row r="5430" spans="1:1">
      <c r="A5430">
        <v>3429</v>
      </c>
    </row>
    <row r="5431" spans="1:1">
      <c r="A5431">
        <v>3430</v>
      </c>
    </row>
    <row r="5432" spans="1:1">
      <c r="A5432">
        <v>3431</v>
      </c>
    </row>
    <row r="5433" spans="1:1">
      <c r="A5433">
        <v>3432</v>
      </c>
    </row>
    <row r="5434" spans="1:1">
      <c r="A5434">
        <v>3433</v>
      </c>
    </row>
    <row r="5435" spans="1:1">
      <c r="A5435">
        <v>3434</v>
      </c>
    </row>
    <row r="5436" spans="1:1">
      <c r="A5436">
        <v>3435</v>
      </c>
    </row>
    <row r="5437" spans="1:1">
      <c r="A5437">
        <v>3436</v>
      </c>
    </row>
    <row r="5438" spans="1:1">
      <c r="A5438">
        <v>3437</v>
      </c>
    </row>
    <row r="5439" spans="1:1">
      <c r="A5439">
        <v>3438</v>
      </c>
    </row>
    <row r="5440" spans="1:1">
      <c r="A5440">
        <v>3439</v>
      </c>
    </row>
    <row r="5441" spans="1:1">
      <c r="A5441">
        <v>3440</v>
      </c>
    </row>
    <row r="5442" spans="1:1">
      <c r="A5442">
        <v>3441</v>
      </c>
    </row>
    <row r="5443" spans="1:1">
      <c r="A5443">
        <v>3442</v>
      </c>
    </row>
    <row r="5444" spans="1:1">
      <c r="A5444">
        <v>3443</v>
      </c>
    </row>
    <row r="5445" spans="1:1">
      <c r="A5445">
        <v>3444</v>
      </c>
    </row>
    <row r="5446" spans="1:1">
      <c r="A5446">
        <v>3445</v>
      </c>
    </row>
    <row r="5447" spans="1:1">
      <c r="A5447">
        <v>3446</v>
      </c>
    </row>
    <row r="5448" spans="1:1">
      <c r="A5448">
        <v>3447</v>
      </c>
    </row>
    <row r="5449" spans="1:1">
      <c r="A5449">
        <v>3448</v>
      </c>
    </row>
    <row r="5450" spans="1:1">
      <c r="A5450">
        <v>3449</v>
      </c>
    </row>
    <row r="5451" spans="1:1">
      <c r="A5451">
        <v>3450</v>
      </c>
    </row>
    <row r="5452" spans="1:1">
      <c r="A5452">
        <v>3451</v>
      </c>
    </row>
    <row r="5453" spans="1:1">
      <c r="A5453">
        <v>3452</v>
      </c>
    </row>
    <row r="5454" spans="1:1">
      <c r="A5454">
        <v>3453</v>
      </c>
    </row>
    <row r="5455" spans="1:1">
      <c r="A5455">
        <v>3454</v>
      </c>
    </row>
    <row r="5456" spans="1:1">
      <c r="A5456">
        <v>3455</v>
      </c>
    </row>
    <row r="5457" spans="1:1">
      <c r="A5457">
        <v>3456</v>
      </c>
    </row>
    <row r="5458" spans="1:1">
      <c r="A5458">
        <v>3457</v>
      </c>
    </row>
    <row r="5459" spans="1:1">
      <c r="A5459">
        <v>3458</v>
      </c>
    </row>
    <row r="5460" spans="1:1">
      <c r="A5460">
        <v>3459</v>
      </c>
    </row>
    <row r="5461" spans="1:1">
      <c r="A5461">
        <v>3460</v>
      </c>
    </row>
    <row r="5462" spans="1:1">
      <c r="A5462">
        <v>3461</v>
      </c>
    </row>
    <row r="5463" spans="1:1">
      <c r="A5463">
        <v>3462</v>
      </c>
    </row>
    <row r="5464" spans="1:1">
      <c r="A5464">
        <v>3463</v>
      </c>
    </row>
    <row r="5465" spans="1:1">
      <c r="A5465">
        <v>3464</v>
      </c>
    </row>
    <row r="5466" spans="1:1">
      <c r="A5466">
        <v>3465</v>
      </c>
    </row>
    <row r="5467" spans="1:1">
      <c r="A5467">
        <v>3466</v>
      </c>
    </row>
    <row r="5468" spans="1:1">
      <c r="A5468">
        <v>3467</v>
      </c>
    </row>
    <row r="5469" spans="1:1">
      <c r="A5469">
        <v>3468</v>
      </c>
    </row>
    <row r="5470" spans="1:1">
      <c r="A5470">
        <v>3469</v>
      </c>
    </row>
    <row r="5471" spans="1:1">
      <c r="A5471">
        <v>3470</v>
      </c>
    </row>
    <row r="5472" spans="1:1">
      <c r="A5472">
        <v>3471</v>
      </c>
    </row>
    <row r="5473" spans="1:1">
      <c r="A5473">
        <v>3472</v>
      </c>
    </row>
    <row r="5474" spans="1:1">
      <c r="A5474">
        <v>3473</v>
      </c>
    </row>
    <row r="5475" spans="1:1">
      <c r="A5475">
        <v>3474</v>
      </c>
    </row>
    <row r="5476" spans="1:1">
      <c r="A5476">
        <v>3475</v>
      </c>
    </row>
    <row r="5477" spans="1:1">
      <c r="A5477">
        <v>3476</v>
      </c>
    </row>
    <row r="5478" spans="1:1">
      <c r="A5478">
        <v>3477</v>
      </c>
    </row>
    <row r="5479" spans="1:1">
      <c r="A5479">
        <v>3478</v>
      </c>
    </row>
    <row r="5480" spans="1:1">
      <c r="A5480">
        <v>3479</v>
      </c>
    </row>
    <row r="5481" spans="1:1">
      <c r="A5481">
        <v>3480</v>
      </c>
    </row>
    <row r="5482" spans="1:1">
      <c r="A5482">
        <v>3481</v>
      </c>
    </row>
    <row r="5483" spans="1:1">
      <c r="A5483">
        <v>3482</v>
      </c>
    </row>
    <row r="5484" spans="1:1">
      <c r="A5484">
        <v>3483</v>
      </c>
    </row>
    <row r="5485" spans="1:1">
      <c r="A5485">
        <v>3484</v>
      </c>
    </row>
    <row r="5486" spans="1:1">
      <c r="A5486">
        <v>3485</v>
      </c>
    </row>
    <row r="5487" spans="1:1">
      <c r="A5487">
        <v>3486</v>
      </c>
    </row>
    <row r="5488" spans="1:1">
      <c r="A5488">
        <v>3487</v>
      </c>
    </row>
    <row r="5489" spans="1:1">
      <c r="A5489">
        <v>3488</v>
      </c>
    </row>
    <row r="5490" spans="1:1">
      <c r="A5490">
        <v>3489</v>
      </c>
    </row>
    <row r="5491" spans="1:1">
      <c r="A5491">
        <v>3490</v>
      </c>
    </row>
    <row r="5492" spans="1:1">
      <c r="A5492">
        <v>3491</v>
      </c>
    </row>
    <row r="5493" spans="1:1">
      <c r="A5493">
        <v>3492</v>
      </c>
    </row>
    <row r="5494" spans="1:1">
      <c r="A5494">
        <v>3493</v>
      </c>
    </row>
    <row r="5495" spans="1:1">
      <c r="A5495">
        <v>3494</v>
      </c>
    </row>
    <row r="5496" spans="1:1">
      <c r="A5496">
        <v>3495</v>
      </c>
    </row>
    <row r="5497" spans="1:1">
      <c r="A5497">
        <v>3496</v>
      </c>
    </row>
    <row r="5498" spans="1:1">
      <c r="A5498">
        <v>3497</v>
      </c>
    </row>
    <row r="5499" spans="1:1">
      <c r="A5499">
        <v>3498</v>
      </c>
    </row>
    <row r="5500" spans="1:1">
      <c r="A5500">
        <v>3499</v>
      </c>
    </row>
    <row r="5501" spans="1:1">
      <c r="A5501">
        <v>3500</v>
      </c>
    </row>
    <row r="5502" spans="1:1">
      <c r="A5502">
        <v>3501</v>
      </c>
    </row>
    <row r="5503" spans="1:1">
      <c r="A5503">
        <v>3502</v>
      </c>
    </row>
    <row r="5504" spans="1:1">
      <c r="A5504">
        <v>3503</v>
      </c>
    </row>
    <row r="5505" spans="1:1">
      <c r="A5505">
        <v>3504</v>
      </c>
    </row>
    <row r="5506" spans="1:1">
      <c r="A5506">
        <v>3505</v>
      </c>
    </row>
    <row r="5507" spans="1:1">
      <c r="A5507">
        <v>3506</v>
      </c>
    </row>
    <row r="5508" spans="1:1">
      <c r="A5508">
        <v>3507</v>
      </c>
    </row>
    <row r="5509" spans="1:1">
      <c r="A5509">
        <v>3508</v>
      </c>
    </row>
    <row r="5510" spans="1:1">
      <c r="A5510">
        <v>3509</v>
      </c>
    </row>
    <row r="5511" spans="1:1">
      <c r="A5511">
        <v>3510</v>
      </c>
    </row>
    <row r="5512" spans="1:1">
      <c r="A5512">
        <v>3511</v>
      </c>
    </row>
    <row r="5513" spans="1:1">
      <c r="A5513">
        <v>3512</v>
      </c>
    </row>
    <row r="5514" spans="1:1">
      <c r="A5514">
        <v>3513</v>
      </c>
    </row>
    <row r="5515" spans="1:1">
      <c r="A5515">
        <v>3514</v>
      </c>
    </row>
    <row r="5516" spans="1:1">
      <c r="A5516">
        <v>3515</v>
      </c>
    </row>
    <row r="5517" spans="1:1">
      <c r="A5517">
        <v>3516</v>
      </c>
    </row>
    <row r="5518" spans="1:1">
      <c r="A5518">
        <v>3517</v>
      </c>
    </row>
    <row r="5519" spans="1:1">
      <c r="A5519">
        <v>3518</v>
      </c>
    </row>
    <row r="5520" spans="1:1">
      <c r="A5520">
        <v>3519</v>
      </c>
    </row>
    <row r="5521" spans="1:1">
      <c r="A5521">
        <v>3520</v>
      </c>
    </row>
    <row r="5522" spans="1:1">
      <c r="A5522">
        <v>3521</v>
      </c>
    </row>
    <row r="5523" spans="1:1">
      <c r="A5523">
        <v>3522</v>
      </c>
    </row>
    <row r="5524" spans="1:1">
      <c r="A5524">
        <v>3523</v>
      </c>
    </row>
    <row r="5525" spans="1:1">
      <c r="A5525">
        <v>3524</v>
      </c>
    </row>
    <row r="5526" spans="1:1">
      <c r="A5526">
        <v>3525</v>
      </c>
    </row>
    <row r="5527" spans="1:1">
      <c r="A5527">
        <v>3526</v>
      </c>
    </row>
    <row r="5528" spans="1:1">
      <c r="A5528">
        <v>3527</v>
      </c>
    </row>
    <row r="5529" spans="1:1">
      <c r="A5529">
        <v>3528</v>
      </c>
    </row>
    <row r="5530" spans="1:1">
      <c r="A5530">
        <v>3529</v>
      </c>
    </row>
    <row r="5531" spans="1:1">
      <c r="A5531">
        <v>3530</v>
      </c>
    </row>
    <row r="5532" spans="1:1">
      <c r="A5532">
        <v>3531</v>
      </c>
    </row>
    <row r="5533" spans="1:1">
      <c r="A5533">
        <v>3532</v>
      </c>
    </row>
    <row r="5534" spans="1:1">
      <c r="A5534">
        <v>3533</v>
      </c>
    </row>
    <row r="5535" spans="1:1">
      <c r="A5535">
        <v>3534</v>
      </c>
    </row>
    <row r="5536" spans="1:1">
      <c r="A5536">
        <v>3535</v>
      </c>
    </row>
    <row r="5537" spans="1:1">
      <c r="A5537">
        <v>3536</v>
      </c>
    </row>
    <row r="5538" spans="1:1">
      <c r="A5538">
        <v>3537</v>
      </c>
    </row>
    <row r="5539" spans="1:1">
      <c r="A5539">
        <v>3538</v>
      </c>
    </row>
    <row r="5540" spans="1:1">
      <c r="A5540">
        <v>3539</v>
      </c>
    </row>
    <row r="5541" spans="1:1">
      <c r="A5541">
        <v>3540</v>
      </c>
    </row>
    <row r="5542" spans="1:1">
      <c r="A5542">
        <v>3541</v>
      </c>
    </row>
    <row r="5543" spans="1:1">
      <c r="A5543">
        <v>3542</v>
      </c>
    </row>
    <row r="5544" spans="1:1">
      <c r="A5544">
        <v>3543</v>
      </c>
    </row>
    <row r="5545" spans="1:1">
      <c r="A5545">
        <v>3544</v>
      </c>
    </row>
    <row r="5546" spans="1:1">
      <c r="A5546">
        <v>3545</v>
      </c>
    </row>
    <row r="5547" spans="1:1">
      <c r="A5547">
        <v>3546</v>
      </c>
    </row>
    <row r="5548" spans="1:1">
      <c r="A5548">
        <v>3547</v>
      </c>
    </row>
    <row r="5549" spans="1:1">
      <c r="A5549">
        <v>3548</v>
      </c>
    </row>
    <row r="5550" spans="1:1">
      <c r="A5550">
        <v>3549</v>
      </c>
    </row>
    <row r="5551" spans="1:1">
      <c r="A5551">
        <v>3550</v>
      </c>
    </row>
    <row r="5552" spans="1:1">
      <c r="A5552">
        <v>3551</v>
      </c>
    </row>
    <row r="5553" spans="1:1">
      <c r="A5553">
        <v>3552</v>
      </c>
    </row>
    <row r="5554" spans="1:1">
      <c r="A5554">
        <v>3553</v>
      </c>
    </row>
    <row r="5555" spans="1:1">
      <c r="A5555">
        <v>3554</v>
      </c>
    </row>
    <row r="5556" spans="1:1">
      <c r="A5556">
        <v>3555</v>
      </c>
    </row>
    <row r="5557" spans="1:1">
      <c r="A5557">
        <v>3556</v>
      </c>
    </row>
    <row r="5558" spans="1:1">
      <c r="A5558">
        <v>3557</v>
      </c>
    </row>
    <row r="5559" spans="1:1">
      <c r="A5559">
        <v>3558</v>
      </c>
    </row>
    <row r="5560" spans="1:1">
      <c r="A5560">
        <v>3559</v>
      </c>
    </row>
    <row r="5561" spans="1:1">
      <c r="A5561">
        <v>3560</v>
      </c>
    </row>
    <row r="5562" spans="1:1">
      <c r="A5562">
        <v>3561</v>
      </c>
    </row>
    <row r="5563" spans="1:1">
      <c r="A5563">
        <v>3562</v>
      </c>
    </row>
    <row r="5564" spans="1:1">
      <c r="A5564">
        <v>3563</v>
      </c>
    </row>
    <row r="5565" spans="1:1">
      <c r="A5565">
        <v>3564</v>
      </c>
    </row>
    <row r="5566" spans="1:1">
      <c r="A5566">
        <v>3565</v>
      </c>
    </row>
    <row r="5567" spans="1:1">
      <c r="A5567">
        <v>3566</v>
      </c>
    </row>
    <row r="5568" spans="1:1">
      <c r="A5568">
        <v>3567</v>
      </c>
    </row>
    <row r="5569" spans="1:1">
      <c r="A5569">
        <v>3568</v>
      </c>
    </row>
    <row r="5570" spans="1:1">
      <c r="A5570">
        <v>3569</v>
      </c>
    </row>
    <row r="5571" spans="1:1">
      <c r="A5571">
        <v>3570</v>
      </c>
    </row>
    <row r="5572" spans="1:1">
      <c r="A5572">
        <v>3571</v>
      </c>
    </row>
    <row r="5573" spans="1:1">
      <c r="A5573">
        <v>3572</v>
      </c>
    </row>
    <row r="5574" spans="1:1">
      <c r="A5574">
        <v>3573</v>
      </c>
    </row>
    <row r="5575" spans="1:1">
      <c r="A5575">
        <v>3574</v>
      </c>
    </row>
    <row r="5576" spans="1:1">
      <c r="A5576">
        <v>3575</v>
      </c>
    </row>
    <row r="5577" spans="1:1">
      <c r="A5577">
        <v>3576</v>
      </c>
    </row>
    <row r="5578" spans="1:1">
      <c r="A5578">
        <v>3577</v>
      </c>
    </row>
    <row r="5579" spans="1:1">
      <c r="A5579">
        <v>3578</v>
      </c>
    </row>
    <row r="5580" spans="1:1">
      <c r="A5580">
        <v>3579</v>
      </c>
    </row>
    <row r="5581" spans="1:1">
      <c r="A5581">
        <v>3580</v>
      </c>
    </row>
    <row r="5582" spans="1:1">
      <c r="A5582">
        <v>3581</v>
      </c>
    </row>
    <row r="5583" spans="1:1">
      <c r="A5583">
        <v>3582</v>
      </c>
    </row>
    <row r="5584" spans="1:1">
      <c r="A5584">
        <v>3583</v>
      </c>
    </row>
    <row r="5585" spans="1:1">
      <c r="A5585">
        <v>3584</v>
      </c>
    </row>
    <row r="5586" spans="1:1">
      <c r="A5586">
        <v>3585</v>
      </c>
    </row>
    <row r="5587" spans="1:1">
      <c r="A5587">
        <v>3586</v>
      </c>
    </row>
    <row r="5588" spans="1:1">
      <c r="A5588">
        <v>3587</v>
      </c>
    </row>
    <row r="5589" spans="1:1">
      <c r="A5589">
        <v>3588</v>
      </c>
    </row>
    <row r="5590" spans="1:1">
      <c r="A5590">
        <v>3589</v>
      </c>
    </row>
    <row r="5591" spans="1:1">
      <c r="A5591">
        <v>3590</v>
      </c>
    </row>
    <row r="5592" spans="1:1">
      <c r="A5592">
        <v>3591</v>
      </c>
    </row>
    <row r="5593" spans="1:1">
      <c r="A5593">
        <v>3592</v>
      </c>
    </row>
    <row r="5594" spans="1:1">
      <c r="A5594">
        <v>3593</v>
      </c>
    </row>
    <row r="5595" spans="1:1">
      <c r="A5595">
        <v>3594</v>
      </c>
    </row>
    <row r="5596" spans="1:1">
      <c r="A5596">
        <v>3595</v>
      </c>
    </row>
    <row r="5597" spans="1:1">
      <c r="A5597">
        <v>3596</v>
      </c>
    </row>
    <row r="5598" spans="1:1">
      <c r="A5598">
        <v>3597</v>
      </c>
    </row>
    <row r="5599" spans="1:1">
      <c r="A5599">
        <v>3598</v>
      </c>
    </row>
    <row r="5600" spans="1:1">
      <c r="A5600">
        <v>3599</v>
      </c>
    </row>
    <row r="5601" spans="1:1">
      <c r="A5601">
        <v>3600</v>
      </c>
    </row>
    <row r="5602" spans="1:1">
      <c r="A5602">
        <v>3601</v>
      </c>
    </row>
    <row r="5603" spans="1:1">
      <c r="A5603">
        <v>3602</v>
      </c>
    </row>
    <row r="5604" spans="1:1">
      <c r="A5604">
        <v>3603</v>
      </c>
    </row>
    <row r="5605" spans="1:1">
      <c r="A5605">
        <v>3604</v>
      </c>
    </row>
    <row r="5606" spans="1:1">
      <c r="A5606">
        <v>3605</v>
      </c>
    </row>
    <row r="5607" spans="1:1">
      <c r="A5607">
        <v>3606</v>
      </c>
    </row>
    <row r="5608" spans="1:1">
      <c r="A5608">
        <v>3607</v>
      </c>
    </row>
    <row r="5609" spans="1:1">
      <c r="A5609">
        <v>3608</v>
      </c>
    </row>
    <row r="5610" spans="1:1">
      <c r="A5610">
        <v>3609</v>
      </c>
    </row>
    <row r="5611" spans="1:1">
      <c r="A5611">
        <v>3610</v>
      </c>
    </row>
    <row r="5612" spans="1:1">
      <c r="A5612">
        <v>3611</v>
      </c>
    </row>
    <row r="5613" spans="1:1">
      <c r="A5613">
        <v>3612</v>
      </c>
    </row>
    <row r="5614" spans="1:1">
      <c r="A5614">
        <v>3613</v>
      </c>
    </row>
    <row r="5615" spans="1:1">
      <c r="A5615">
        <v>3614</v>
      </c>
    </row>
    <row r="5616" spans="1:1">
      <c r="A5616">
        <v>3615</v>
      </c>
    </row>
    <row r="5617" spans="1:1">
      <c r="A5617">
        <v>3616</v>
      </c>
    </row>
    <row r="5618" spans="1:1">
      <c r="A5618">
        <v>3617</v>
      </c>
    </row>
    <row r="5619" spans="1:1">
      <c r="A5619">
        <v>3618</v>
      </c>
    </row>
    <row r="5620" spans="1:1">
      <c r="A5620">
        <v>3619</v>
      </c>
    </row>
    <row r="5621" spans="1:1">
      <c r="A5621">
        <v>3620</v>
      </c>
    </row>
    <row r="5622" spans="1:1">
      <c r="A5622">
        <v>3621</v>
      </c>
    </row>
    <row r="5623" spans="1:1">
      <c r="A5623">
        <v>3622</v>
      </c>
    </row>
    <row r="5624" spans="1:1">
      <c r="A5624">
        <v>3623</v>
      </c>
    </row>
    <row r="5625" spans="1:1">
      <c r="A5625">
        <v>3624</v>
      </c>
    </row>
    <row r="5626" spans="1:1">
      <c r="A5626">
        <v>3625</v>
      </c>
    </row>
    <row r="5627" spans="1:1">
      <c r="A5627">
        <v>3626</v>
      </c>
    </row>
    <row r="5628" spans="1:1">
      <c r="A5628">
        <v>3627</v>
      </c>
    </row>
    <row r="5629" spans="1:1">
      <c r="A5629">
        <v>3628</v>
      </c>
    </row>
    <row r="5630" spans="1:1">
      <c r="A5630">
        <v>3629</v>
      </c>
    </row>
    <row r="5631" spans="1:1">
      <c r="A5631">
        <v>3630</v>
      </c>
    </row>
    <row r="5632" spans="1:1">
      <c r="A5632">
        <v>3631</v>
      </c>
    </row>
    <row r="5633" spans="1:1">
      <c r="A5633">
        <v>3632</v>
      </c>
    </row>
    <row r="5634" spans="1:1">
      <c r="A5634">
        <v>3633</v>
      </c>
    </row>
    <row r="5635" spans="1:1">
      <c r="A5635">
        <v>3634</v>
      </c>
    </row>
    <row r="5636" spans="1:1">
      <c r="A5636">
        <v>3635</v>
      </c>
    </row>
    <row r="5637" spans="1:1">
      <c r="A5637">
        <v>3636</v>
      </c>
    </row>
    <row r="5638" spans="1:1">
      <c r="A5638">
        <v>3637</v>
      </c>
    </row>
    <row r="5639" spans="1:1">
      <c r="A5639">
        <v>3638</v>
      </c>
    </row>
    <row r="5640" spans="1:1">
      <c r="A5640">
        <v>3639</v>
      </c>
    </row>
    <row r="5641" spans="1:1">
      <c r="A5641">
        <v>3640</v>
      </c>
    </row>
    <row r="5642" spans="1:1">
      <c r="A5642">
        <v>3641</v>
      </c>
    </row>
    <row r="5643" spans="1:1">
      <c r="A5643">
        <v>3642</v>
      </c>
    </row>
    <row r="5644" spans="1:1">
      <c r="A5644">
        <v>3643</v>
      </c>
    </row>
    <row r="5645" spans="1:1">
      <c r="A5645">
        <v>3644</v>
      </c>
    </row>
    <row r="5646" spans="1:1">
      <c r="A5646">
        <v>3645</v>
      </c>
    </row>
    <row r="5647" spans="1:1">
      <c r="A5647">
        <v>3646</v>
      </c>
    </row>
    <row r="5648" spans="1:1">
      <c r="A5648">
        <v>3647</v>
      </c>
    </row>
    <row r="5649" spans="1:1">
      <c r="A5649">
        <v>3648</v>
      </c>
    </row>
    <row r="5650" spans="1:1">
      <c r="A5650">
        <v>3649</v>
      </c>
    </row>
    <row r="5651" spans="1:1">
      <c r="A5651">
        <v>3650</v>
      </c>
    </row>
    <row r="5652" spans="1:1">
      <c r="A5652">
        <v>3651</v>
      </c>
    </row>
    <row r="5653" spans="1:1">
      <c r="A5653">
        <v>3652</v>
      </c>
    </row>
    <row r="5654" spans="1:1">
      <c r="A5654">
        <v>3653</v>
      </c>
    </row>
    <row r="5655" spans="1:1">
      <c r="A5655">
        <v>3654</v>
      </c>
    </row>
    <row r="5656" spans="1:1">
      <c r="A5656">
        <v>3655</v>
      </c>
    </row>
    <row r="5657" spans="1:1">
      <c r="A5657">
        <v>3656</v>
      </c>
    </row>
    <row r="5658" spans="1:1">
      <c r="A5658">
        <v>3657</v>
      </c>
    </row>
    <row r="5659" spans="1:1">
      <c r="A5659">
        <v>3658</v>
      </c>
    </row>
    <row r="5660" spans="1:1">
      <c r="A5660">
        <v>3659</v>
      </c>
    </row>
    <row r="5661" spans="1:1">
      <c r="A5661">
        <v>3660</v>
      </c>
    </row>
    <row r="5662" spans="1:1">
      <c r="A5662">
        <v>3661</v>
      </c>
    </row>
    <row r="5663" spans="1:1">
      <c r="A5663">
        <v>3662</v>
      </c>
    </row>
    <row r="5664" spans="1:1">
      <c r="A5664">
        <v>3663</v>
      </c>
    </row>
    <row r="5665" spans="1:1">
      <c r="A5665">
        <v>3664</v>
      </c>
    </row>
    <row r="5666" spans="1:1">
      <c r="A5666">
        <v>3665</v>
      </c>
    </row>
    <row r="5667" spans="1:1">
      <c r="A5667">
        <v>3666</v>
      </c>
    </row>
    <row r="5668" spans="1:1">
      <c r="A5668">
        <v>3667</v>
      </c>
    </row>
    <row r="5669" spans="1:1">
      <c r="A5669">
        <v>3668</v>
      </c>
    </row>
    <row r="5670" spans="1:1">
      <c r="A5670">
        <v>3669</v>
      </c>
    </row>
    <row r="5671" spans="1:1">
      <c r="A5671">
        <v>3670</v>
      </c>
    </row>
    <row r="5672" spans="1:1">
      <c r="A5672">
        <v>3671</v>
      </c>
    </row>
    <row r="5673" spans="1:1">
      <c r="A5673">
        <v>3672</v>
      </c>
    </row>
    <row r="5674" spans="1:1">
      <c r="A5674">
        <v>3673</v>
      </c>
    </row>
    <row r="5675" spans="1:1">
      <c r="A5675">
        <v>3674</v>
      </c>
    </row>
    <row r="5676" spans="1:1">
      <c r="A5676">
        <v>3675</v>
      </c>
    </row>
    <row r="5677" spans="1:1">
      <c r="A5677">
        <v>3676</v>
      </c>
    </row>
    <row r="5678" spans="1:1">
      <c r="A5678">
        <v>3677</v>
      </c>
    </row>
    <row r="5679" spans="1:1">
      <c r="A5679">
        <v>3678</v>
      </c>
    </row>
    <row r="5680" spans="1:1">
      <c r="A5680">
        <v>3679</v>
      </c>
    </row>
    <row r="5681" spans="1:1">
      <c r="A5681">
        <v>3680</v>
      </c>
    </row>
    <row r="5682" spans="1:1">
      <c r="A5682">
        <v>3681</v>
      </c>
    </row>
    <row r="5683" spans="1:1">
      <c r="A5683">
        <v>3682</v>
      </c>
    </row>
    <row r="5684" spans="1:1">
      <c r="A5684">
        <v>3683</v>
      </c>
    </row>
    <row r="5685" spans="1:1">
      <c r="A5685">
        <v>3684</v>
      </c>
    </row>
    <row r="5686" spans="1:1">
      <c r="A5686">
        <v>3685</v>
      </c>
    </row>
    <row r="5687" spans="1:1">
      <c r="A5687">
        <v>3686</v>
      </c>
    </row>
    <row r="5688" spans="1:1">
      <c r="A5688">
        <v>3687</v>
      </c>
    </row>
    <row r="5689" spans="1:1">
      <c r="A5689">
        <v>3688</v>
      </c>
    </row>
    <row r="5690" spans="1:1">
      <c r="A5690">
        <v>3689</v>
      </c>
    </row>
    <row r="5691" spans="1:1">
      <c r="A5691">
        <v>3690</v>
      </c>
    </row>
    <row r="5692" spans="1:1">
      <c r="A5692">
        <v>3691</v>
      </c>
    </row>
    <row r="5693" spans="1:1">
      <c r="A5693">
        <v>3692</v>
      </c>
    </row>
    <row r="5694" spans="1:1">
      <c r="A5694">
        <v>3693</v>
      </c>
    </row>
    <row r="5695" spans="1:1">
      <c r="A5695">
        <v>3694</v>
      </c>
    </row>
    <row r="5696" spans="1:1">
      <c r="A5696">
        <v>3695</v>
      </c>
    </row>
    <row r="5697" spans="1:1">
      <c r="A5697">
        <v>3696</v>
      </c>
    </row>
    <row r="5698" spans="1:1">
      <c r="A5698">
        <v>3697</v>
      </c>
    </row>
    <row r="5699" spans="1:1">
      <c r="A5699">
        <v>3698</v>
      </c>
    </row>
    <row r="5700" spans="1:1">
      <c r="A5700">
        <v>3699</v>
      </c>
    </row>
    <row r="5701" spans="1:1">
      <c r="A5701">
        <v>3700</v>
      </c>
    </row>
    <row r="5702" spans="1:1">
      <c r="A5702">
        <v>3701</v>
      </c>
    </row>
    <row r="5703" spans="1:1">
      <c r="A5703">
        <v>3702</v>
      </c>
    </row>
    <row r="5704" spans="1:1">
      <c r="A5704">
        <v>3703</v>
      </c>
    </row>
    <row r="5705" spans="1:1">
      <c r="A5705">
        <v>3704</v>
      </c>
    </row>
    <row r="5706" spans="1:1">
      <c r="A5706">
        <v>3705</v>
      </c>
    </row>
    <row r="5707" spans="1:1">
      <c r="A5707">
        <v>3706</v>
      </c>
    </row>
    <row r="5708" spans="1:1">
      <c r="A5708">
        <v>3707</v>
      </c>
    </row>
    <row r="5709" spans="1:1">
      <c r="A5709">
        <v>3708</v>
      </c>
    </row>
    <row r="5710" spans="1:1">
      <c r="A5710">
        <v>3709</v>
      </c>
    </row>
    <row r="5711" spans="1:1">
      <c r="A5711">
        <v>3710</v>
      </c>
    </row>
    <row r="5712" spans="1:1">
      <c r="A5712">
        <v>3711</v>
      </c>
    </row>
    <row r="5713" spans="1:1">
      <c r="A5713">
        <v>3712</v>
      </c>
    </row>
    <row r="5714" spans="1:1">
      <c r="A5714">
        <v>3713</v>
      </c>
    </row>
    <row r="5715" spans="1:1">
      <c r="A5715">
        <v>3714</v>
      </c>
    </row>
    <row r="5716" spans="1:1">
      <c r="A5716">
        <v>3715</v>
      </c>
    </row>
    <row r="5717" spans="1:1">
      <c r="A5717">
        <v>3716</v>
      </c>
    </row>
    <row r="5718" spans="1:1">
      <c r="A5718">
        <v>3717</v>
      </c>
    </row>
    <row r="5719" spans="1:1">
      <c r="A5719">
        <v>3718</v>
      </c>
    </row>
    <row r="5720" spans="1:1">
      <c r="A5720">
        <v>3719</v>
      </c>
    </row>
    <row r="5721" spans="1:1">
      <c r="A5721">
        <v>3720</v>
      </c>
    </row>
    <row r="5722" spans="1:1">
      <c r="A5722">
        <v>3721</v>
      </c>
    </row>
    <row r="5723" spans="1:1">
      <c r="A5723">
        <v>3722</v>
      </c>
    </row>
    <row r="5724" spans="1:1">
      <c r="A5724">
        <v>3723</v>
      </c>
    </row>
    <row r="5725" spans="1:1">
      <c r="A5725">
        <v>3724</v>
      </c>
    </row>
    <row r="5726" spans="1:1">
      <c r="A5726">
        <v>3725</v>
      </c>
    </row>
    <row r="5727" spans="1:1">
      <c r="A5727">
        <v>3726</v>
      </c>
    </row>
    <row r="5728" spans="1:1">
      <c r="A5728">
        <v>3727</v>
      </c>
    </row>
    <row r="5729" spans="1:1">
      <c r="A5729">
        <v>3728</v>
      </c>
    </row>
    <row r="5730" spans="1:1">
      <c r="A5730">
        <v>3729</v>
      </c>
    </row>
    <row r="5731" spans="1:1">
      <c r="A5731">
        <v>3730</v>
      </c>
    </row>
    <row r="5732" spans="1:1">
      <c r="A5732">
        <v>3731</v>
      </c>
    </row>
    <row r="5733" spans="1:1">
      <c r="A5733">
        <v>3732</v>
      </c>
    </row>
    <row r="5734" spans="1:1">
      <c r="A5734">
        <v>3733</v>
      </c>
    </row>
    <row r="5735" spans="1:1">
      <c r="A5735">
        <v>3734</v>
      </c>
    </row>
    <row r="5736" spans="1:1">
      <c r="A5736">
        <v>3735</v>
      </c>
    </row>
    <row r="5737" spans="1:1">
      <c r="A5737">
        <v>3736</v>
      </c>
    </row>
    <row r="5738" spans="1:1">
      <c r="A5738">
        <v>3737</v>
      </c>
    </row>
    <row r="5739" spans="1:1">
      <c r="A5739">
        <v>3738</v>
      </c>
    </row>
    <row r="5740" spans="1:1">
      <c r="A5740">
        <v>3739</v>
      </c>
    </row>
    <row r="5741" spans="1:1">
      <c r="A5741">
        <v>3740</v>
      </c>
    </row>
    <row r="5742" spans="1:1">
      <c r="A5742">
        <v>3741</v>
      </c>
    </row>
    <row r="5743" spans="1:1">
      <c r="A5743">
        <v>3742</v>
      </c>
    </row>
    <row r="5744" spans="1:1">
      <c r="A5744">
        <v>3743</v>
      </c>
    </row>
    <row r="5745" spans="1:1">
      <c r="A5745">
        <v>3744</v>
      </c>
    </row>
    <row r="5746" spans="1:1">
      <c r="A5746">
        <v>3745</v>
      </c>
    </row>
    <row r="5747" spans="1:1">
      <c r="A5747">
        <v>3746</v>
      </c>
    </row>
    <row r="5748" spans="1:1">
      <c r="A5748">
        <v>3747</v>
      </c>
    </row>
    <row r="5749" spans="1:1">
      <c r="A5749">
        <v>3748</v>
      </c>
    </row>
    <row r="5750" spans="1:1">
      <c r="A5750">
        <v>3749</v>
      </c>
    </row>
    <row r="5751" spans="1:1">
      <c r="A5751">
        <v>3750</v>
      </c>
    </row>
    <row r="5752" spans="1:1">
      <c r="A5752">
        <v>3751</v>
      </c>
    </row>
    <row r="5753" spans="1:1">
      <c r="A5753">
        <v>3752</v>
      </c>
    </row>
    <row r="5754" spans="1:1">
      <c r="A5754">
        <v>3753</v>
      </c>
    </row>
    <row r="5755" spans="1:1">
      <c r="A5755">
        <v>3754</v>
      </c>
    </row>
    <row r="5756" spans="1:1">
      <c r="A5756">
        <v>3755</v>
      </c>
    </row>
    <row r="5757" spans="1:1">
      <c r="A5757">
        <v>3756</v>
      </c>
    </row>
    <row r="5758" spans="1:1">
      <c r="A5758">
        <v>3757</v>
      </c>
    </row>
    <row r="5759" spans="1:1">
      <c r="A5759">
        <v>3758</v>
      </c>
    </row>
    <row r="5760" spans="1:1">
      <c r="A5760">
        <v>3759</v>
      </c>
    </row>
    <row r="5761" spans="1:1">
      <c r="A5761">
        <v>3760</v>
      </c>
    </row>
    <row r="5762" spans="1:1">
      <c r="A5762">
        <v>3761</v>
      </c>
    </row>
    <row r="5763" spans="1:1">
      <c r="A5763">
        <v>3762</v>
      </c>
    </row>
    <row r="5764" spans="1:1">
      <c r="A5764">
        <v>3763</v>
      </c>
    </row>
    <row r="5765" spans="1:1">
      <c r="A5765">
        <v>3764</v>
      </c>
    </row>
    <row r="5766" spans="1:1">
      <c r="A5766">
        <v>3765</v>
      </c>
    </row>
    <row r="5767" spans="1:1">
      <c r="A5767">
        <v>3766</v>
      </c>
    </row>
    <row r="5768" spans="1:1">
      <c r="A5768">
        <v>3767</v>
      </c>
    </row>
    <row r="5769" spans="1:1">
      <c r="A5769">
        <v>3768</v>
      </c>
    </row>
    <row r="5770" spans="1:1">
      <c r="A5770">
        <v>3769</v>
      </c>
    </row>
    <row r="5771" spans="1:1">
      <c r="A5771">
        <v>3770</v>
      </c>
    </row>
    <row r="5772" spans="1:1">
      <c r="A5772">
        <v>3771</v>
      </c>
    </row>
    <row r="5773" spans="1:1">
      <c r="A5773">
        <v>3772</v>
      </c>
    </row>
    <row r="5774" spans="1:1">
      <c r="A5774">
        <v>3773</v>
      </c>
    </row>
    <row r="5775" spans="1:1">
      <c r="A5775">
        <v>3774</v>
      </c>
    </row>
    <row r="5776" spans="1:1">
      <c r="A5776">
        <v>3775</v>
      </c>
    </row>
    <row r="5777" spans="1:1">
      <c r="A5777">
        <v>3776</v>
      </c>
    </row>
    <row r="5778" spans="1:1">
      <c r="A5778">
        <v>3777</v>
      </c>
    </row>
    <row r="5779" spans="1:1">
      <c r="A5779">
        <v>3778</v>
      </c>
    </row>
    <row r="5780" spans="1:1">
      <c r="A5780">
        <v>3779</v>
      </c>
    </row>
    <row r="5781" spans="1:1">
      <c r="A5781">
        <v>3780</v>
      </c>
    </row>
    <row r="5782" spans="1:1">
      <c r="A5782">
        <v>3781</v>
      </c>
    </row>
    <row r="5783" spans="1:1">
      <c r="A5783">
        <v>3782</v>
      </c>
    </row>
    <row r="5784" spans="1:1">
      <c r="A5784">
        <v>3783</v>
      </c>
    </row>
    <row r="5785" spans="1:1">
      <c r="A5785">
        <v>3784</v>
      </c>
    </row>
    <row r="5786" spans="1:1">
      <c r="A5786">
        <v>3785</v>
      </c>
    </row>
    <row r="5787" spans="1:1">
      <c r="A5787">
        <v>3786</v>
      </c>
    </row>
    <row r="5788" spans="1:1">
      <c r="A5788">
        <v>3787</v>
      </c>
    </row>
    <row r="5789" spans="1:1">
      <c r="A5789">
        <v>3788</v>
      </c>
    </row>
    <row r="5790" spans="1:1">
      <c r="A5790">
        <v>3789</v>
      </c>
    </row>
    <row r="5791" spans="1:1">
      <c r="A5791">
        <v>3790</v>
      </c>
    </row>
    <row r="5792" spans="1:1">
      <c r="A5792">
        <v>3791</v>
      </c>
    </row>
    <row r="5793" spans="1:1">
      <c r="A5793">
        <v>3792</v>
      </c>
    </row>
    <row r="5794" spans="1:1">
      <c r="A5794">
        <v>3793</v>
      </c>
    </row>
    <row r="5795" spans="1:1">
      <c r="A5795">
        <v>3794</v>
      </c>
    </row>
    <row r="5796" spans="1:1">
      <c r="A5796">
        <v>3795</v>
      </c>
    </row>
    <row r="5797" spans="1:1">
      <c r="A5797">
        <v>3796</v>
      </c>
    </row>
    <row r="5798" spans="1:1">
      <c r="A5798">
        <v>3797</v>
      </c>
    </row>
    <row r="5799" spans="1:1">
      <c r="A5799">
        <v>3798</v>
      </c>
    </row>
    <row r="5800" spans="1:1">
      <c r="A5800">
        <v>3799</v>
      </c>
    </row>
    <row r="5801" spans="1:1">
      <c r="A5801">
        <v>3800</v>
      </c>
    </row>
    <row r="5802" spans="1:1">
      <c r="A5802">
        <v>3801</v>
      </c>
    </row>
    <row r="5803" spans="1:1">
      <c r="A5803">
        <v>3802</v>
      </c>
    </row>
    <row r="5804" spans="1:1">
      <c r="A5804">
        <v>3803</v>
      </c>
    </row>
    <row r="5805" spans="1:1">
      <c r="A5805">
        <v>3804</v>
      </c>
    </row>
    <row r="5806" spans="1:1">
      <c r="A5806">
        <v>3805</v>
      </c>
    </row>
    <row r="5807" spans="1:1">
      <c r="A5807">
        <v>3806</v>
      </c>
    </row>
    <row r="5808" spans="1:1">
      <c r="A5808">
        <v>3807</v>
      </c>
    </row>
    <row r="5809" spans="1:1">
      <c r="A5809">
        <v>3808</v>
      </c>
    </row>
    <row r="5810" spans="1:1">
      <c r="A5810">
        <v>3809</v>
      </c>
    </row>
    <row r="5811" spans="1:1">
      <c r="A5811">
        <v>3810</v>
      </c>
    </row>
    <row r="5812" spans="1:1">
      <c r="A5812">
        <v>3811</v>
      </c>
    </row>
    <row r="5813" spans="1:1">
      <c r="A5813">
        <v>3812</v>
      </c>
    </row>
    <row r="5814" spans="1:1">
      <c r="A5814">
        <v>3813</v>
      </c>
    </row>
    <row r="5815" spans="1:1">
      <c r="A5815">
        <v>3814</v>
      </c>
    </row>
    <row r="5816" spans="1:1">
      <c r="A5816">
        <v>3815</v>
      </c>
    </row>
    <row r="5817" spans="1:1">
      <c r="A5817">
        <v>3816</v>
      </c>
    </row>
    <row r="5818" spans="1:1">
      <c r="A5818">
        <v>3817</v>
      </c>
    </row>
    <row r="5819" spans="1:1">
      <c r="A5819">
        <v>3818</v>
      </c>
    </row>
    <row r="5820" spans="1:1">
      <c r="A5820">
        <v>3819</v>
      </c>
    </row>
    <row r="5821" spans="1:1">
      <c r="A5821">
        <v>3820</v>
      </c>
    </row>
    <row r="5822" spans="1:1">
      <c r="A5822">
        <v>3821</v>
      </c>
    </row>
    <row r="5823" spans="1:1">
      <c r="A5823">
        <v>3822</v>
      </c>
    </row>
    <row r="5824" spans="1:1">
      <c r="A5824">
        <v>3823</v>
      </c>
    </row>
    <row r="5825" spans="1:1">
      <c r="A5825">
        <v>3824</v>
      </c>
    </row>
    <row r="5826" spans="1:1">
      <c r="A5826">
        <v>3825</v>
      </c>
    </row>
    <row r="5827" spans="1:1">
      <c r="A5827">
        <v>3826</v>
      </c>
    </row>
    <row r="5828" spans="1:1">
      <c r="A5828">
        <v>3827</v>
      </c>
    </row>
    <row r="5829" spans="1:1">
      <c r="A5829">
        <v>3828</v>
      </c>
    </row>
    <row r="5830" spans="1:1">
      <c r="A5830">
        <v>3829</v>
      </c>
    </row>
    <row r="5831" spans="1:1">
      <c r="A5831">
        <v>3830</v>
      </c>
    </row>
    <row r="5832" spans="1:1">
      <c r="A5832">
        <v>3831</v>
      </c>
    </row>
    <row r="5833" spans="1:1">
      <c r="A5833">
        <v>3832</v>
      </c>
    </row>
    <row r="5834" spans="1:1">
      <c r="A5834">
        <v>3833</v>
      </c>
    </row>
    <row r="5835" spans="1:1">
      <c r="A5835">
        <v>3834</v>
      </c>
    </row>
    <row r="5836" spans="1:1">
      <c r="A5836">
        <v>3835</v>
      </c>
    </row>
    <row r="5837" spans="1:1">
      <c r="A5837">
        <v>3836</v>
      </c>
    </row>
    <row r="5838" spans="1:1">
      <c r="A5838">
        <v>3837</v>
      </c>
    </row>
    <row r="5839" spans="1:1">
      <c r="A5839">
        <v>3838</v>
      </c>
    </row>
    <row r="5840" spans="1:1">
      <c r="A5840">
        <v>3839</v>
      </c>
    </row>
    <row r="5841" spans="1:1">
      <c r="A5841">
        <v>3840</v>
      </c>
    </row>
    <row r="5842" spans="1:1">
      <c r="A5842">
        <v>3841</v>
      </c>
    </row>
    <row r="5843" spans="1:1">
      <c r="A5843">
        <v>3842</v>
      </c>
    </row>
    <row r="5844" spans="1:1">
      <c r="A5844">
        <v>3843</v>
      </c>
    </row>
    <row r="5845" spans="1:1">
      <c r="A5845">
        <v>3844</v>
      </c>
    </row>
    <row r="5846" spans="1:1">
      <c r="A5846">
        <v>3845</v>
      </c>
    </row>
    <row r="5847" spans="1:1">
      <c r="A5847">
        <v>3846</v>
      </c>
    </row>
    <row r="5848" spans="1:1">
      <c r="A5848">
        <v>3847</v>
      </c>
    </row>
    <row r="5849" spans="1:1">
      <c r="A5849">
        <v>3848</v>
      </c>
    </row>
    <row r="5850" spans="1:1">
      <c r="A5850">
        <v>3849</v>
      </c>
    </row>
    <row r="5851" spans="1:1">
      <c r="A5851">
        <v>3850</v>
      </c>
    </row>
    <row r="5852" spans="1:1">
      <c r="A5852">
        <v>3851</v>
      </c>
    </row>
    <row r="5853" spans="1:1">
      <c r="A5853">
        <v>3852</v>
      </c>
    </row>
    <row r="5854" spans="1:1">
      <c r="A5854">
        <v>3853</v>
      </c>
    </row>
    <row r="5855" spans="1:1">
      <c r="A5855">
        <v>3854</v>
      </c>
    </row>
    <row r="5856" spans="1:1">
      <c r="A5856">
        <v>3855</v>
      </c>
    </row>
    <row r="5857" spans="1:1">
      <c r="A5857">
        <v>3856</v>
      </c>
    </row>
    <row r="5858" spans="1:1">
      <c r="A5858">
        <v>3857</v>
      </c>
    </row>
    <row r="5859" spans="1:1">
      <c r="A5859">
        <v>3858</v>
      </c>
    </row>
    <row r="5860" spans="1:1">
      <c r="A5860">
        <v>3859</v>
      </c>
    </row>
    <row r="5861" spans="1:1">
      <c r="A5861">
        <v>3860</v>
      </c>
    </row>
    <row r="5862" spans="1:1">
      <c r="A5862">
        <v>3861</v>
      </c>
    </row>
    <row r="5863" spans="1:1">
      <c r="A5863">
        <v>3862</v>
      </c>
    </row>
    <row r="5864" spans="1:1">
      <c r="A5864">
        <v>3863</v>
      </c>
    </row>
    <row r="5865" spans="1:1">
      <c r="A5865">
        <v>3864</v>
      </c>
    </row>
    <row r="5866" spans="1:1">
      <c r="A5866">
        <v>3865</v>
      </c>
    </row>
    <row r="5867" spans="1:1">
      <c r="A5867">
        <v>3866</v>
      </c>
    </row>
    <row r="5868" spans="1:1">
      <c r="A5868">
        <v>3867</v>
      </c>
    </row>
    <row r="5869" spans="1:1">
      <c r="A5869">
        <v>3868</v>
      </c>
    </row>
    <row r="5870" spans="1:1">
      <c r="A5870">
        <v>3869</v>
      </c>
    </row>
    <row r="5871" spans="1:1">
      <c r="A5871">
        <v>3870</v>
      </c>
    </row>
    <row r="5872" spans="1:1">
      <c r="A5872">
        <v>3871</v>
      </c>
    </row>
    <row r="5873" spans="1:1">
      <c r="A5873">
        <v>3872</v>
      </c>
    </row>
    <row r="5874" spans="1:1">
      <c r="A5874">
        <v>3873</v>
      </c>
    </row>
    <row r="5875" spans="1:1">
      <c r="A5875">
        <v>3874</v>
      </c>
    </row>
    <row r="5876" spans="1:1">
      <c r="A5876">
        <v>3875</v>
      </c>
    </row>
    <row r="5877" spans="1:1">
      <c r="A5877">
        <v>3876</v>
      </c>
    </row>
    <row r="5878" spans="1:1">
      <c r="A5878">
        <v>3877</v>
      </c>
    </row>
    <row r="5879" spans="1:1">
      <c r="A5879">
        <v>3878</v>
      </c>
    </row>
    <row r="5880" spans="1:1">
      <c r="A5880">
        <v>3879</v>
      </c>
    </row>
    <row r="5881" spans="1:1">
      <c r="A5881">
        <v>3880</v>
      </c>
    </row>
    <row r="5882" spans="1:1">
      <c r="A5882">
        <v>3881</v>
      </c>
    </row>
    <row r="5883" spans="1:1">
      <c r="A5883">
        <v>3882</v>
      </c>
    </row>
    <row r="5884" spans="1:1">
      <c r="A5884">
        <v>3883</v>
      </c>
    </row>
    <row r="5885" spans="1:1">
      <c r="A5885">
        <v>3884</v>
      </c>
    </row>
    <row r="5886" spans="1:1">
      <c r="A5886">
        <v>3885</v>
      </c>
    </row>
    <row r="5887" spans="1:1">
      <c r="A5887">
        <v>3886</v>
      </c>
    </row>
    <row r="5888" spans="1:1">
      <c r="A5888">
        <v>3887</v>
      </c>
    </row>
    <row r="5889" spans="1:1">
      <c r="A5889">
        <v>3888</v>
      </c>
    </row>
    <row r="5890" spans="1:1">
      <c r="A5890">
        <v>3889</v>
      </c>
    </row>
    <row r="5891" spans="1:1">
      <c r="A5891">
        <v>3890</v>
      </c>
    </row>
    <row r="5892" spans="1:1">
      <c r="A5892">
        <v>3891</v>
      </c>
    </row>
    <row r="5893" spans="1:1">
      <c r="A5893">
        <v>3892</v>
      </c>
    </row>
    <row r="5894" spans="1:1">
      <c r="A5894">
        <v>3893</v>
      </c>
    </row>
    <row r="5895" spans="1:1">
      <c r="A5895">
        <v>3894</v>
      </c>
    </row>
    <row r="5896" spans="1:1">
      <c r="A5896">
        <v>3895</v>
      </c>
    </row>
    <row r="5897" spans="1:1">
      <c r="A5897">
        <v>3896</v>
      </c>
    </row>
    <row r="5898" spans="1:1">
      <c r="A5898">
        <v>3897</v>
      </c>
    </row>
    <row r="5899" spans="1:1">
      <c r="A5899">
        <v>3898</v>
      </c>
    </row>
    <row r="5900" spans="1:1">
      <c r="A5900">
        <v>3899</v>
      </c>
    </row>
    <row r="5901" spans="1:1">
      <c r="A5901">
        <v>3900</v>
      </c>
    </row>
    <row r="5902" spans="1:1">
      <c r="A5902">
        <v>3901</v>
      </c>
    </row>
    <row r="5903" spans="1:1">
      <c r="A5903">
        <v>3902</v>
      </c>
    </row>
    <row r="5904" spans="1:1">
      <c r="A5904">
        <v>3903</v>
      </c>
    </row>
    <row r="5905" spans="1:1">
      <c r="A5905">
        <v>3904</v>
      </c>
    </row>
    <row r="5906" spans="1:1">
      <c r="A5906">
        <v>3905</v>
      </c>
    </row>
    <row r="5907" spans="1:1">
      <c r="A5907">
        <v>3906</v>
      </c>
    </row>
    <row r="5908" spans="1:1">
      <c r="A5908">
        <v>3907</v>
      </c>
    </row>
    <row r="5909" spans="1:1">
      <c r="A5909">
        <v>3908</v>
      </c>
    </row>
    <row r="5910" spans="1:1">
      <c r="A5910">
        <v>3909</v>
      </c>
    </row>
    <row r="5911" spans="1:1">
      <c r="A5911">
        <v>3910</v>
      </c>
    </row>
    <row r="5912" spans="1:1">
      <c r="A5912">
        <v>3911</v>
      </c>
    </row>
    <row r="5913" spans="1:1">
      <c r="A5913">
        <v>3912</v>
      </c>
    </row>
    <row r="5914" spans="1:1">
      <c r="A5914">
        <v>3913</v>
      </c>
    </row>
    <row r="5915" spans="1:1">
      <c r="A5915">
        <v>3914</v>
      </c>
    </row>
    <row r="5916" spans="1:1">
      <c r="A5916">
        <v>3915</v>
      </c>
    </row>
    <row r="5917" spans="1:1">
      <c r="A5917">
        <v>3916</v>
      </c>
    </row>
    <row r="5918" spans="1:1">
      <c r="A5918">
        <v>3917</v>
      </c>
    </row>
    <row r="5919" spans="1:1">
      <c r="A5919">
        <v>3918</v>
      </c>
    </row>
    <row r="5920" spans="1:1">
      <c r="A5920">
        <v>3919</v>
      </c>
    </row>
    <row r="5921" spans="1:1">
      <c r="A5921">
        <v>3920</v>
      </c>
    </row>
    <row r="5922" spans="1:1">
      <c r="A5922">
        <v>3921</v>
      </c>
    </row>
    <row r="5923" spans="1:1">
      <c r="A5923">
        <v>3922</v>
      </c>
    </row>
    <row r="5924" spans="1:1">
      <c r="A5924">
        <v>3923</v>
      </c>
    </row>
    <row r="5925" spans="1:1">
      <c r="A5925">
        <v>3924</v>
      </c>
    </row>
    <row r="5926" spans="1:1">
      <c r="A5926">
        <v>3925</v>
      </c>
    </row>
    <row r="5927" spans="1:1">
      <c r="A5927">
        <v>3926</v>
      </c>
    </row>
    <row r="5928" spans="1:1">
      <c r="A5928">
        <v>3927</v>
      </c>
    </row>
    <row r="5929" spans="1:1">
      <c r="A5929">
        <v>3928</v>
      </c>
    </row>
    <row r="5930" spans="1:1">
      <c r="A5930">
        <v>3929</v>
      </c>
    </row>
    <row r="5931" spans="1:1">
      <c r="A5931">
        <v>3930</v>
      </c>
    </row>
    <row r="5932" spans="1:1">
      <c r="A5932">
        <v>3931</v>
      </c>
    </row>
    <row r="5933" spans="1:1">
      <c r="A5933">
        <v>3932</v>
      </c>
    </row>
    <row r="5934" spans="1:1">
      <c r="A5934">
        <v>3933</v>
      </c>
    </row>
    <row r="5935" spans="1:1">
      <c r="A5935">
        <v>3934</v>
      </c>
    </row>
    <row r="5936" spans="1:1">
      <c r="A5936">
        <v>3935</v>
      </c>
    </row>
    <row r="5937" spans="1:1">
      <c r="A5937">
        <v>3936</v>
      </c>
    </row>
    <row r="5938" spans="1:1">
      <c r="A5938">
        <v>3937</v>
      </c>
    </row>
    <row r="5939" spans="1:1">
      <c r="A5939">
        <v>3938</v>
      </c>
    </row>
    <row r="5940" spans="1:1">
      <c r="A5940">
        <v>3939</v>
      </c>
    </row>
    <row r="5941" spans="1:1">
      <c r="A5941">
        <v>3940</v>
      </c>
    </row>
    <row r="5942" spans="1:1">
      <c r="A5942">
        <v>3941</v>
      </c>
    </row>
    <row r="5943" spans="1:1">
      <c r="A5943">
        <v>3942</v>
      </c>
    </row>
    <row r="5944" spans="1:1">
      <c r="A5944">
        <v>3943</v>
      </c>
    </row>
    <row r="5945" spans="1:1">
      <c r="A5945">
        <v>3944</v>
      </c>
    </row>
    <row r="5946" spans="1:1">
      <c r="A5946">
        <v>3945</v>
      </c>
    </row>
    <row r="5947" spans="1:1">
      <c r="A5947">
        <v>3946</v>
      </c>
    </row>
    <row r="5948" spans="1:1">
      <c r="A5948">
        <v>3947</v>
      </c>
    </row>
    <row r="5949" spans="1:1">
      <c r="A5949">
        <v>3948</v>
      </c>
    </row>
    <row r="5950" spans="1:1">
      <c r="A5950">
        <v>3949</v>
      </c>
    </row>
    <row r="5951" spans="1:1">
      <c r="A5951">
        <v>3950</v>
      </c>
    </row>
    <row r="5952" spans="1:1">
      <c r="A5952">
        <v>3951</v>
      </c>
    </row>
    <row r="5953" spans="1:1">
      <c r="A5953">
        <v>3952</v>
      </c>
    </row>
    <row r="5954" spans="1:1">
      <c r="A5954">
        <v>3953</v>
      </c>
    </row>
    <row r="5955" spans="1:1">
      <c r="A5955">
        <v>3954</v>
      </c>
    </row>
    <row r="5956" spans="1:1">
      <c r="A5956">
        <v>3955</v>
      </c>
    </row>
    <row r="5957" spans="1:1">
      <c r="A5957">
        <v>3956</v>
      </c>
    </row>
    <row r="5958" spans="1:1">
      <c r="A5958">
        <v>3957</v>
      </c>
    </row>
    <row r="5959" spans="1:1">
      <c r="A5959">
        <v>3958</v>
      </c>
    </row>
    <row r="5960" spans="1:1">
      <c r="A5960">
        <v>3959</v>
      </c>
    </row>
    <row r="5961" spans="1:1">
      <c r="A5961">
        <v>3960</v>
      </c>
    </row>
    <row r="5962" spans="1:1">
      <c r="A5962">
        <v>3961</v>
      </c>
    </row>
    <row r="5963" spans="1:1">
      <c r="A5963">
        <v>3962</v>
      </c>
    </row>
    <row r="5964" spans="1:1">
      <c r="A5964">
        <v>3963</v>
      </c>
    </row>
    <row r="5965" spans="1:1">
      <c r="A5965">
        <v>3964</v>
      </c>
    </row>
    <row r="5966" spans="1:1">
      <c r="A5966">
        <v>3965</v>
      </c>
    </row>
    <row r="5967" spans="1:1">
      <c r="A5967">
        <v>3966</v>
      </c>
    </row>
    <row r="5968" spans="1:1">
      <c r="A5968">
        <v>3967</v>
      </c>
    </row>
    <row r="5969" spans="1:1">
      <c r="A5969">
        <v>3968</v>
      </c>
    </row>
    <row r="5970" spans="1:1">
      <c r="A5970">
        <v>3969</v>
      </c>
    </row>
    <row r="5971" spans="1:1">
      <c r="A5971">
        <v>3970</v>
      </c>
    </row>
    <row r="5972" spans="1:1">
      <c r="A5972">
        <v>3971</v>
      </c>
    </row>
    <row r="5973" spans="1:1">
      <c r="A5973">
        <v>3972</v>
      </c>
    </row>
    <row r="5974" spans="1:1">
      <c r="A5974">
        <v>3973</v>
      </c>
    </row>
    <row r="5975" spans="1:1">
      <c r="A5975">
        <v>3974</v>
      </c>
    </row>
    <row r="5976" spans="1:1">
      <c r="A5976">
        <v>3975</v>
      </c>
    </row>
    <row r="5977" spans="1:1">
      <c r="A5977">
        <v>3976</v>
      </c>
    </row>
    <row r="5978" spans="1:1">
      <c r="A5978">
        <v>3977</v>
      </c>
    </row>
    <row r="5979" spans="1:1">
      <c r="A5979">
        <v>3978</v>
      </c>
    </row>
    <row r="5980" spans="1:1">
      <c r="A5980">
        <v>3979</v>
      </c>
    </row>
    <row r="5981" spans="1:1">
      <c r="A5981">
        <v>3980</v>
      </c>
    </row>
    <row r="5982" spans="1:1">
      <c r="A5982">
        <v>3981</v>
      </c>
    </row>
    <row r="5983" spans="1:1">
      <c r="A5983">
        <v>3982</v>
      </c>
    </row>
    <row r="5984" spans="1:1">
      <c r="A5984">
        <v>3983</v>
      </c>
    </row>
    <row r="5985" spans="1:1">
      <c r="A5985">
        <v>3984</v>
      </c>
    </row>
    <row r="5986" spans="1:1">
      <c r="A5986">
        <v>3985</v>
      </c>
    </row>
    <row r="5987" spans="1:1">
      <c r="A5987">
        <v>3986</v>
      </c>
    </row>
    <row r="5988" spans="1:1">
      <c r="A5988">
        <v>3987</v>
      </c>
    </row>
    <row r="5989" spans="1:1">
      <c r="A5989">
        <v>3988</v>
      </c>
    </row>
    <row r="5990" spans="1:1">
      <c r="A5990">
        <v>3989</v>
      </c>
    </row>
    <row r="5991" spans="1:1">
      <c r="A5991">
        <v>3990</v>
      </c>
    </row>
    <row r="5992" spans="1:1">
      <c r="A5992">
        <v>3991</v>
      </c>
    </row>
    <row r="5993" spans="1:1">
      <c r="A5993">
        <v>3992</v>
      </c>
    </row>
    <row r="5994" spans="1:1">
      <c r="A5994">
        <v>3993</v>
      </c>
    </row>
    <row r="5995" spans="1:1">
      <c r="A5995">
        <v>3994</v>
      </c>
    </row>
    <row r="5996" spans="1:1">
      <c r="A5996">
        <v>3995</v>
      </c>
    </row>
    <row r="5997" spans="1:1">
      <c r="A5997">
        <v>3996</v>
      </c>
    </row>
    <row r="5998" spans="1:1">
      <c r="A5998">
        <v>3997</v>
      </c>
    </row>
    <row r="5999" spans="1:1">
      <c r="A5999">
        <v>3998</v>
      </c>
    </row>
    <row r="6000" spans="1:1">
      <c r="A6000">
        <v>3999</v>
      </c>
    </row>
    <row r="6001" spans="1:1">
      <c r="A6001">
        <v>4000</v>
      </c>
    </row>
    <row r="6002" spans="1:1">
      <c r="A6002">
        <v>4001</v>
      </c>
    </row>
    <row r="6003" spans="1:1">
      <c r="A6003">
        <v>4002</v>
      </c>
    </row>
    <row r="6004" spans="1:1">
      <c r="A6004">
        <v>4003</v>
      </c>
    </row>
    <row r="6005" spans="1:1">
      <c r="A6005">
        <v>4004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B3DB-87B7-4A6A-9511-A1D7F0123D99}">
  <dimension ref="A1:J89"/>
  <sheetViews>
    <sheetView topLeftCell="A61" workbookViewId="0">
      <selection activeCell="E78" sqref="E78"/>
    </sheetView>
  </sheetViews>
  <sheetFormatPr baseColWidth="10" defaultRowHeight="13.8"/>
  <cols>
    <col min="1" max="1" width="20.3984375" bestFit="1" customWidth="1"/>
    <col min="2" max="2" width="18.8984375" bestFit="1" customWidth="1"/>
    <col min="3" max="3" width="18.5" bestFit="1" customWidth="1"/>
    <col min="4" max="4" width="20.3984375" bestFit="1" customWidth="1"/>
    <col min="5" max="5" width="18.8984375" bestFit="1" customWidth="1"/>
    <col min="9" max="9" width="20.3984375" bestFit="1" customWidth="1"/>
    <col min="10" max="10" width="18.8984375" bestFit="1" customWidth="1"/>
  </cols>
  <sheetData>
    <row r="1" spans="1:10">
      <c r="A1" t="s">
        <v>2178</v>
      </c>
      <c r="C1" t="s">
        <v>2160</v>
      </c>
      <c r="E1" t="s">
        <v>2161</v>
      </c>
      <c r="G1" t="s">
        <v>2162</v>
      </c>
      <c r="I1" s="18" t="s">
        <v>2164</v>
      </c>
      <c r="J1" t="s">
        <v>2178</v>
      </c>
    </row>
    <row r="2" spans="1:10">
      <c r="A2" s="16">
        <v>711860.9799999987</v>
      </c>
      <c r="B2" s="17"/>
      <c r="C2" s="16">
        <v>2000</v>
      </c>
      <c r="E2" s="16">
        <v>6941</v>
      </c>
      <c r="G2">
        <f>SUM(Tableau2[Revenue])/COUNTA(Tableau2[Order ID])</f>
        <v>355.93048999999934</v>
      </c>
      <c r="I2" s="19" t="s">
        <v>2176</v>
      </c>
      <c r="J2" s="16">
        <v>74333.25</v>
      </c>
    </row>
    <row r="3" spans="1:10">
      <c r="I3" s="19" t="s">
        <v>2175</v>
      </c>
      <c r="J3" s="16">
        <v>68824.510000000038</v>
      </c>
    </row>
    <row r="4" spans="1:10">
      <c r="H4" t="s">
        <v>2182</v>
      </c>
      <c r="I4" s="19" t="s">
        <v>2174</v>
      </c>
      <c r="J4" s="16">
        <v>85843.080000000016</v>
      </c>
    </row>
    <row r="5" spans="1:10">
      <c r="I5" s="19" t="s">
        <v>2173</v>
      </c>
      <c r="J5" s="16">
        <v>71674.610000000059</v>
      </c>
    </row>
    <row r="6" spans="1:10">
      <c r="A6" t="s">
        <v>2181</v>
      </c>
      <c r="D6" t="s">
        <v>2183</v>
      </c>
      <c r="I6" s="19" t="s">
        <v>2172</v>
      </c>
      <c r="J6" s="16">
        <v>49895.08</v>
      </c>
    </row>
    <row r="7" spans="1:10">
      <c r="A7" s="18" t="s">
        <v>2164</v>
      </c>
      <c r="B7" t="s">
        <v>2178</v>
      </c>
      <c r="D7" s="18" t="s">
        <v>2164</v>
      </c>
      <c r="E7" t="s">
        <v>2178</v>
      </c>
      <c r="I7" s="19" t="s">
        <v>2171</v>
      </c>
      <c r="J7" s="16">
        <v>51131.759999999995</v>
      </c>
    </row>
    <row r="8" spans="1:10">
      <c r="A8" s="19" t="s">
        <v>130</v>
      </c>
      <c r="B8" s="16">
        <v>34042.589999999989</v>
      </c>
      <c r="D8" s="19" t="s">
        <v>29</v>
      </c>
      <c r="E8" s="16">
        <v>30931.439999999991</v>
      </c>
      <c r="I8" s="19" t="s">
        <v>2170</v>
      </c>
      <c r="J8" s="16">
        <v>47550.55</v>
      </c>
    </row>
    <row r="9" spans="1:10">
      <c r="A9" s="19" t="s">
        <v>164</v>
      </c>
      <c r="B9" s="16">
        <v>16886.25</v>
      </c>
      <c r="D9" s="19" t="s">
        <v>48</v>
      </c>
      <c r="E9" s="16">
        <v>105617.31000000003</v>
      </c>
      <c r="I9" s="19" t="s">
        <v>2169</v>
      </c>
      <c r="J9" s="16">
        <v>30506.070000000007</v>
      </c>
    </row>
    <row r="10" spans="1:10">
      <c r="A10" s="19" t="s">
        <v>90</v>
      </c>
      <c r="B10" s="16">
        <v>17755.250000000004</v>
      </c>
      <c r="D10" s="19" t="s">
        <v>39</v>
      </c>
      <c r="E10" s="16">
        <v>98639.760000000038</v>
      </c>
      <c r="I10" s="19" t="s">
        <v>2168</v>
      </c>
      <c r="J10" s="16">
        <v>40702.869999999988</v>
      </c>
    </row>
    <row r="11" spans="1:10">
      <c r="A11" s="19" t="s">
        <v>92</v>
      </c>
      <c r="B11" s="16">
        <v>8007.54</v>
      </c>
      <c r="D11" s="19" t="s">
        <v>54</v>
      </c>
      <c r="E11" s="16">
        <v>155346.47</v>
      </c>
      <c r="I11" s="19" t="s">
        <v>2167</v>
      </c>
      <c r="J11" s="16">
        <v>54260.750000000022</v>
      </c>
    </row>
    <row r="12" spans="1:10">
      <c r="A12" s="19" t="s">
        <v>86</v>
      </c>
      <c r="B12" s="16">
        <v>19410.930000000008</v>
      </c>
      <c r="D12" s="19" t="s">
        <v>24</v>
      </c>
      <c r="E12" s="16">
        <v>250203.27000000008</v>
      </c>
      <c r="I12" s="19" t="s">
        <v>2166</v>
      </c>
      <c r="J12" s="16">
        <v>75196.339999999982</v>
      </c>
    </row>
    <row r="13" spans="1:10">
      <c r="A13" s="19" t="s">
        <v>52</v>
      </c>
      <c r="B13" s="16">
        <v>27089.199999999997</v>
      </c>
      <c r="D13" s="19" t="s">
        <v>18</v>
      </c>
      <c r="E13" s="16">
        <v>71122.730000000054</v>
      </c>
      <c r="I13" s="19" t="s">
        <v>2165</v>
      </c>
      <c r="J13" s="16">
        <v>61942.110000000022</v>
      </c>
    </row>
    <row r="14" spans="1:10">
      <c r="A14" s="19" t="s">
        <v>123</v>
      </c>
      <c r="B14" s="16">
        <v>7220.98</v>
      </c>
      <c r="D14" s="19" t="s">
        <v>2177</v>
      </c>
      <c r="E14" s="16">
        <v>711860.98000000033</v>
      </c>
      <c r="I14" s="19" t="s">
        <v>2177</v>
      </c>
      <c r="J14" s="16">
        <v>711860.9800000001</v>
      </c>
    </row>
    <row r="15" spans="1:10">
      <c r="A15" s="19" t="s">
        <v>2177</v>
      </c>
      <c r="B15" s="16">
        <v>130412.73999999999</v>
      </c>
    </row>
    <row r="19" spans="4:10">
      <c r="D19" t="s">
        <v>2186</v>
      </c>
      <c r="I19" t="s">
        <v>2184</v>
      </c>
    </row>
    <row r="20" spans="4:10">
      <c r="D20" s="18" t="s">
        <v>2164</v>
      </c>
      <c r="E20" t="s">
        <v>2178</v>
      </c>
      <c r="I20" s="18" t="s">
        <v>2164</v>
      </c>
      <c r="J20" t="s">
        <v>2178</v>
      </c>
    </row>
    <row r="21" spans="4:10">
      <c r="D21" s="19" t="s">
        <v>43</v>
      </c>
      <c r="E21" s="16">
        <v>126591.54999999997</v>
      </c>
      <c r="I21" s="19" t="s">
        <v>82</v>
      </c>
      <c r="J21" s="16">
        <v>79832.890000000043</v>
      </c>
    </row>
    <row r="22" spans="4:10">
      <c r="D22" s="19" t="s">
        <v>16</v>
      </c>
      <c r="E22" s="16">
        <v>292926.01999999949</v>
      </c>
      <c r="I22" s="19" t="s">
        <v>55</v>
      </c>
      <c r="J22" s="16">
        <v>56231.499999999993</v>
      </c>
    </row>
    <row r="23" spans="4:10">
      <c r="D23" s="19" t="s">
        <v>34</v>
      </c>
      <c r="E23" s="16">
        <v>220356.56999999989</v>
      </c>
      <c r="I23" s="19" t="s">
        <v>35</v>
      </c>
      <c r="J23" s="16">
        <v>53867.62</v>
      </c>
    </row>
    <row r="24" spans="4:10">
      <c r="D24" s="19" t="s">
        <v>38</v>
      </c>
      <c r="E24" s="16">
        <v>71986.84</v>
      </c>
      <c r="I24" s="19" t="s">
        <v>102</v>
      </c>
      <c r="J24" s="16">
        <v>69434.580000000016</v>
      </c>
    </row>
    <row r="25" spans="4:10">
      <c r="D25" s="19" t="s">
        <v>2177</v>
      </c>
      <c r="E25" s="16">
        <v>711860.9799999994</v>
      </c>
      <c r="I25" s="19" t="s">
        <v>61</v>
      </c>
      <c r="J25" s="16">
        <v>78214.37999999999</v>
      </c>
    </row>
    <row r="26" spans="4:10">
      <c r="I26" s="19" t="s">
        <v>2177</v>
      </c>
      <c r="J26" s="16">
        <v>337580.97000000003</v>
      </c>
    </row>
    <row r="29" spans="4:10">
      <c r="D29" t="s">
        <v>2179</v>
      </c>
      <c r="I29" s="19" t="s">
        <v>2185</v>
      </c>
      <c r="J29" t="s">
        <v>12</v>
      </c>
    </row>
    <row r="30" spans="4:10">
      <c r="D30" t="s">
        <v>2</v>
      </c>
      <c r="E30" t="s">
        <v>2180</v>
      </c>
      <c r="I30" s="19" t="s">
        <v>82</v>
      </c>
      <c r="J30">
        <f>IFERROR(GETPIVOTDATA("Revenue",$I$20,"Product",$I21),0)</f>
        <v>79832.890000000043</v>
      </c>
    </row>
    <row r="31" spans="4:10">
      <c r="D31" s="19" t="s">
        <v>119</v>
      </c>
      <c r="E31" s="16">
        <f>IFERROR(GETPIVOTDATA("Revenue",$A$7,"State",$A8),0)</f>
        <v>34042.589999999989</v>
      </c>
      <c r="I31" s="19" t="s">
        <v>55</v>
      </c>
      <c r="J31">
        <f t="shared" ref="J31:J34" si="0">IFERROR(GETPIVOTDATA("Revenue",$I$20,"Product",$I22),0)</f>
        <v>56231.499999999993</v>
      </c>
    </row>
    <row r="32" spans="4:10">
      <c r="D32" s="19" t="s">
        <v>32</v>
      </c>
      <c r="E32" s="16">
        <f t="shared" ref="E32:E60" si="1">IFERROR(GETPIVOTDATA("Revenue",$A$7,"State",$A9),0)</f>
        <v>16886.25</v>
      </c>
      <c r="I32" s="19" t="s">
        <v>35</v>
      </c>
      <c r="J32">
        <f t="shared" si="0"/>
        <v>53867.62</v>
      </c>
    </row>
    <row r="33" spans="4:10">
      <c r="D33" s="19" t="s">
        <v>63</v>
      </c>
      <c r="E33" s="16">
        <f t="shared" si="1"/>
        <v>17755.250000000004</v>
      </c>
      <c r="I33" s="19" t="s">
        <v>102</v>
      </c>
      <c r="J33">
        <f t="shared" si="0"/>
        <v>69434.580000000016</v>
      </c>
    </row>
    <row r="34" spans="4:10">
      <c r="D34" s="19" t="s">
        <v>101</v>
      </c>
      <c r="E34" s="16">
        <f t="shared" si="1"/>
        <v>8007.54</v>
      </c>
      <c r="I34" s="19" t="s">
        <v>61</v>
      </c>
      <c r="J34">
        <f t="shared" si="0"/>
        <v>78214.37999999999</v>
      </c>
    </row>
    <row r="35" spans="4:10">
      <c r="D35" s="19" t="s">
        <v>441</v>
      </c>
      <c r="E35" s="16">
        <f t="shared" si="1"/>
        <v>19410.930000000008</v>
      </c>
    </row>
    <row r="36" spans="4:10">
      <c r="D36" s="19" t="s">
        <v>57</v>
      </c>
      <c r="E36" s="16">
        <f t="shared" si="1"/>
        <v>27089.199999999997</v>
      </c>
    </row>
    <row r="37" spans="4:10">
      <c r="D37" s="19" t="s">
        <v>116</v>
      </c>
      <c r="E37" s="16">
        <f t="shared" si="1"/>
        <v>7220.98</v>
      </c>
    </row>
    <row r="38" spans="4:10">
      <c r="D38" s="19" t="s">
        <v>171</v>
      </c>
      <c r="E38" s="16">
        <f t="shared" si="1"/>
        <v>0</v>
      </c>
    </row>
    <row r="39" spans="4:10">
      <c r="D39" s="19" t="s">
        <v>130</v>
      </c>
      <c r="E39" s="16">
        <f t="shared" si="1"/>
        <v>0</v>
      </c>
    </row>
    <row r="40" spans="4:10">
      <c r="D40" s="19" t="s">
        <v>164</v>
      </c>
      <c r="E40" s="16">
        <f t="shared" si="1"/>
        <v>0</v>
      </c>
    </row>
    <row r="41" spans="4:10">
      <c r="D41" s="19" t="s">
        <v>178</v>
      </c>
      <c r="E41" s="16">
        <f t="shared" si="1"/>
        <v>0</v>
      </c>
    </row>
    <row r="42" spans="4:10">
      <c r="D42" s="19" t="s">
        <v>134</v>
      </c>
      <c r="E42" s="16">
        <f t="shared" si="1"/>
        <v>0</v>
      </c>
    </row>
    <row r="43" spans="4:10">
      <c r="D43" s="19" t="s">
        <v>125</v>
      </c>
      <c r="E43" s="16">
        <f t="shared" si="1"/>
        <v>0</v>
      </c>
    </row>
    <row r="44" spans="4:10">
      <c r="D44" s="19" t="s">
        <v>90</v>
      </c>
      <c r="E44" s="16">
        <f t="shared" si="1"/>
        <v>0</v>
      </c>
    </row>
    <row r="45" spans="4:10">
      <c r="D45" s="19" t="s">
        <v>92</v>
      </c>
      <c r="E45" s="16">
        <f t="shared" si="1"/>
        <v>0</v>
      </c>
    </row>
    <row r="46" spans="4:10">
      <c r="D46" s="19" t="s">
        <v>86</v>
      </c>
      <c r="E46" s="16">
        <f t="shared" si="1"/>
        <v>0</v>
      </c>
    </row>
    <row r="47" spans="4:10">
      <c r="D47" s="19" t="s">
        <v>160</v>
      </c>
      <c r="E47" s="16">
        <f>IFERROR(GETPIVOTDATA("Revenue",$A$7,"State",$A24),0)</f>
        <v>0</v>
      </c>
    </row>
    <row r="48" spans="4:10">
      <c r="D48" s="19" t="s">
        <v>66</v>
      </c>
      <c r="E48" s="16">
        <f t="shared" si="1"/>
        <v>0</v>
      </c>
    </row>
    <row r="49" spans="4:5">
      <c r="D49" s="19" t="s">
        <v>22</v>
      </c>
      <c r="E49" s="16">
        <f t="shared" si="1"/>
        <v>0</v>
      </c>
    </row>
    <row r="50" spans="4:5">
      <c r="D50" s="19" t="s">
        <v>47</v>
      </c>
      <c r="E50" s="16">
        <f t="shared" si="1"/>
        <v>0</v>
      </c>
    </row>
    <row r="51" spans="4:5">
      <c r="D51" s="19" t="s">
        <v>52</v>
      </c>
      <c r="E51" s="16">
        <f t="shared" si="1"/>
        <v>0</v>
      </c>
    </row>
    <row r="52" spans="4:5">
      <c r="D52" s="19" t="s">
        <v>169</v>
      </c>
      <c r="E52" s="16">
        <f t="shared" si="1"/>
        <v>0</v>
      </c>
    </row>
    <row r="53" spans="4:5">
      <c r="D53" s="19" t="s">
        <v>106</v>
      </c>
      <c r="E53" s="16">
        <f t="shared" si="1"/>
        <v>0</v>
      </c>
    </row>
    <row r="54" spans="4:5">
      <c r="D54" s="19" t="s">
        <v>151</v>
      </c>
      <c r="E54" s="16">
        <f t="shared" si="1"/>
        <v>0</v>
      </c>
    </row>
    <row r="55" spans="4:5">
      <c r="D55" s="19" t="s">
        <v>156</v>
      </c>
      <c r="E55" s="16">
        <f t="shared" si="1"/>
        <v>0</v>
      </c>
    </row>
    <row r="56" spans="4:5">
      <c r="D56" s="19" t="s">
        <v>14</v>
      </c>
      <c r="E56" s="16">
        <f t="shared" si="1"/>
        <v>0</v>
      </c>
    </row>
    <row r="57" spans="4:5">
      <c r="D57" s="19" t="s">
        <v>60</v>
      </c>
      <c r="E57" s="16">
        <f t="shared" si="1"/>
        <v>0</v>
      </c>
    </row>
    <row r="58" spans="4:5">
      <c r="D58" s="19" t="s">
        <v>94</v>
      </c>
      <c r="E58" s="16">
        <f t="shared" si="1"/>
        <v>0</v>
      </c>
    </row>
    <row r="59" spans="4:5">
      <c r="D59" s="19" t="s">
        <v>79</v>
      </c>
      <c r="E59" s="16">
        <f t="shared" si="1"/>
        <v>0</v>
      </c>
    </row>
    <row r="60" spans="4:5">
      <c r="D60" s="19" t="s">
        <v>123</v>
      </c>
      <c r="E60" s="16">
        <f t="shared" si="1"/>
        <v>0</v>
      </c>
    </row>
    <row r="61" spans="4:5">
      <c r="E61" s="16"/>
    </row>
    <row r="62" spans="4:5">
      <c r="E62" s="16"/>
    </row>
    <row r="63" spans="4:5">
      <c r="E63" s="16"/>
    </row>
    <row r="64" spans="4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</sheetData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5C00-9198-4F88-9641-617BB2E08839}">
  <dimension ref="A1:AD77"/>
  <sheetViews>
    <sheetView tabSelected="1" zoomScale="40" zoomScaleNormal="40" workbookViewId="0">
      <selection activeCell="N106" sqref="N106"/>
    </sheetView>
  </sheetViews>
  <sheetFormatPr baseColWidth="10" defaultRowHeight="13.8"/>
  <cols>
    <col min="3" max="3" width="25.5" bestFit="1" customWidth="1"/>
    <col min="9" max="9" width="25.5" bestFit="1" customWidth="1"/>
    <col min="16" max="16" width="23.8984375" bestFit="1" customWidth="1"/>
    <col min="24" max="24" width="17.5" bestFit="1" customWidth="1"/>
  </cols>
  <sheetData>
    <row r="1" spans="1:30" ht="13.8" customHeight="1">
      <c r="A1" s="34" t="s">
        <v>2191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13.8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0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1:30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1:30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9" spans="1:30"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30"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30" spans="2:26" ht="30">
      <c r="B30" s="24"/>
      <c r="C30" s="24"/>
      <c r="D30" s="24"/>
      <c r="E30" s="24"/>
      <c r="H30" s="20"/>
      <c r="I30" s="20"/>
      <c r="J30" s="20"/>
      <c r="K30" s="20"/>
      <c r="O30" s="20"/>
      <c r="P30" s="20"/>
      <c r="Q30" s="20"/>
      <c r="R30" s="20"/>
      <c r="W30" s="27"/>
      <c r="X30" s="27"/>
      <c r="Y30" s="27"/>
      <c r="Z30" s="27"/>
    </row>
    <row r="31" spans="2:26" ht="34.799999999999997">
      <c r="B31" s="24"/>
      <c r="C31" s="25" t="s">
        <v>2187</v>
      </c>
      <c r="D31" s="24"/>
      <c r="E31" s="24"/>
      <c r="H31" s="20"/>
      <c r="I31" s="21" t="s">
        <v>2188</v>
      </c>
      <c r="J31" s="20"/>
      <c r="K31" s="20"/>
      <c r="O31" s="20"/>
      <c r="P31" s="21" t="s">
        <v>2189</v>
      </c>
      <c r="Q31" s="20"/>
      <c r="R31" s="20"/>
      <c r="W31" s="27"/>
      <c r="X31" s="27" t="s">
        <v>2190</v>
      </c>
      <c r="Y31" s="27"/>
      <c r="Z31" s="27"/>
    </row>
    <row r="32" spans="2:26" ht="30">
      <c r="B32" s="24"/>
      <c r="C32" s="24"/>
      <c r="D32" s="24"/>
      <c r="E32" s="24"/>
      <c r="H32" s="20"/>
      <c r="I32" s="20"/>
      <c r="J32" s="20"/>
      <c r="K32" s="20"/>
      <c r="O32" s="20"/>
      <c r="P32" s="20"/>
      <c r="Q32" s="20"/>
      <c r="R32" s="20"/>
      <c r="W32" s="27"/>
      <c r="X32" s="27"/>
      <c r="Y32" s="27"/>
      <c r="Z32" s="27"/>
    </row>
    <row r="33" spans="2:26" ht="30">
      <c r="B33" s="24"/>
      <c r="C33" s="24"/>
      <c r="D33" s="24"/>
      <c r="E33" s="24"/>
      <c r="H33" s="20"/>
      <c r="I33" s="20"/>
      <c r="J33" s="20"/>
      <c r="K33" s="20"/>
      <c r="O33" s="20"/>
      <c r="P33" s="20"/>
      <c r="Q33" s="20"/>
      <c r="R33" s="20"/>
      <c r="W33" s="27"/>
      <c r="X33" s="27"/>
      <c r="Y33" s="27"/>
      <c r="Z33" s="27"/>
    </row>
    <row r="34" spans="2:26" ht="44.4">
      <c r="B34" s="24"/>
      <c r="C34" s="26">
        <f>SUM(Tableau2[Revenue])</f>
        <v>711860.9799999987</v>
      </c>
      <c r="D34" s="24"/>
      <c r="E34" s="24"/>
      <c r="H34" s="20"/>
      <c r="I34" s="22">
        <f>ROWS(Tableau2[Order ID])</f>
        <v>2000</v>
      </c>
      <c r="J34" s="20"/>
      <c r="K34" s="20"/>
      <c r="O34" s="20"/>
      <c r="P34" s="23">
        <f>SUM(Tableau2[Quantity])</f>
        <v>6941</v>
      </c>
      <c r="Q34" s="20"/>
      <c r="R34" s="20"/>
      <c r="W34" s="27"/>
      <c r="X34" s="28" cm="1">
        <f t="array" ref="X34">SUM(Tableau2[Revenue]/COUNTA(Tableau2[Order ID]))</f>
        <v>355.93048999999991</v>
      </c>
      <c r="Y34" s="27"/>
      <c r="Z34" s="27"/>
    </row>
    <row r="35" spans="2:26" ht="30">
      <c r="B35" s="24"/>
      <c r="C35" s="24"/>
      <c r="D35" s="24"/>
      <c r="E35" s="24"/>
      <c r="H35" s="20"/>
      <c r="I35" s="20"/>
      <c r="J35" s="20"/>
      <c r="K35" s="20"/>
      <c r="O35" s="20"/>
      <c r="P35" s="20"/>
      <c r="Q35" s="20"/>
      <c r="R35" s="20"/>
      <c r="W35" s="27"/>
      <c r="X35" s="27"/>
      <c r="Y35" s="27"/>
      <c r="Z35" s="27"/>
    </row>
    <row r="36" spans="2:26" ht="30">
      <c r="B36" s="24"/>
      <c r="C36" s="24"/>
      <c r="D36" s="24"/>
      <c r="E36" s="24"/>
      <c r="H36" s="20"/>
      <c r="I36" s="20"/>
      <c r="J36" s="20"/>
      <c r="K36" s="20"/>
      <c r="O36" s="20"/>
      <c r="P36" s="20"/>
      <c r="Q36" s="20"/>
      <c r="R36" s="20"/>
      <c r="W36" s="27"/>
      <c r="X36" s="27"/>
      <c r="Y36" s="27"/>
      <c r="Z36" s="27"/>
    </row>
    <row r="37" spans="2:26" ht="30">
      <c r="B37" s="24"/>
      <c r="C37" s="24"/>
      <c r="D37" s="24"/>
      <c r="E37" s="24"/>
      <c r="H37" s="20"/>
      <c r="I37" s="20"/>
      <c r="J37" s="20"/>
      <c r="K37" s="20"/>
      <c r="O37" s="20"/>
      <c r="P37" s="20"/>
      <c r="Q37" s="20"/>
      <c r="R37" s="20"/>
      <c r="W37" s="27"/>
      <c r="X37" s="27"/>
      <c r="Y37" s="27"/>
      <c r="Z37" s="27"/>
    </row>
    <row r="38" spans="2:26" ht="30">
      <c r="B38" s="24"/>
      <c r="C38" s="24"/>
      <c r="D38" s="24"/>
      <c r="E38" s="24"/>
      <c r="H38" s="20"/>
      <c r="I38" s="20"/>
      <c r="J38" s="20"/>
      <c r="K38" s="20"/>
      <c r="O38" s="20"/>
      <c r="P38" s="20"/>
      <c r="Q38" s="20"/>
      <c r="R38" s="20"/>
      <c r="W38" s="27"/>
      <c r="X38" s="27"/>
      <c r="Y38" s="27"/>
      <c r="Z38" s="27"/>
    </row>
    <row r="39" spans="2:26" ht="30">
      <c r="B39" s="24"/>
      <c r="C39" s="24"/>
      <c r="D39" s="24"/>
      <c r="E39" s="24"/>
      <c r="H39" s="20"/>
      <c r="I39" s="20"/>
      <c r="J39" s="20"/>
      <c r="K39" s="20"/>
      <c r="O39" s="20"/>
      <c r="P39" s="20"/>
      <c r="Q39" s="20"/>
      <c r="R39" s="20"/>
      <c r="W39" s="27"/>
      <c r="X39" s="27"/>
      <c r="Y39" s="27"/>
      <c r="Z39" s="27"/>
    </row>
    <row r="45" spans="2:26">
      <c r="B45" s="33"/>
      <c r="C45" s="33"/>
      <c r="D45" s="33"/>
      <c r="E45" s="33"/>
      <c r="F45" s="33"/>
      <c r="G45" s="33"/>
      <c r="H45" s="33"/>
      <c r="I45" s="33"/>
      <c r="J45" s="33"/>
    </row>
    <row r="46" spans="2:26">
      <c r="B46" s="33"/>
      <c r="C46" s="33"/>
      <c r="D46" s="33"/>
      <c r="E46" s="33"/>
      <c r="F46" s="33"/>
      <c r="G46" s="33"/>
      <c r="H46" s="33"/>
      <c r="I46" s="33"/>
      <c r="J46" s="33"/>
    </row>
    <row r="47" spans="2:26">
      <c r="B47" s="33"/>
      <c r="C47" s="33"/>
      <c r="D47" s="33"/>
      <c r="E47" s="33"/>
      <c r="F47" s="33"/>
      <c r="G47" s="33"/>
      <c r="H47" s="33"/>
      <c r="I47" s="33"/>
      <c r="J47" s="33"/>
    </row>
    <row r="48" spans="2:26">
      <c r="B48" s="33"/>
      <c r="C48" s="33"/>
      <c r="D48" s="33"/>
      <c r="E48" s="33"/>
      <c r="F48" s="33"/>
      <c r="G48" s="33"/>
      <c r="H48" s="33"/>
      <c r="I48" s="33"/>
      <c r="J48" s="33"/>
    </row>
    <row r="49" spans="2:10">
      <c r="B49" s="33"/>
      <c r="C49" s="33"/>
      <c r="D49" s="33"/>
      <c r="E49" s="33"/>
      <c r="F49" s="33"/>
      <c r="G49" s="33"/>
      <c r="H49" s="33"/>
      <c r="I49" s="33"/>
      <c r="J49" s="33"/>
    </row>
    <row r="50" spans="2:10">
      <c r="B50" s="33"/>
      <c r="C50" s="33"/>
      <c r="D50" s="33"/>
      <c r="E50" s="33"/>
      <c r="F50" s="33"/>
      <c r="G50" s="33"/>
      <c r="H50" s="33"/>
      <c r="I50" s="33"/>
      <c r="J50" s="33"/>
    </row>
    <row r="51" spans="2:10">
      <c r="B51" s="33"/>
      <c r="C51" s="33"/>
      <c r="D51" s="33"/>
      <c r="E51" s="33"/>
      <c r="F51" s="33"/>
      <c r="G51" s="33"/>
      <c r="H51" s="33"/>
      <c r="I51" s="33"/>
      <c r="J51" s="33"/>
    </row>
    <row r="52" spans="2:10">
      <c r="B52" s="33"/>
      <c r="C52" s="33"/>
      <c r="D52" s="33"/>
      <c r="E52" s="33"/>
      <c r="F52" s="33"/>
      <c r="G52" s="33"/>
      <c r="H52" s="33"/>
      <c r="I52" s="33"/>
      <c r="J52" s="33"/>
    </row>
    <row r="53" spans="2:10">
      <c r="B53" s="33"/>
      <c r="C53" s="33"/>
      <c r="D53" s="33"/>
      <c r="E53" s="33"/>
      <c r="F53" s="33"/>
      <c r="G53" s="33"/>
      <c r="H53" s="33"/>
      <c r="I53" s="33"/>
      <c r="J53" s="33"/>
    </row>
    <row r="54" spans="2:10">
      <c r="B54" s="33"/>
      <c r="C54" s="33"/>
      <c r="D54" s="33"/>
      <c r="E54" s="33"/>
      <c r="F54" s="33"/>
      <c r="G54" s="33"/>
      <c r="H54" s="33"/>
      <c r="I54" s="33"/>
      <c r="J54" s="33"/>
    </row>
    <row r="55" spans="2:10">
      <c r="B55" s="33"/>
      <c r="C55" s="33"/>
      <c r="D55" s="33"/>
      <c r="E55" s="33"/>
      <c r="F55" s="33"/>
      <c r="G55" s="33"/>
      <c r="H55" s="33"/>
      <c r="I55" s="33"/>
      <c r="J55" s="33"/>
    </row>
    <row r="56" spans="2:10">
      <c r="B56" s="33"/>
      <c r="C56" s="33"/>
      <c r="D56" s="33"/>
      <c r="E56" s="33"/>
      <c r="F56" s="33"/>
      <c r="G56" s="33"/>
      <c r="H56" s="33"/>
      <c r="I56" s="33"/>
      <c r="J56" s="33"/>
    </row>
    <row r="57" spans="2:10">
      <c r="B57" s="33"/>
      <c r="C57" s="33"/>
      <c r="D57" s="33"/>
      <c r="E57" s="33"/>
      <c r="F57" s="33"/>
      <c r="G57" s="33"/>
      <c r="H57" s="33"/>
      <c r="I57" s="33"/>
      <c r="J57" s="33"/>
    </row>
    <row r="58" spans="2:10">
      <c r="B58" s="33"/>
      <c r="C58" s="33"/>
      <c r="D58" s="33"/>
      <c r="E58" s="33"/>
      <c r="F58" s="33"/>
      <c r="G58" s="33"/>
      <c r="H58" s="33"/>
      <c r="I58" s="33"/>
      <c r="J58" s="33"/>
    </row>
    <row r="59" spans="2:10">
      <c r="B59" s="33"/>
      <c r="C59" s="33"/>
      <c r="D59" s="33"/>
      <c r="E59" s="33"/>
      <c r="F59" s="33"/>
      <c r="G59" s="33"/>
      <c r="H59" s="33"/>
      <c r="I59" s="33"/>
      <c r="J59" s="33"/>
    </row>
    <row r="60" spans="2:10">
      <c r="B60" s="33"/>
      <c r="C60" s="33"/>
      <c r="D60" s="33"/>
      <c r="E60" s="33"/>
      <c r="F60" s="33"/>
      <c r="G60" s="33"/>
      <c r="H60" s="33"/>
      <c r="I60" s="33"/>
      <c r="J60" s="33"/>
    </row>
    <row r="61" spans="2:10">
      <c r="B61" s="33"/>
      <c r="C61" s="33"/>
      <c r="D61" s="33"/>
      <c r="E61" s="33"/>
      <c r="F61" s="33"/>
      <c r="G61" s="33"/>
      <c r="H61" s="33"/>
      <c r="I61" s="33"/>
      <c r="J61" s="33"/>
    </row>
    <row r="62" spans="2:10">
      <c r="B62" s="33"/>
      <c r="C62" s="33"/>
      <c r="D62" s="33"/>
      <c r="E62" s="33"/>
      <c r="F62" s="33"/>
      <c r="G62" s="33"/>
      <c r="H62" s="33"/>
      <c r="I62" s="33"/>
      <c r="J62" s="33"/>
    </row>
    <row r="63" spans="2:10">
      <c r="B63" s="33"/>
      <c r="C63" s="33"/>
      <c r="D63" s="33"/>
      <c r="E63" s="33"/>
      <c r="F63" s="33"/>
      <c r="G63" s="33"/>
      <c r="H63" s="33"/>
      <c r="I63" s="33"/>
      <c r="J63" s="33"/>
    </row>
    <row r="64" spans="2:10">
      <c r="B64" s="33"/>
      <c r="C64" s="33"/>
      <c r="D64" s="33"/>
      <c r="E64" s="33"/>
      <c r="F64" s="33"/>
      <c r="G64" s="33"/>
      <c r="H64" s="33"/>
      <c r="I64" s="33"/>
      <c r="J64" s="33"/>
    </row>
    <row r="65" spans="2:10">
      <c r="B65" s="33"/>
      <c r="C65" s="33"/>
      <c r="D65" s="33"/>
      <c r="E65" s="33"/>
      <c r="F65" s="33"/>
      <c r="G65" s="33"/>
      <c r="H65" s="33"/>
      <c r="I65" s="33"/>
      <c r="J65" s="33"/>
    </row>
    <row r="66" spans="2:10">
      <c r="B66" s="33"/>
      <c r="C66" s="33"/>
      <c r="D66" s="33"/>
      <c r="E66" s="33"/>
      <c r="F66" s="33"/>
      <c r="G66" s="33"/>
      <c r="H66" s="33"/>
      <c r="I66" s="33"/>
      <c r="J66" s="33"/>
    </row>
    <row r="67" spans="2:10">
      <c r="B67" s="33"/>
      <c r="C67" s="33"/>
      <c r="D67" s="33"/>
      <c r="E67" s="33"/>
      <c r="F67" s="33"/>
      <c r="G67" s="33"/>
      <c r="H67" s="33"/>
      <c r="I67" s="33"/>
      <c r="J67" s="33"/>
    </row>
    <row r="68" spans="2:10">
      <c r="B68" s="33"/>
      <c r="C68" s="33"/>
      <c r="D68" s="33"/>
      <c r="E68" s="33"/>
      <c r="F68" s="33"/>
      <c r="G68" s="33"/>
      <c r="H68" s="33"/>
      <c r="I68" s="33"/>
      <c r="J68" s="33"/>
    </row>
    <row r="69" spans="2:10">
      <c r="B69" s="33"/>
      <c r="C69" s="33"/>
      <c r="D69" s="33"/>
      <c r="E69" s="33"/>
      <c r="F69" s="33"/>
      <c r="G69" s="33"/>
      <c r="H69" s="33"/>
      <c r="I69" s="33"/>
      <c r="J69" s="33"/>
    </row>
    <row r="70" spans="2:10">
      <c r="B70" s="33"/>
      <c r="C70" s="33"/>
      <c r="D70" s="33"/>
      <c r="E70" s="33"/>
      <c r="F70" s="33"/>
      <c r="G70" s="33"/>
      <c r="H70" s="33"/>
      <c r="I70" s="33"/>
      <c r="J70" s="33"/>
    </row>
    <row r="71" spans="2:10">
      <c r="B71" s="33"/>
      <c r="C71" s="33"/>
      <c r="D71" s="33"/>
      <c r="E71" s="33"/>
      <c r="F71" s="33"/>
      <c r="G71" s="33"/>
      <c r="H71" s="33"/>
      <c r="I71" s="33"/>
      <c r="J71" s="33"/>
    </row>
    <row r="72" spans="2:10">
      <c r="B72" s="33"/>
      <c r="C72" s="33"/>
      <c r="D72" s="33"/>
      <c r="E72" s="33"/>
      <c r="F72" s="33"/>
      <c r="G72" s="33"/>
      <c r="H72" s="33"/>
      <c r="I72" s="33"/>
      <c r="J72" s="33"/>
    </row>
    <row r="73" spans="2:10">
      <c r="B73" s="33"/>
      <c r="C73" s="33"/>
      <c r="D73" s="33"/>
      <c r="E73" s="33"/>
      <c r="F73" s="33"/>
      <c r="G73" s="33"/>
      <c r="H73" s="33"/>
      <c r="I73" s="33"/>
      <c r="J73" s="33"/>
    </row>
    <row r="74" spans="2:10">
      <c r="B74" s="33"/>
      <c r="C74" s="33"/>
      <c r="D74" s="33"/>
      <c r="E74" s="33"/>
      <c r="F74" s="33"/>
      <c r="G74" s="33"/>
      <c r="H74" s="33"/>
      <c r="I74" s="33"/>
      <c r="J74" s="33"/>
    </row>
    <row r="75" spans="2:10">
      <c r="B75" s="33"/>
      <c r="C75" s="33"/>
      <c r="D75" s="33"/>
      <c r="E75" s="33"/>
      <c r="F75" s="33"/>
      <c r="G75" s="33"/>
      <c r="H75" s="33"/>
      <c r="I75" s="33"/>
      <c r="J75" s="33"/>
    </row>
    <row r="76" spans="2:10">
      <c r="B76" s="33"/>
      <c r="C76" s="33"/>
      <c r="D76" s="33"/>
      <c r="E76" s="33"/>
      <c r="F76" s="33"/>
      <c r="G76" s="33"/>
      <c r="H76" s="33"/>
      <c r="I76" s="33"/>
      <c r="J76" s="33"/>
    </row>
    <row r="77" spans="2:10">
      <c r="B77" s="33"/>
      <c r="C77" s="33"/>
      <c r="D77" s="33"/>
      <c r="E77" s="33"/>
      <c r="F77" s="33"/>
      <c r="G77" s="33"/>
      <c r="H77" s="33"/>
      <c r="I77" s="33"/>
      <c r="J77" s="33"/>
    </row>
  </sheetData>
  <mergeCells count="2">
    <mergeCell ref="B45:J77"/>
    <mergeCell ref="A1:AD6"/>
  </mergeCells>
  <phoneticPr fontId="11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DASHBOARD_PLAN</vt:lpstr>
      <vt:lpstr>Maquette</vt:lpstr>
      <vt:lpstr>Sales_data</vt:lpstr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KUEKOU</dc:creator>
  <cp:lastModifiedBy>Balkis Omer</cp:lastModifiedBy>
  <dcterms:created xsi:type="dcterms:W3CDTF">2026-10-06T14:59:56Z</dcterms:created>
  <dcterms:modified xsi:type="dcterms:W3CDTF">2026-10-07T18:45:33Z</dcterms:modified>
</cp:coreProperties>
</file>